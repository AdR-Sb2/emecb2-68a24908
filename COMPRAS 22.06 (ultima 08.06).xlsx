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aegeactl-my.sharepoint.com/personal/davi_victor_aguasdorio_com_br/Documents/"/>
    </mc:Choice>
  </mc:AlternateContent>
  <xr:revisionPtr revIDLastSave="25" documentId="8_{D9361464-AA74-49AD-9991-C74E7ECB1C97}" xr6:coauthVersionLast="47" xr6:coauthVersionMax="47" xr10:uidLastSave="{CF148FFE-559A-44F7-ABE1-BB0D57C8CBBE}"/>
  <bookViews>
    <workbookView xWindow="20370" yWindow="-120" windowWidth="29040" windowHeight="15720" activeTab="1" xr2:uid="{00000000-000D-0000-FFFF-FFFF00000000}"/>
  </bookViews>
  <sheets>
    <sheet name="02.07" sheetId="8" r:id="rId1"/>
    <sheet name="08.06" sheetId="6" r:id="rId2"/>
    <sheet name="27.04" sheetId="2" state="hidden" r:id="rId3"/>
    <sheet name="01.06" sheetId="5" state="hidden" r:id="rId4"/>
    <sheet name="Pedidos projetos" sheetId="7" r:id="rId5"/>
    <sheet name="Dash" sheetId="3" r:id="rId6"/>
    <sheet name="Export" sheetId="1" r:id="rId7"/>
  </sheets>
  <definedNames>
    <definedName name="_xlnm._FilterDatabase" localSheetId="3" hidden="1">'01.06'!$A$1:$N$163</definedName>
    <definedName name="_xlnm._FilterDatabase" localSheetId="0" hidden="1">'02.07'!$A$1:$N$171</definedName>
    <definedName name="_xlnm._FilterDatabase" localSheetId="1" hidden="1">'08.06'!$A$1:$N$171</definedName>
    <definedName name="_xlnm._FilterDatabase" localSheetId="2" hidden="1">'27.04'!$A$1:$N$120</definedName>
    <definedName name="_xlnm._FilterDatabase" localSheetId="6" hidden="1">Export!$A$1:$BP$180</definedName>
  </definedNames>
  <calcPr calcId="191029"/>
  <pivotCaches>
    <pivotCache cacheId="1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1" i="8" l="1"/>
  <c r="N170" i="8"/>
  <c r="N169" i="8"/>
  <c r="N168" i="8"/>
  <c r="N167" i="8"/>
  <c r="N166" i="8"/>
  <c r="N165" i="8"/>
  <c r="N164" i="8"/>
  <c r="N163" i="8"/>
  <c r="N162" i="8"/>
  <c r="N161" i="8"/>
  <c r="N160" i="8"/>
  <c r="N159" i="8"/>
  <c r="N158" i="8"/>
  <c r="N157" i="8"/>
  <c r="N156" i="8"/>
  <c r="N155" i="8"/>
  <c r="N154" i="8"/>
  <c r="N153" i="8"/>
  <c r="N152" i="8"/>
  <c r="N151" i="8"/>
  <c r="N150" i="8"/>
  <c r="N149" i="8"/>
  <c r="N148" i="8"/>
  <c r="N147" i="8"/>
  <c r="N146" i="8"/>
  <c r="N145" i="8"/>
  <c r="N144" i="8"/>
  <c r="N143" i="8"/>
  <c r="N142" i="8"/>
  <c r="N141" i="8"/>
  <c r="N140" i="8"/>
  <c r="N139" i="8"/>
  <c r="N138" i="8"/>
  <c r="N137" i="8"/>
  <c r="N136" i="8"/>
  <c r="N135" i="8"/>
  <c r="N134" i="8"/>
  <c r="N133" i="8"/>
  <c r="N132" i="8"/>
  <c r="N131" i="8"/>
  <c r="N130" i="8"/>
  <c r="N129" i="8"/>
  <c r="N128" i="8"/>
  <c r="N127" i="8"/>
  <c r="N126" i="8"/>
  <c r="N125" i="8"/>
  <c r="N124" i="8"/>
  <c r="N123" i="8"/>
  <c r="N122" i="8"/>
  <c r="N121" i="8"/>
  <c r="N120" i="8"/>
  <c r="N119" i="8"/>
  <c r="N118" i="8"/>
  <c r="N117" i="8"/>
  <c r="N116" i="8"/>
  <c r="N115" i="8"/>
  <c r="N114" i="8"/>
  <c r="N113" i="8"/>
  <c r="N112" i="8"/>
  <c r="N111" i="8"/>
  <c r="N110" i="8"/>
  <c r="N109" i="8"/>
  <c r="N108" i="8"/>
  <c r="N107" i="8"/>
  <c r="N106" i="8"/>
  <c r="N105" i="8"/>
  <c r="N104" i="8"/>
  <c r="N103" i="8"/>
  <c r="N102" i="8"/>
  <c r="N101" i="8"/>
  <c r="N100" i="8"/>
  <c r="N99" i="8"/>
  <c r="N98" i="8"/>
  <c r="N97" i="8"/>
  <c r="N96" i="8"/>
  <c r="N95" i="8"/>
  <c r="N94" i="8"/>
  <c r="N93" i="8"/>
  <c r="N92" i="8"/>
  <c r="N91" i="8"/>
  <c r="N90" i="8"/>
  <c r="N89" i="8"/>
  <c r="N88" i="8"/>
  <c r="N87" i="8"/>
  <c r="N86" i="8"/>
  <c r="N85" i="8"/>
  <c r="N84" i="8"/>
  <c r="N83" i="8"/>
  <c r="N82" i="8"/>
  <c r="N81" i="8"/>
  <c r="N80" i="8"/>
  <c r="N79" i="8"/>
  <c r="N78" i="8"/>
  <c r="N77" i="8"/>
  <c r="N76" i="8"/>
  <c r="N75" i="8"/>
  <c r="N74" i="8"/>
  <c r="N73" i="8"/>
  <c r="N72" i="8"/>
  <c r="N71" i="8"/>
  <c r="N70" i="8"/>
  <c r="N69" i="8"/>
  <c r="N68" i="8"/>
  <c r="N67" i="8"/>
  <c r="N66" i="8"/>
  <c r="N65" i="8"/>
  <c r="N64" i="8"/>
  <c r="N63" i="8"/>
  <c r="N62" i="8"/>
  <c r="N61" i="8"/>
  <c r="N60" i="8"/>
  <c r="N59" i="8"/>
  <c r="N58" i="8"/>
  <c r="N57" i="8"/>
  <c r="N56" i="8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4" i="8"/>
  <c r="N3" i="8"/>
  <c r="N2" i="8"/>
  <c r="N9" i="6" l="1"/>
  <c r="N84" i="6"/>
  <c r="N111" i="6"/>
  <c r="N112" i="6"/>
  <c r="N2" i="6"/>
  <c r="N113" i="6"/>
  <c r="N3" i="6"/>
  <c r="N95" i="6"/>
  <c r="N96" i="6"/>
  <c r="N97" i="6"/>
  <c r="N38" i="6"/>
  <c r="N58" i="6"/>
  <c r="N17" i="6"/>
  <c r="N16" i="6"/>
  <c r="N168" i="6"/>
  <c r="N4" i="6"/>
  <c r="N62" i="6"/>
  <c r="N93" i="6"/>
  <c r="N63" i="6"/>
  <c r="N39" i="6"/>
  <c r="N102" i="6"/>
  <c r="N104" i="6"/>
  <c r="N44" i="6"/>
  <c r="N131" i="6"/>
  <c r="N129" i="6"/>
  <c r="N118" i="6"/>
  <c r="N49" i="6"/>
  <c r="N68" i="6"/>
  <c r="N45" i="6"/>
  <c r="N53" i="6"/>
  <c r="N48" i="6"/>
  <c r="N52" i="6"/>
  <c r="N67" i="6"/>
  <c r="N98" i="6"/>
  <c r="N37" i="6"/>
  <c r="N115" i="6"/>
  <c r="N114" i="6"/>
  <c r="N80" i="6"/>
  <c r="N81" i="6"/>
  <c r="N82" i="6"/>
  <c r="N83" i="6"/>
  <c r="N72" i="6"/>
  <c r="N75" i="6"/>
  <c r="N78" i="6"/>
  <c r="N36" i="6"/>
  <c r="N152" i="6"/>
  <c r="N145" i="6"/>
  <c r="N139" i="6"/>
  <c r="N132" i="6"/>
  <c r="N148" i="6"/>
  <c r="N150" i="6"/>
  <c r="N138" i="6"/>
  <c r="N142" i="6"/>
  <c r="N133" i="6"/>
  <c r="N156" i="6"/>
  <c r="N159" i="6"/>
  <c r="N154" i="6"/>
  <c r="N162" i="6"/>
  <c r="N135" i="6"/>
  <c r="N136" i="6"/>
  <c r="N137" i="6"/>
  <c r="N141" i="6"/>
  <c r="N144" i="6"/>
  <c r="N147" i="6"/>
  <c r="N117" i="6"/>
  <c r="N94" i="6"/>
  <c r="N157" i="6"/>
  <c r="N160" i="6"/>
  <c r="N155" i="6"/>
  <c r="N151" i="6"/>
  <c r="N149" i="6"/>
  <c r="N5" i="6"/>
  <c r="N6" i="6"/>
  <c r="N7" i="6"/>
  <c r="N34" i="6"/>
  <c r="N91" i="6"/>
  <c r="N146" i="6"/>
  <c r="N140" i="6"/>
  <c r="N158" i="6"/>
  <c r="N161" i="6"/>
  <c r="N143" i="6"/>
  <c r="N124" i="6"/>
  <c r="N125" i="6"/>
  <c r="N126" i="6"/>
  <c r="N127" i="6"/>
  <c r="N134" i="6"/>
  <c r="N101" i="6"/>
  <c r="N100" i="6"/>
  <c r="N99" i="6"/>
  <c r="N54" i="6"/>
  <c r="N56" i="6"/>
  <c r="N55" i="6"/>
  <c r="N164" i="6"/>
  <c r="N69" i="6"/>
  <c r="N77" i="6"/>
  <c r="N59" i="6"/>
  <c r="N35" i="6"/>
  <c r="N57" i="6"/>
  <c r="N8" i="6"/>
  <c r="N105" i="6"/>
  <c r="N106" i="6"/>
  <c r="N107" i="6"/>
  <c r="N108" i="6"/>
  <c r="N109" i="6"/>
  <c r="N103" i="6"/>
  <c r="N130" i="6"/>
  <c r="N26" i="6"/>
  <c r="N25" i="6"/>
  <c r="N24" i="6"/>
  <c r="N23" i="6"/>
  <c r="N22" i="6"/>
  <c r="N21" i="6"/>
  <c r="N128" i="6"/>
  <c r="N65" i="6"/>
  <c r="N163" i="6"/>
  <c r="N10" i="6"/>
  <c r="N31" i="6"/>
  <c r="N30" i="6"/>
  <c r="N29" i="6"/>
  <c r="N28" i="6"/>
  <c r="N27" i="6"/>
  <c r="N11" i="6"/>
  <c r="N43" i="6"/>
  <c r="N86" i="6"/>
  <c r="N88" i="6"/>
  <c r="N169" i="6"/>
  <c r="N171" i="6"/>
  <c r="N170" i="6"/>
  <c r="N167" i="6"/>
  <c r="N120" i="6"/>
  <c r="N122" i="6"/>
  <c r="N40" i="6"/>
  <c r="N61" i="6"/>
  <c r="N121" i="6"/>
  <c r="N123" i="6"/>
  <c r="N85" i="6"/>
  <c r="N70" i="6"/>
  <c r="N71" i="6"/>
  <c r="N73" i="6"/>
  <c r="N74" i="6"/>
  <c r="N76" i="6"/>
  <c r="N79" i="6"/>
  <c r="N32" i="6"/>
  <c r="N13" i="6"/>
  <c r="N14" i="6"/>
  <c r="N15" i="6"/>
  <c r="N166" i="6"/>
  <c r="N165" i="6"/>
  <c r="N42" i="6"/>
  <c r="N12" i="6"/>
  <c r="N116" i="6"/>
  <c r="N60" i="6"/>
  <c r="N153" i="6"/>
  <c r="N110" i="6"/>
  <c r="N51" i="6"/>
  <c r="N47" i="6"/>
  <c r="N46" i="6"/>
  <c r="N92" i="6"/>
  <c r="N18" i="6"/>
  <c r="N119" i="6"/>
  <c r="N33" i="6"/>
  <c r="N20" i="6"/>
  <c r="N19" i="6"/>
  <c r="N66" i="6"/>
  <c r="N50" i="6"/>
  <c r="N41" i="6"/>
  <c r="N90" i="6"/>
  <c r="N87" i="6"/>
  <c r="N89" i="6"/>
  <c r="N64" i="6"/>
  <c r="C2" i="2" l="1" a="1"/>
  <c r="C2" i="2" s="1"/>
  <c r="N39" i="5"/>
  <c r="N81" i="5"/>
  <c r="N86" i="5"/>
  <c r="N87" i="5"/>
  <c r="N41" i="5"/>
  <c r="N42" i="5"/>
  <c r="N110" i="5"/>
  <c r="N111" i="5"/>
  <c r="N112" i="5"/>
  <c r="N13" i="5"/>
  <c r="N16" i="5"/>
  <c r="N17" i="5"/>
  <c r="N34" i="5"/>
  <c r="N40" i="5"/>
  <c r="N43" i="5"/>
  <c r="N44" i="5"/>
  <c r="N45" i="5"/>
  <c r="N46" i="5"/>
  <c r="N58" i="5"/>
  <c r="N59" i="5"/>
  <c r="N60" i="5"/>
  <c r="N82" i="5"/>
  <c r="N83" i="5"/>
  <c r="N88" i="5"/>
  <c r="N89" i="5"/>
  <c r="N90" i="5"/>
  <c r="N91" i="5"/>
  <c r="N92" i="5"/>
  <c r="N93" i="5"/>
  <c r="N94" i="5"/>
  <c r="N95" i="5"/>
  <c r="N113" i="5"/>
  <c r="N114" i="5"/>
  <c r="N33" i="5"/>
  <c r="N52" i="5"/>
  <c r="N51" i="5"/>
  <c r="N53" i="5"/>
  <c r="N66" i="5"/>
  <c r="N80" i="5"/>
  <c r="N61" i="5"/>
  <c r="N63" i="5"/>
  <c r="N54" i="5"/>
  <c r="N55" i="5"/>
  <c r="N56" i="5"/>
  <c r="N57" i="5"/>
  <c r="N62" i="5"/>
  <c r="N64" i="5"/>
  <c r="N65" i="5"/>
  <c r="N96" i="5"/>
  <c r="N97" i="5"/>
  <c r="N2" i="5"/>
  <c r="N3" i="5"/>
  <c r="N18" i="5"/>
  <c r="N67" i="5"/>
  <c r="N84" i="5"/>
  <c r="N12" i="5"/>
  <c r="N11" i="5"/>
  <c r="N14" i="5"/>
  <c r="N15" i="5"/>
  <c r="N31" i="5"/>
  <c r="N20" i="5"/>
  <c r="N21" i="5"/>
  <c r="N22" i="5"/>
  <c r="N23" i="5"/>
  <c r="N19" i="5"/>
  <c r="N24" i="5"/>
  <c r="N25" i="5"/>
  <c r="N26" i="5"/>
  <c r="N27" i="5"/>
  <c r="N28" i="5"/>
  <c r="N29" i="5"/>
  <c r="N47" i="5"/>
  <c r="N5" i="5"/>
  <c r="N7" i="5"/>
  <c r="N30" i="5"/>
  <c r="N4" i="5"/>
  <c r="N68" i="5"/>
  <c r="N69" i="5"/>
  <c r="N70" i="5"/>
  <c r="N71" i="5"/>
  <c r="N72" i="5"/>
  <c r="N73" i="5"/>
  <c r="N98" i="5"/>
  <c r="N85" i="5"/>
  <c r="N99" i="5"/>
  <c r="N100" i="5"/>
  <c r="N101" i="5"/>
  <c r="N115" i="5"/>
  <c r="N116" i="5"/>
  <c r="N74" i="5"/>
  <c r="N75" i="5"/>
  <c r="N76" i="5"/>
  <c r="N77" i="5"/>
  <c r="N102" i="5"/>
  <c r="N103" i="5"/>
  <c r="N104" i="5"/>
  <c r="N6" i="5"/>
  <c r="N8" i="5"/>
  <c r="N9" i="5"/>
  <c r="N10" i="5"/>
  <c r="N35" i="5"/>
  <c r="N36" i="5"/>
  <c r="N37" i="5"/>
  <c r="N38" i="5"/>
  <c r="N48" i="5"/>
  <c r="N49" i="5"/>
  <c r="N50" i="5"/>
  <c r="N105" i="5"/>
  <c r="N106" i="5"/>
  <c r="N107" i="5"/>
  <c r="N108" i="5"/>
  <c r="N117" i="5"/>
  <c r="N118" i="5"/>
  <c r="N109" i="5"/>
  <c r="N127" i="5"/>
  <c r="N128" i="5"/>
  <c r="N129" i="5"/>
  <c r="N130" i="5"/>
  <c r="N150" i="5"/>
  <c r="N151" i="5"/>
  <c r="N121" i="5"/>
  <c r="N131" i="5"/>
  <c r="N132" i="5"/>
  <c r="N133" i="5"/>
  <c r="N134" i="5"/>
  <c r="N122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23" i="5"/>
  <c r="N124" i="5"/>
  <c r="N125" i="5"/>
  <c r="N126" i="5"/>
  <c r="N119" i="5"/>
  <c r="N120" i="5"/>
  <c r="N78" i="5"/>
  <c r="N79" i="5"/>
  <c r="N32" i="5"/>
  <c r="D59" i="2" l="1" a="1"/>
  <c r="D59" i="2" s="1"/>
  <c r="D60" i="2" a="1"/>
  <c r="D60" i="2" s="1"/>
  <c r="D61" i="2" a="1"/>
  <c r="D61" i="2" s="1"/>
  <c r="D62" i="2" a="1"/>
  <c r="D62" i="2" s="1"/>
  <c r="D56" i="2" a="1"/>
  <c r="D56" i="2" s="1"/>
  <c r="D82" i="2" a="1"/>
  <c r="D82" i="2" s="1"/>
  <c r="D10" i="2" a="1"/>
  <c r="D10" i="2" s="1"/>
  <c r="D12" i="2" a="1"/>
  <c r="D12" i="2" s="1"/>
  <c r="D115" i="2" a="1"/>
  <c r="D115" i="2" s="1"/>
  <c r="D97" i="2" a="1"/>
  <c r="D97" i="2" s="1"/>
  <c r="D91" i="2" a="1"/>
  <c r="D91" i="2" s="1"/>
  <c r="D7" i="2" a="1"/>
  <c r="D7" i="2" s="1"/>
  <c r="D9" i="2" a="1"/>
  <c r="D9" i="2" s="1"/>
  <c r="D8" i="2" a="1"/>
  <c r="D8" i="2" s="1"/>
  <c r="D95" i="2" a="1"/>
  <c r="D95" i="2" s="1"/>
  <c r="D86" i="2" a="1"/>
  <c r="D86" i="2" s="1"/>
  <c r="D107" i="2" a="1"/>
  <c r="D107" i="2" s="1"/>
  <c r="D110" i="2" a="1"/>
  <c r="D110" i="2" s="1"/>
  <c r="D76" i="2" a="1"/>
  <c r="D76" i="2" s="1"/>
  <c r="D77" i="2" a="1"/>
  <c r="D77" i="2" s="1"/>
  <c r="D78" i="2" a="1"/>
  <c r="D78" i="2" s="1"/>
  <c r="D79" i="2" a="1"/>
  <c r="D79" i="2" s="1"/>
  <c r="D54" i="2" a="1"/>
  <c r="D54" i="2" s="1"/>
  <c r="D53" i="2" a="1"/>
  <c r="D53" i="2" s="1"/>
  <c r="D52" i="2" a="1"/>
  <c r="D52" i="2" s="1"/>
  <c r="D44" i="2" a="1"/>
  <c r="D44" i="2" s="1"/>
  <c r="D71" i="2" a="1"/>
  <c r="D71" i="2" s="1"/>
  <c r="D98" i="2" a="1"/>
  <c r="D98" i="2" s="1"/>
  <c r="D92" i="2" a="1"/>
  <c r="D92" i="2" s="1"/>
  <c r="D84" i="2" a="1"/>
  <c r="D84" i="2" s="1"/>
  <c r="D100" i="2" a="1"/>
  <c r="D100" i="2" s="1"/>
  <c r="D102" i="2" a="1"/>
  <c r="D102" i="2" s="1"/>
  <c r="D90" i="2" a="1"/>
  <c r="D90" i="2" s="1"/>
  <c r="D94" i="2" a="1"/>
  <c r="D94" i="2" s="1"/>
  <c r="D85" i="2" a="1"/>
  <c r="D85" i="2" s="1"/>
  <c r="D87" i="2" a="1"/>
  <c r="D87" i="2" s="1"/>
  <c r="D88" i="2" a="1"/>
  <c r="D88" i="2" s="1"/>
  <c r="D89" i="2" a="1"/>
  <c r="D89" i="2" s="1"/>
  <c r="D93" i="2" a="1"/>
  <c r="D93" i="2" s="1"/>
  <c r="D96" i="2" a="1"/>
  <c r="D96" i="2" s="1"/>
  <c r="D99" i="2" a="1"/>
  <c r="D99" i="2" s="1"/>
  <c r="D69" i="2" a="1"/>
  <c r="D69" i="2" s="1"/>
  <c r="D47" i="2" a="1"/>
  <c r="D47" i="2" s="1"/>
  <c r="D104" i="2" a="1"/>
  <c r="D104" i="2" s="1"/>
  <c r="D55" i="2" a="1"/>
  <c r="D55" i="2" s="1"/>
  <c r="D57" i="2" a="1"/>
  <c r="D57" i="2" s="1"/>
  <c r="D83" i="2" a="1"/>
  <c r="D83" i="2" s="1"/>
  <c r="D70" i="2" a="1"/>
  <c r="D70" i="2" s="1"/>
  <c r="D2" i="2" a="1"/>
  <c r="D2" i="2" s="1"/>
  <c r="D21" i="2" a="1"/>
  <c r="D21" i="2" s="1"/>
  <c r="D6" i="2" a="1"/>
  <c r="D6" i="2" s="1"/>
  <c r="D5" i="2" a="1"/>
  <c r="D5" i="2" s="1"/>
  <c r="D20" i="2" a="1"/>
  <c r="D20" i="2" s="1"/>
  <c r="D51" i="2" a="1"/>
  <c r="D51" i="2" s="1"/>
  <c r="D11" i="2" a="1"/>
  <c r="D11" i="2" s="1"/>
  <c r="D117" i="2" a="1"/>
  <c r="D117" i="2" s="1"/>
  <c r="D15" i="2" a="1"/>
  <c r="D15" i="2" s="1"/>
  <c r="D46" i="2" a="1"/>
  <c r="D46" i="2" s="1"/>
  <c r="D16" i="2" a="1"/>
  <c r="D16" i="2" s="1"/>
  <c r="D81" i="2" a="1"/>
  <c r="D81" i="2" s="1"/>
  <c r="D48" i="2" a="1"/>
  <c r="D48" i="2" s="1"/>
  <c r="D49" i="2" a="1"/>
  <c r="D49" i="2" s="1"/>
  <c r="D50" i="2" a="1"/>
  <c r="D50" i="2" s="1"/>
  <c r="D64" i="2" a="1"/>
  <c r="D64" i="2" s="1"/>
  <c r="D63" i="2" a="1"/>
  <c r="D63" i="2" s="1"/>
  <c r="D65" i="2" a="1"/>
  <c r="D65" i="2" s="1"/>
  <c r="D17" i="2" a="1"/>
  <c r="D17" i="2" s="1"/>
  <c r="D19" i="2" a="1"/>
  <c r="D19" i="2" s="1"/>
  <c r="D3" i="2" a="1"/>
  <c r="D3" i="2" s="1"/>
  <c r="D18" i="2" a="1"/>
  <c r="D18" i="2" s="1"/>
  <c r="D114" i="2" a="1"/>
  <c r="D114" i="2" s="1"/>
  <c r="D108" i="2" a="1"/>
  <c r="D108" i="2" s="1"/>
  <c r="D111" i="2" a="1"/>
  <c r="D111" i="2" s="1"/>
  <c r="D105" i="2" a="1"/>
  <c r="D105" i="2" s="1"/>
  <c r="D113" i="2" a="1"/>
  <c r="D113" i="2" s="1"/>
  <c r="D109" i="2" a="1"/>
  <c r="D109" i="2" s="1"/>
  <c r="D112" i="2" a="1"/>
  <c r="D112" i="2" s="1"/>
  <c r="D106" i="2" a="1"/>
  <c r="D106" i="2" s="1"/>
  <c r="D4" i="2" a="1"/>
  <c r="D4" i="2" s="1"/>
  <c r="D68" i="2" a="1"/>
  <c r="D68" i="2" s="1"/>
  <c r="D103" i="2" a="1"/>
  <c r="D103" i="2" s="1"/>
  <c r="D101" i="2" a="1"/>
  <c r="D101" i="2" s="1"/>
  <c r="D45" i="2" a="1"/>
  <c r="D45" i="2" s="1"/>
  <c r="D37" i="2" a="1"/>
  <c r="D37" i="2" s="1"/>
  <c r="D72" i="2" a="1"/>
  <c r="D72" i="2" s="1"/>
  <c r="D74" i="2" a="1"/>
  <c r="D74" i="2" s="1"/>
  <c r="D13" i="2" a="1"/>
  <c r="D13" i="2" s="1"/>
  <c r="D67" i="2" a="1"/>
  <c r="D67" i="2" s="1"/>
  <c r="D66" i="2" a="1"/>
  <c r="D66" i="2" s="1"/>
  <c r="D43" i="2" a="1"/>
  <c r="D43" i="2" s="1"/>
  <c r="D39" i="2" a="1"/>
  <c r="D39" i="2" s="1"/>
  <c r="D41" i="2" a="1"/>
  <c r="D41" i="2" s="1"/>
  <c r="D33" i="2" a="1"/>
  <c r="D33" i="2" s="1"/>
  <c r="D34" i="2" a="1"/>
  <c r="D34" i="2" s="1"/>
  <c r="D35" i="2" a="1"/>
  <c r="D35" i="2" s="1"/>
  <c r="D36" i="2" a="1"/>
  <c r="D36" i="2" s="1"/>
  <c r="D22" i="2" a="1"/>
  <c r="D22" i="2" s="1"/>
  <c r="D23" i="2" a="1"/>
  <c r="D23" i="2" s="1"/>
  <c r="D24" i="2" a="1"/>
  <c r="D24" i="2" s="1"/>
  <c r="D25" i="2" a="1"/>
  <c r="D25" i="2" s="1"/>
  <c r="D26" i="2" a="1"/>
  <c r="D26" i="2" s="1"/>
  <c r="D27" i="2" a="1"/>
  <c r="D27" i="2" s="1"/>
  <c r="D28" i="2" a="1"/>
  <c r="D28" i="2" s="1"/>
  <c r="D29" i="2" a="1"/>
  <c r="D29" i="2" s="1"/>
  <c r="D30" i="2" a="1"/>
  <c r="D30" i="2" s="1"/>
  <c r="D31" i="2" a="1"/>
  <c r="D31" i="2" s="1"/>
  <c r="D32" i="2" a="1"/>
  <c r="D32" i="2" s="1"/>
  <c r="D80" i="2" a="1"/>
  <c r="D80" i="2" s="1"/>
  <c r="D40" i="2" a="1"/>
  <c r="D40" i="2" s="1"/>
  <c r="D42" i="2" a="1"/>
  <c r="D42" i="2" s="1"/>
  <c r="D119" i="2" a="1"/>
  <c r="D119" i="2" s="1"/>
  <c r="D73" i="2" a="1"/>
  <c r="D73" i="2" s="1"/>
  <c r="D75" i="2" a="1"/>
  <c r="D75" i="2" s="1"/>
  <c r="D118" i="2" a="1"/>
  <c r="D118" i="2" s="1"/>
  <c r="D120" i="2" a="1"/>
  <c r="D120" i="2" s="1"/>
  <c r="D116" i="2" a="1"/>
  <c r="D116" i="2" s="1"/>
  <c r="D14" i="2" a="1"/>
  <c r="D14" i="2" s="1"/>
  <c r="D38" i="2" a="1"/>
  <c r="D38" i="2" s="1"/>
  <c r="D58" i="2" a="1"/>
  <c r="D58" i="2" s="1"/>
  <c r="C59" i="2" a="1"/>
  <c r="C59" i="2" s="1"/>
  <c r="C60" i="2" a="1"/>
  <c r="C60" i="2" s="1"/>
  <c r="C61" i="2" a="1"/>
  <c r="C61" i="2" s="1"/>
  <c r="C62" i="2" a="1"/>
  <c r="C62" i="2" s="1"/>
  <c r="C56" i="2" a="1"/>
  <c r="C56" i="2" s="1"/>
  <c r="C82" i="2" a="1"/>
  <c r="C82" i="2" s="1"/>
  <c r="C10" i="2" a="1"/>
  <c r="C10" i="2" s="1"/>
  <c r="C12" i="2" a="1"/>
  <c r="C12" i="2" s="1"/>
  <c r="C115" i="2" a="1"/>
  <c r="C115" i="2" s="1"/>
  <c r="C97" i="2" a="1"/>
  <c r="C97" i="2" s="1"/>
  <c r="C91" i="2" a="1"/>
  <c r="C91" i="2" s="1"/>
  <c r="C7" i="2" a="1"/>
  <c r="C7" i="2" s="1"/>
  <c r="C9" i="2" a="1"/>
  <c r="C9" i="2" s="1"/>
  <c r="C8" i="2" a="1"/>
  <c r="C8" i="2" s="1"/>
  <c r="C95" i="2" a="1"/>
  <c r="C95" i="2" s="1"/>
  <c r="C86" i="2" a="1"/>
  <c r="C86" i="2" s="1"/>
  <c r="C107" i="2" a="1"/>
  <c r="C107" i="2" s="1"/>
  <c r="C110" i="2" a="1"/>
  <c r="C110" i="2" s="1"/>
  <c r="C76" i="2" a="1"/>
  <c r="C76" i="2" s="1"/>
  <c r="C77" i="2" a="1"/>
  <c r="C77" i="2" s="1"/>
  <c r="C78" i="2" a="1"/>
  <c r="C78" i="2" s="1"/>
  <c r="C79" i="2" a="1"/>
  <c r="C79" i="2" s="1"/>
  <c r="C54" i="2" a="1"/>
  <c r="C54" i="2" s="1"/>
  <c r="C53" i="2" a="1"/>
  <c r="C53" i="2" s="1"/>
  <c r="C52" i="2" a="1"/>
  <c r="C52" i="2" s="1"/>
  <c r="C44" i="2" a="1"/>
  <c r="C44" i="2" s="1"/>
  <c r="C71" i="2" a="1"/>
  <c r="C71" i="2" s="1"/>
  <c r="C98" i="2" a="1"/>
  <c r="C98" i="2" s="1"/>
  <c r="C92" i="2" a="1"/>
  <c r="C92" i="2" s="1"/>
  <c r="C84" i="2" a="1"/>
  <c r="C84" i="2" s="1"/>
  <c r="C100" i="2" a="1"/>
  <c r="C100" i="2" s="1"/>
  <c r="C102" i="2" a="1"/>
  <c r="C102" i="2" s="1"/>
  <c r="C90" i="2" a="1"/>
  <c r="C90" i="2" s="1"/>
  <c r="C94" i="2" a="1"/>
  <c r="C94" i="2" s="1"/>
  <c r="C85" i="2" a="1"/>
  <c r="C85" i="2" s="1"/>
  <c r="C87" i="2" a="1"/>
  <c r="C87" i="2" s="1"/>
  <c r="C88" i="2" a="1"/>
  <c r="C88" i="2" s="1"/>
  <c r="C89" i="2" a="1"/>
  <c r="C89" i="2" s="1"/>
  <c r="C93" i="2" a="1"/>
  <c r="C93" i="2" s="1"/>
  <c r="C96" i="2" a="1"/>
  <c r="C96" i="2" s="1"/>
  <c r="C99" i="2" a="1"/>
  <c r="C99" i="2" s="1"/>
  <c r="C69" i="2" a="1"/>
  <c r="C69" i="2" s="1"/>
  <c r="C47" i="2" a="1"/>
  <c r="C47" i="2" s="1"/>
  <c r="C104" i="2" a="1"/>
  <c r="C104" i="2" s="1"/>
  <c r="C55" i="2" a="1"/>
  <c r="C55" i="2" s="1"/>
  <c r="C57" i="2" a="1"/>
  <c r="C57" i="2" s="1"/>
  <c r="C83" i="2" a="1"/>
  <c r="C83" i="2" s="1"/>
  <c r="C70" i="2" a="1"/>
  <c r="C70" i="2" s="1"/>
  <c r="N2" i="2"/>
  <c r="C21" i="2" a="1"/>
  <c r="C21" i="2" s="1"/>
  <c r="C6" i="2" a="1"/>
  <c r="C6" i="2" s="1"/>
  <c r="C5" i="2" a="1"/>
  <c r="C5" i="2" s="1"/>
  <c r="C20" i="2" a="1"/>
  <c r="C20" i="2" s="1"/>
  <c r="C51" i="2" a="1"/>
  <c r="C51" i="2" s="1"/>
  <c r="C11" i="2" a="1"/>
  <c r="C11" i="2" s="1"/>
  <c r="C117" i="2" a="1"/>
  <c r="C117" i="2" s="1"/>
  <c r="C15" i="2" a="1"/>
  <c r="C15" i="2" s="1"/>
  <c r="C46" i="2" a="1"/>
  <c r="C46" i="2" s="1"/>
  <c r="C16" i="2" a="1"/>
  <c r="C16" i="2" s="1"/>
  <c r="C81" i="2" a="1"/>
  <c r="C81" i="2" s="1"/>
  <c r="C48" i="2" a="1"/>
  <c r="C48" i="2" s="1"/>
  <c r="C49" i="2" a="1"/>
  <c r="C49" i="2" s="1"/>
  <c r="C50" i="2" a="1"/>
  <c r="C50" i="2" s="1"/>
  <c r="C64" i="2" a="1"/>
  <c r="C64" i="2" s="1"/>
  <c r="C63" i="2" a="1"/>
  <c r="C63" i="2" s="1"/>
  <c r="C65" i="2" a="1"/>
  <c r="C65" i="2" s="1"/>
  <c r="C17" i="2" a="1"/>
  <c r="C17" i="2" s="1"/>
  <c r="C19" i="2" a="1"/>
  <c r="C19" i="2" s="1"/>
  <c r="C3" i="2" a="1"/>
  <c r="C3" i="2" s="1"/>
  <c r="C18" i="2" a="1"/>
  <c r="C18" i="2" s="1"/>
  <c r="C114" i="2" a="1"/>
  <c r="C114" i="2" s="1"/>
  <c r="C108" i="2" a="1"/>
  <c r="C108" i="2" s="1"/>
  <c r="C111" i="2" a="1"/>
  <c r="C111" i="2" s="1"/>
  <c r="C105" i="2" a="1"/>
  <c r="C105" i="2" s="1"/>
  <c r="C113" i="2" a="1"/>
  <c r="C113" i="2" s="1"/>
  <c r="C109" i="2" a="1"/>
  <c r="C109" i="2" s="1"/>
  <c r="C112" i="2" a="1"/>
  <c r="C112" i="2" s="1"/>
  <c r="C106" i="2" a="1"/>
  <c r="C106" i="2" s="1"/>
  <c r="C4" i="2" a="1"/>
  <c r="C4" i="2" s="1"/>
  <c r="C68" i="2" a="1"/>
  <c r="C68" i="2" s="1"/>
  <c r="C103" i="2" a="1"/>
  <c r="C103" i="2" s="1"/>
  <c r="C101" i="2" a="1"/>
  <c r="C101" i="2" s="1"/>
  <c r="C45" i="2" a="1"/>
  <c r="C45" i="2" s="1"/>
  <c r="C37" i="2" a="1"/>
  <c r="C37" i="2" s="1"/>
  <c r="C72" i="2" a="1"/>
  <c r="C72" i="2" s="1"/>
  <c r="C74" i="2" a="1"/>
  <c r="C74" i="2" s="1"/>
  <c r="C13" i="2" a="1"/>
  <c r="C13" i="2" s="1"/>
  <c r="C67" i="2" a="1"/>
  <c r="C67" i="2" s="1"/>
  <c r="C66" i="2" a="1"/>
  <c r="C66" i="2" s="1"/>
  <c r="C43" i="2" a="1"/>
  <c r="C43" i="2" s="1"/>
  <c r="C39" i="2" a="1"/>
  <c r="C39" i="2" s="1"/>
  <c r="C41" i="2" a="1"/>
  <c r="C41" i="2" s="1"/>
  <c r="C33" i="2" a="1"/>
  <c r="C33" i="2" s="1"/>
  <c r="C34" i="2" a="1"/>
  <c r="C34" i="2" s="1"/>
  <c r="C35" i="2" a="1"/>
  <c r="C35" i="2" s="1"/>
  <c r="C36" i="2" a="1"/>
  <c r="C36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80" i="2" a="1"/>
  <c r="C80" i="2" s="1"/>
  <c r="C40" i="2" a="1"/>
  <c r="C40" i="2" s="1"/>
  <c r="C42" i="2" a="1"/>
  <c r="C42" i="2" s="1"/>
  <c r="C119" i="2" a="1"/>
  <c r="C119" i="2" s="1"/>
  <c r="C73" i="2" a="1"/>
  <c r="C73" i="2" s="1"/>
  <c r="C75" i="2" a="1"/>
  <c r="C75" i="2" s="1"/>
  <c r="C118" i="2" a="1"/>
  <c r="C118" i="2" s="1"/>
  <c r="C120" i="2" a="1"/>
  <c r="C120" i="2" s="1"/>
  <c r="C116" i="2" a="1"/>
  <c r="C116" i="2" s="1"/>
  <c r="C14" i="2" a="1"/>
  <c r="C14" i="2" s="1"/>
  <c r="C38" i="2" a="1"/>
  <c r="C38" i="2" s="1"/>
  <c r="C58" i="2" a="1"/>
  <c r="C58" i="2" s="1"/>
  <c r="N58" i="2" l="1"/>
  <c r="N75" i="2"/>
  <c r="N73" i="2"/>
  <c r="N29" i="2"/>
  <c r="N36" i="2"/>
  <c r="N67" i="2"/>
  <c r="N68" i="2"/>
  <c r="N108" i="2"/>
  <c r="N64" i="2"/>
  <c r="N117" i="2"/>
  <c r="N70" i="2"/>
  <c r="N96" i="2"/>
  <c r="N102" i="2"/>
  <c r="N53" i="2"/>
  <c r="N86" i="2"/>
  <c r="N12" i="2"/>
  <c r="N119" i="2"/>
  <c r="N28" i="2"/>
  <c r="N35" i="2"/>
  <c r="N13" i="2"/>
  <c r="N4" i="2"/>
  <c r="N114" i="2"/>
  <c r="N50" i="2"/>
  <c r="N11" i="2"/>
  <c r="N83" i="2"/>
  <c r="N93" i="2"/>
  <c r="N100" i="2"/>
  <c r="N54" i="2"/>
  <c r="N95" i="2"/>
  <c r="N10" i="2"/>
  <c r="N38" i="2"/>
  <c r="N42" i="2"/>
  <c r="N27" i="2"/>
  <c r="N34" i="2"/>
  <c r="N74" i="2"/>
  <c r="N106" i="2"/>
  <c r="N18" i="2"/>
  <c r="N49" i="2"/>
  <c r="N51" i="2"/>
  <c r="N57" i="2"/>
  <c r="N89" i="2"/>
  <c r="N84" i="2"/>
  <c r="N79" i="2"/>
  <c r="N8" i="2"/>
  <c r="N82" i="2"/>
  <c r="N14" i="2"/>
  <c r="N40" i="2"/>
  <c r="N26" i="2"/>
  <c r="N33" i="2"/>
  <c r="N72" i="2"/>
  <c r="N112" i="2"/>
  <c r="N3" i="2"/>
  <c r="N48" i="2"/>
  <c r="N20" i="2"/>
  <c r="N55" i="2"/>
  <c r="N88" i="2"/>
  <c r="N92" i="2"/>
  <c r="N78" i="2"/>
  <c r="N9" i="2"/>
  <c r="N56" i="2"/>
  <c r="N116" i="2"/>
  <c r="N80" i="2"/>
  <c r="N25" i="2"/>
  <c r="N41" i="2"/>
  <c r="N37" i="2"/>
  <c r="N109" i="2"/>
  <c r="N19" i="2"/>
  <c r="N81" i="2"/>
  <c r="N5" i="2"/>
  <c r="N104" i="2"/>
  <c r="N87" i="2"/>
  <c r="N98" i="2"/>
  <c r="N77" i="2"/>
  <c r="N7" i="2"/>
  <c r="N62" i="2"/>
  <c r="N120" i="2"/>
  <c r="N32" i="2"/>
  <c r="N24" i="2"/>
  <c r="N39" i="2"/>
  <c r="N45" i="2"/>
  <c r="N113" i="2"/>
  <c r="N17" i="2"/>
  <c r="N16" i="2"/>
  <c r="N6" i="2"/>
  <c r="N47" i="2"/>
  <c r="N85" i="2"/>
  <c r="N71" i="2"/>
  <c r="N76" i="2"/>
  <c r="N91" i="2"/>
  <c r="N61" i="2"/>
  <c r="N118" i="2"/>
  <c r="N31" i="2"/>
  <c r="N23" i="2"/>
  <c r="N43" i="2"/>
  <c r="N101" i="2"/>
  <c r="N105" i="2"/>
  <c r="N65" i="2"/>
  <c r="N46" i="2"/>
  <c r="N21" i="2"/>
  <c r="N69" i="2"/>
  <c r="N94" i="2"/>
  <c r="N44" i="2"/>
  <c r="N110" i="2"/>
  <c r="N97" i="2"/>
  <c r="N60" i="2"/>
  <c r="N30" i="2"/>
  <c r="N22" i="2"/>
  <c r="N66" i="2"/>
  <c r="N103" i="2"/>
  <c r="N111" i="2"/>
  <c r="N63" i="2"/>
  <c r="N15" i="2"/>
  <c r="N99" i="2"/>
  <c r="N90" i="2"/>
  <c r="N52" i="2"/>
  <c r="N107" i="2"/>
  <c r="N115" i="2"/>
  <c r="N5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<sst xmlns="http://schemas.openxmlformats.org/spreadsheetml/2006/main" count="10829" uniqueCount="828">
  <si>
    <t>Nº Acomp.</t>
  </si>
  <si>
    <t>Requisicao</t>
  </si>
  <si>
    <t>Item RC</t>
  </si>
  <si>
    <t>Cód. ClassContabil</t>
  </si>
  <si>
    <t>Class. Contab. RC</t>
  </si>
  <si>
    <t>Tipo RC</t>
  </si>
  <si>
    <t>RC Criada Por</t>
  </si>
  <si>
    <t>Dt Criação RC</t>
  </si>
  <si>
    <t>Dt Remessa RC</t>
  </si>
  <si>
    <t>Status Requisição</t>
  </si>
  <si>
    <t>Dt Aprovação RC</t>
  </si>
  <si>
    <t>Regional</t>
  </si>
  <si>
    <t>Centro</t>
  </si>
  <si>
    <t>Unidade</t>
  </si>
  <si>
    <t>Material</t>
  </si>
  <si>
    <t>Descrição Material</t>
  </si>
  <si>
    <t>Qtde RC</t>
  </si>
  <si>
    <t>DepositoRC</t>
  </si>
  <si>
    <t>Setor</t>
  </si>
  <si>
    <t>ParametroDefinitivo</t>
  </si>
  <si>
    <t>DataBaseProcessodefinitivo</t>
  </si>
  <si>
    <t>Material Corporativo</t>
  </si>
  <si>
    <t>Contrato ou Spot</t>
  </si>
  <si>
    <t>Urgente</t>
  </si>
  <si>
    <t>Material/Serviço</t>
  </si>
  <si>
    <t>Categoria/Família</t>
  </si>
  <si>
    <t>Cen. Custo / PEP</t>
  </si>
  <si>
    <t>InfraEstrutura</t>
  </si>
  <si>
    <t>Ordem</t>
  </si>
  <si>
    <t>ContaDoRazaoRC</t>
  </si>
  <si>
    <t>Cotacao</t>
  </si>
  <si>
    <t>Item Cotacao</t>
  </si>
  <si>
    <t>Comprador Cotação</t>
  </si>
  <si>
    <t>Qtde Cotacao</t>
  </si>
  <si>
    <t>Dt Criação Cotação</t>
  </si>
  <si>
    <t>Contrato</t>
  </si>
  <si>
    <t>Item Contrato</t>
  </si>
  <si>
    <t>Comprador Contrato</t>
  </si>
  <si>
    <t>Qtde Contrato</t>
  </si>
  <si>
    <t>Dt Criação Contrato</t>
  </si>
  <si>
    <t>Status Lib. Contrato</t>
  </si>
  <si>
    <t>Dt Aprov. Contrato</t>
  </si>
  <si>
    <t>Cód Fornecedor</t>
  </si>
  <si>
    <t>Fornecedor</t>
  </si>
  <si>
    <t>Pedido Criado Por</t>
  </si>
  <si>
    <t>Nome Criador Pedido</t>
  </si>
  <si>
    <t>TipoPedido</t>
  </si>
  <si>
    <t>Pedido</t>
  </si>
  <si>
    <t>Item Pedido</t>
  </si>
  <si>
    <t>CompraLocal</t>
  </si>
  <si>
    <t>Comprador Pedido</t>
  </si>
  <si>
    <t>Dt Criação Pedido</t>
  </si>
  <si>
    <t>Status Lib. Pedido</t>
  </si>
  <si>
    <t>Dt Aprovação Pedido</t>
  </si>
  <si>
    <t>Dt Remessa Pedido</t>
  </si>
  <si>
    <t>Dt Estatistica Pedido</t>
  </si>
  <si>
    <t>DataConfirmada</t>
  </si>
  <si>
    <t>Qtd Pedido</t>
  </si>
  <si>
    <t>Qtd Fornecida</t>
  </si>
  <si>
    <t>Qtd a fornecer</t>
  </si>
  <si>
    <t>Dt MIGO</t>
  </si>
  <si>
    <t>Qtd Escriturada</t>
  </si>
  <si>
    <t>Qtd a Escriturar</t>
  </si>
  <si>
    <t>Dt MIRO</t>
  </si>
  <si>
    <t>Emissão NF</t>
  </si>
  <si>
    <t>Dt Pagamento</t>
  </si>
  <si>
    <t>Status Geral</t>
  </si>
  <si>
    <t>TotalLinhas</t>
  </si>
  <si>
    <t>16421260</t>
  </si>
  <si>
    <t>20</t>
  </si>
  <si>
    <t>Q</t>
  </si>
  <si>
    <t>Produção ind.projeto</t>
  </si>
  <si>
    <t>ZMAT</t>
  </si>
  <si>
    <t>ACRUZ10</t>
  </si>
  <si>
    <t>Aprovado</t>
  </si>
  <si>
    <t>R4</t>
  </si>
  <si>
    <t>RJB4</t>
  </si>
  <si>
    <t>SPE SANEAMENTO RIO 4 S.A</t>
  </si>
  <si>
    <t>3009240</t>
  </si>
  <si>
    <t>ADESIVO RESINA EPOXI 16G</t>
  </si>
  <si>
    <t>DP96</t>
  </si>
  <si>
    <t>37</t>
  </si>
  <si>
    <t>Não</t>
  </si>
  <si>
    <t>Spot</t>
  </si>
  <si>
    <t>Não Urgente</t>
  </si>
  <si>
    <t>CONSTRUÇÃO CIVIL</t>
  </si>
  <si>
    <t>U/46A.23153.A.RD.M.001</t>
  </si>
  <si>
    <t>Rede de Distribuição</t>
  </si>
  <si>
    <t>6000140916</t>
  </si>
  <si>
    <t>170</t>
  </si>
  <si>
    <t>Beatriz Serafim</t>
  </si>
  <si>
    <t>0</t>
  </si>
  <si>
    <t>131829</t>
  </si>
  <si>
    <t>MAXPLAST PRODUTOS INDUSTRIAIS LTDA</t>
  </si>
  <si>
    <t>ARIBACIG</t>
  </si>
  <si>
    <t>Conexão ARIBACIG x S4P</t>
  </si>
  <si>
    <t>PMNB</t>
  </si>
  <si>
    <t>4500716344</t>
  </si>
  <si>
    <t>Sim</t>
  </si>
  <si>
    <t>Liberado</t>
  </si>
  <si>
    <t>Escrituração Realizada</t>
  </si>
  <si>
    <t>16430051</t>
  </si>
  <si>
    <t>156</t>
  </si>
  <si>
    <t>6000145134</t>
  </si>
  <si>
    <t>190</t>
  </si>
  <si>
    <t>André Queiroz</t>
  </si>
  <si>
    <t>152800</t>
  </si>
  <si>
    <t>F.F. LIMA PARAFUSOS E FERRAMENTAS L</t>
  </si>
  <si>
    <t>4500751385</t>
  </si>
  <si>
    <t>10</t>
  </si>
  <si>
    <t>Bloqueado, modificável c/valor</t>
  </si>
  <si>
    <t>PC - em Aprovação</t>
  </si>
  <si>
    <t>16411558</t>
  </si>
  <si>
    <t>5506313</t>
  </si>
  <si>
    <t>ALICATE AMPERIMETRO DIGITAL 20/200/1000A</t>
  </si>
  <si>
    <t>DP98</t>
  </si>
  <si>
    <t>Suprimentos</t>
  </si>
  <si>
    <t>FERRAMENTAS</t>
  </si>
  <si>
    <t>4600081497</t>
  </si>
  <si>
    <t>350</t>
  </si>
  <si>
    <t>100231</t>
  </si>
  <si>
    <t>ANHANGUERA COMERCIO DE FERRAMENTASL</t>
  </si>
  <si>
    <t>USERJOBS</t>
  </si>
  <si>
    <t>Usuário Jobs</t>
  </si>
  <si>
    <t>PGLO</t>
  </si>
  <si>
    <t>4500645222</t>
  </si>
  <si>
    <t>Edney Jean</t>
  </si>
  <si>
    <t>16362199</t>
  </si>
  <si>
    <t>2130</t>
  </si>
  <si>
    <t>LSOUZA03</t>
  </si>
  <si>
    <t>5024637</t>
  </si>
  <si>
    <t>ANEL BORR ABF FLANGE FOFO DN100MM</t>
  </si>
  <si>
    <t>63</t>
  </si>
  <si>
    <t>FERRO FUNDIDO</t>
  </si>
  <si>
    <t>6000112064</t>
  </si>
  <si>
    <t>400</t>
  </si>
  <si>
    <t>Luciara Oliveira</t>
  </si>
  <si>
    <t>133697</t>
  </si>
  <si>
    <t>SOLVED SOLUCOES EM VEDACOES LTDA</t>
  </si>
  <si>
    <t>4500437805</t>
  </si>
  <si>
    <t>70</t>
  </si>
  <si>
    <t>500</t>
  </si>
  <si>
    <t>360</t>
  </si>
  <si>
    <t>30</t>
  </si>
  <si>
    <t>16404745</t>
  </si>
  <si>
    <t>100</t>
  </si>
  <si>
    <t>5024700</t>
  </si>
  <si>
    <t>BARRA ROSCADA AC 1020 1/2POL UNC 1M</t>
  </si>
  <si>
    <t>TUBOS E CONEXÕES DE AÇO</t>
  </si>
  <si>
    <t>6000132989</t>
  </si>
  <si>
    <t>106344</t>
  </si>
  <si>
    <t>CENTERVAL INDUSTRIAL LTDA</t>
  </si>
  <si>
    <t>4500619102</t>
  </si>
  <si>
    <t>16378221</t>
  </si>
  <si>
    <t>7502036</t>
  </si>
  <si>
    <t>BASTAO RESGATE FIBRA VID 34,5KV 2,28M</t>
  </si>
  <si>
    <t>264</t>
  </si>
  <si>
    <t>EPI E EPC</t>
  </si>
  <si>
    <t>6000121460</t>
  </si>
  <si>
    <t>Victor L. Lopes</t>
  </si>
  <si>
    <t>102933</t>
  </si>
  <si>
    <t>MULTISEG COMERCIO DE EQUIPAMENTOSDE</t>
  </si>
  <si>
    <t>4500509387</t>
  </si>
  <si>
    <t>4007463</t>
  </si>
  <si>
    <t>BATERIA ALCAL RECARREGAVEL 9V 250MAH</t>
  </si>
  <si>
    <t>MATERIAIS DE USO E CONSUMO</t>
  </si>
  <si>
    <t>4600096651</t>
  </si>
  <si>
    <t>1000</t>
  </si>
  <si>
    <t>106205</t>
  </si>
  <si>
    <t>SUPRICORP SUPRIMENTOS LTDA</t>
  </si>
  <si>
    <t>4500645232</t>
  </si>
  <si>
    <t>Amanda Oliva</t>
  </si>
  <si>
    <t>16394075</t>
  </si>
  <si>
    <t>5502622</t>
  </si>
  <si>
    <t>BOMBA MANUAL GRAX 12G 7KG</t>
  </si>
  <si>
    <t/>
  </si>
  <si>
    <t>Requisição - Item Concluído</t>
  </si>
  <si>
    <t>16432776</t>
  </si>
  <si>
    <t>40</t>
  </si>
  <si>
    <t>PMORAIS</t>
  </si>
  <si>
    <t>Cotação a agregar</t>
  </si>
  <si>
    <t>160</t>
  </si>
  <si>
    <t>5019778</t>
  </si>
  <si>
    <t>CABO ELET FLEX 750V 1MM2 CZ</t>
  </si>
  <si>
    <t>263</t>
  </si>
  <si>
    <t>MATERIAIS ELÉTRICOS</t>
  </si>
  <si>
    <t>4600091373</t>
  </si>
  <si>
    <t>810</t>
  </si>
  <si>
    <t>Natasha Amancio</t>
  </si>
  <si>
    <t>117810</t>
  </si>
  <si>
    <t>NORTEL SUPRIMENTOS INDUSTRIAIS LTDA</t>
  </si>
  <si>
    <t>4500612934</t>
  </si>
  <si>
    <t>150</t>
  </si>
  <si>
    <t>5019701</t>
  </si>
  <si>
    <t>CABO ELET FLEX 750V 1MM2 PT</t>
  </si>
  <si>
    <t>800</t>
  </si>
  <si>
    <t>16426739</t>
  </si>
  <si>
    <t>300</t>
  </si>
  <si>
    <t>5001074</t>
  </si>
  <si>
    <t>CABO ELET PP 450 / 750 V 4 X 6MM2</t>
  </si>
  <si>
    <t>73</t>
  </si>
  <si>
    <t>6000144464</t>
  </si>
  <si>
    <t>Edson Sanchez</t>
  </si>
  <si>
    <t>Cotação - em Negociação</t>
  </si>
  <si>
    <t>280</t>
  </si>
  <si>
    <t>5001155</t>
  </si>
  <si>
    <t>CABO ELET PP 450/750V4 X 25MM2 PT</t>
  </si>
  <si>
    <t>16432794</t>
  </si>
  <si>
    <t>5542384</t>
  </si>
  <si>
    <t>CARREGADOR PILHA/BAT 2BAT 12V 110/220V</t>
  </si>
  <si>
    <t>310</t>
  </si>
  <si>
    <t>5002241</t>
  </si>
  <si>
    <t>CHAVE COMBINADA 15º-10º 34MM</t>
  </si>
  <si>
    <t>6000144391</t>
  </si>
  <si>
    <t>119302</t>
  </si>
  <si>
    <t>FERRAMENTASGERAISCOM.IMPDEFERRAM.EM</t>
  </si>
  <si>
    <t>4500748195</t>
  </si>
  <si>
    <t>16401510</t>
  </si>
  <si>
    <t>5002242</t>
  </si>
  <si>
    <t>CHAVE COMBINADA 15º-10º 36MM</t>
  </si>
  <si>
    <t>332</t>
  </si>
  <si>
    <t>6000131108</t>
  </si>
  <si>
    <t>130</t>
  </si>
  <si>
    <t>Sandra Cardoso</t>
  </si>
  <si>
    <t>129738</t>
  </si>
  <si>
    <t>CORDEIRO MAQUINAS E FERRAMENTASLTDA</t>
  </si>
  <si>
    <t>4500595429</t>
  </si>
  <si>
    <t>Aguardando emissão NF</t>
  </si>
  <si>
    <t>5508724</t>
  </si>
  <si>
    <t>CINTA CARGA OLHAL 7:1 3T 4M AM</t>
  </si>
  <si>
    <t>317</t>
  </si>
  <si>
    <t>4600081322</t>
  </si>
  <si>
    <t>Fernando Gonçalo</t>
  </si>
  <si>
    <t>4500775130</t>
  </si>
  <si>
    <t>16425056</t>
  </si>
  <si>
    <t>90</t>
  </si>
  <si>
    <t>5504202</t>
  </si>
  <si>
    <t>CONECTOR DERIV PERF 16-150MM2</t>
  </si>
  <si>
    <t>4600092951</t>
  </si>
  <si>
    <t>880</t>
  </si>
  <si>
    <t>118269</t>
  </si>
  <si>
    <t>COMERCIAL ELETRICA P J LTDA</t>
  </si>
  <si>
    <t>4500721455</t>
  </si>
  <si>
    <t>80</t>
  </si>
  <si>
    <t>5542635</t>
  </si>
  <si>
    <t>CONECTOR DERIV PERF 50-240MM2</t>
  </si>
  <si>
    <t>5506946</t>
  </si>
  <si>
    <t>DESENGRIPANTE LIQ AM SPR 300ML</t>
  </si>
  <si>
    <t>290</t>
  </si>
  <si>
    <t>5023084</t>
  </si>
  <si>
    <t>DISCO CORTE S/REV 115MM 22,22MM 1MM META</t>
  </si>
  <si>
    <t>4600081496</t>
  </si>
  <si>
    <t>720</t>
  </si>
  <si>
    <t>4500737679</t>
  </si>
  <si>
    <t>16429989</t>
  </si>
  <si>
    <t>5004508</t>
  </si>
  <si>
    <t>DISJUNTOR MINI 3P 220/380VCA 80A</t>
  </si>
  <si>
    <t>4600092920</t>
  </si>
  <si>
    <t>4500760489</t>
  </si>
  <si>
    <t>60</t>
  </si>
  <si>
    <t>5004509</t>
  </si>
  <si>
    <t>DISJUNTOR MINI 3P 220VCA 100A</t>
  </si>
  <si>
    <t>50</t>
  </si>
  <si>
    <t>5004372</t>
  </si>
  <si>
    <t>DISJUNTOR MINI 3P 380V 63A 54MM</t>
  </si>
  <si>
    <t>5004475</t>
  </si>
  <si>
    <t>DISJUNTOR MINI 3P 400VCA 25A</t>
  </si>
  <si>
    <t>4600092925</t>
  </si>
  <si>
    <t>830</t>
  </si>
  <si>
    <t>4500760494</t>
  </si>
  <si>
    <t>5004514</t>
  </si>
  <si>
    <t>DISJUNTOR MINI 3P 400VCA 32A</t>
  </si>
  <si>
    <t>1790</t>
  </si>
  <si>
    <t>4500760506</t>
  </si>
  <si>
    <t>5004523</t>
  </si>
  <si>
    <t>DISJUNTOR MINI 3P 400VCA 40A</t>
  </si>
  <si>
    <t>5004516</t>
  </si>
  <si>
    <t>DISJUNTOR MINI 3P 400VCA 50A</t>
  </si>
  <si>
    <t>5004524</t>
  </si>
  <si>
    <t>DISJUNTOR MINI 3P 400VCA 70A</t>
  </si>
  <si>
    <t>4600092935</t>
  </si>
  <si>
    <t>630</t>
  </si>
  <si>
    <t>133854</t>
  </si>
  <si>
    <t>4500760680</t>
  </si>
  <si>
    <t>140</t>
  </si>
  <si>
    <t>5004549</t>
  </si>
  <si>
    <t>DISJUNTOR TM 3P 400VCA 20A</t>
  </si>
  <si>
    <t>670</t>
  </si>
  <si>
    <t>4008097</t>
  </si>
  <si>
    <t>ELEMENTO ELASTICO E-128 VULKAN</t>
  </si>
  <si>
    <t>351</t>
  </si>
  <si>
    <t>MATERIAIS MECÂNICOS</t>
  </si>
  <si>
    <t>6000132921</t>
  </si>
  <si>
    <t>Marcilene Carvalho</t>
  </si>
  <si>
    <t>100011</t>
  </si>
  <si>
    <t>ACRIFLEX IND COM. ACOPLAMENTOS LTDA</t>
  </si>
  <si>
    <t>4500620545</t>
  </si>
  <si>
    <t>4009169</t>
  </si>
  <si>
    <t>ELEMENTO ELASTICO E-148 VULKAN</t>
  </si>
  <si>
    <t>4009350</t>
  </si>
  <si>
    <t>ELEMENTO ELASTICO GE112 VULKAN</t>
  </si>
  <si>
    <t>4009120</t>
  </si>
  <si>
    <t>ELETRODO NIVEL HASTE 3/4POL BSP DIGIMEC</t>
  </si>
  <si>
    <t>6000132696</t>
  </si>
  <si>
    <t>106191</t>
  </si>
  <si>
    <t>PEU ELETRICIDADE LTDA.</t>
  </si>
  <si>
    <t>4500682923</t>
  </si>
  <si>
    <t>16401860</t>
  </si>
  <si>
    <t>5504835</t>
  </si>
  <si>
    <t>ELETRODO PENDULO PO POLIPROPILENO H</t>
  </si>
  <si>
    <t>4600092928</t>
  </si>
  <si>
    <t>900</t>
  </si>
  <si>
    <t>T3ENASCIMENT</t>
  </si>
  <si>
    <t>Edson Lourenço do Nascimento Lourenço do Nascimento</t>
  </si>
  <si>
    <t>4500594849</t>
  </si>
  <si>
    <t>16394071</t>
  </si>
  <si>
    <t>5506818</t>
  </si>
  <si>
    <t>ESCADA EXTENSIVEL 6 M</t>
  </si>
  <si>
    <t>6000127261</t>
  </si>
  <si>
    <t>116824</t>
  </si>
  <si>
    <t>PLANAC MAQUINAS E FERRAMENTAS LTDA</t>
  </si>
  <si>
    <t>4500564848</t>
  </si>
  <si>
    <t>16429923</t>
  </si>
  <si>
    <t>5508837</t>
  </si>
  <si>
    <t>FERRAMENTA ALINHAM POLIA 2,1MW</t>
  </si>
  <si>
    <t>5024527</t>
  </si>
  <si>
    <t>FITA ISOL PR 750V 19MM ROL 20M</t>
  </si>
  <si>
    <t>4600092936</t>
  </si>
  <si>
    <t>730</t>
  </si>
  <si>
    <t>4500721581</t>
  </si>
  <si>
    <t>5025447</t>
  </si>
  <si>
    <t>FITA ISOLANTE AUTOFUSAO PT 10M 19MM</t>
  </si>
  <si>
    <t>16405989</t>
  </si>
  <si>
    <t>3008275</t>
  </si>
  <si>
    <t>FITA ROTULADOR 12MM 8M 1UN</t>
  </si>
  <si>
    <t>226</t>
  </si>
  <si>
    <t>6000133778</t>
  </si>
  <si>
    <t>132832</t>
  </si>
  <si>
    <t>ANUBIS INFORMATICA LTDA</t>
  </si>
  <si>
    <t>4500629184</t>
  </si>
  <si>
    <t>5529551</t>
  </si>
  <si>
    <t>FURADEIRA ELET IMP 3250RPM</t>
  </si>
  <si>
    <t>5005568</t>
  </si>
  <si>
    <t>FUSIVEL NH LAMINA 500V 100A</t>
  </si>
  <si>
    <t>5005579</t>
  </si>
  <si>
    <t>FUSIVEL NH LAMINA 500V 80A</t>
  </si>
  <si>
    <t>110</t>
  </si>
  <si>
    <t>5022386</t>
  </si>
  <si>
    <t>FUSIVEL NH00 LAMINA 500V 160A</t>
  </si>
  <si>
    <t>4600092950</t>
  </si>
  <si>
    <t>890</t>
  </si>
  <si>
    <t>4500760504</t>
  </si>
  <si>
    <t>3001800</t>
  </si>
  <si>
    <t>GAXETA CORD QUAD 1/2POL</t>
  </si>
  <si>
    <t>4001908</t>
  </si>
  <si>
    <t>GAXETA CORDAO QUADR 5/8POL</t>
  </si>
  <si>
    <t>16428381</t>
  </si>
  <si>
    <t>5032516</t>
  </si>
  <si>
    <t>GRAVADOR METAL ELETR 7100RPM 10W 127V</t>
  </si>
  <si>
    <t>380</t>
  </si>
  <si>
    <t>4500748185</t>
  </si>
  <si>
    <t>5506551</t>
  </si>
  <si>
    <t>JG CHAVE FENDA SIMP CRUZ ISOL 1000V 7UN</t>
  </si>
  <si>
    <t>4600081306</t>
  </si>
  <si>
    <t>390</t>
  </si>
  <si>
    <t>FDGONCALO</t>
  </si>
  <si>
    <t>Fernando Domingues Goncalo</t>
  </si>
  <si>
    <t>4500737223</t>
  </si>
  <si>
    <t>5540903</t>
  </si>
  <si>
    <t>KIT FERRAM BITS/SOQUETES 43PCS</t>
  </si>
  <si>
    <t>194</t>
  </si>
  <si>
    <t>6000146533</t>
  </si>
  <si>
    <t>Joaz Souza</t>
  </si>
  <si>
    <t>149740</t>
  </si>
  <si>
    <t>BERTOLA  CIA LTDA</t>
  </si>
  <si>
    <t>4500771313</t>
  </si>
  <si>
    <t>2001216</t>
  </si>
  <si>
    <t>LENCOL BORR PT 2MM</t>
  </si>
  <si>
    <t>2001217</t>
  </si>
  <si>
    <t>LENCOL BORR PT 3MM</t>
  </si>
  <si>
    <t>2001218</t>
  </si>
  <si>
    <t>LENCOL BORR PT 4MM</t>
  </si>
  <si>
    <t>5006400</t>
  </si>
  <si>
    <t>LIMPA CONTATO LIQ TB SPR 300ML</t>
  </si>
  <si>
    <t>LUBRIFICANTES</t>
  </si>
  <si>
    <t>4006866</t>
  </si>
  <si>
    <t>LUVA ACOPLAMENTO 168MM</t>
  </si>
  <si>
    <t>6000132917</t>
  </si>
  <si>
    <t>4500618537</t>
  </si>
  <si>
    <t>4006867</t>
  </si>
  <si>
    <t>LUVA ACOPLAMENTO 194MM</t>
  </si>
  <si>
    <t>4006869</t>
  </si>
  <si>
    <t>LUVA ACOPLAMENTO 240MM</t>
  </si>
  <si>
    <t>210</t>
  </si>
  <si>
    <t>7500472</t>
  </si>
  <si>
    <t>LUVA PROT TERMICA AGENTES MEC 10/GG</t>
  </si>
  <si>
    <t>391</t>
  </si>
  <si>
    <t>4600068250</t>
  </si>
  <si>
    <t>710</t>
  </si>
  <si>
    <t>Tamires A. Rodrigu</t>
  </si>
  <si>
    <t>130649</t>
  </si>
  <si>
    <t>3G COMERCIO E EQUIPAMENTOS LTDA</t>
  </si>
  <si>
    <t>4500738264</t>
  </si>
  <si>
    <t>200</t>
  </si>
  <si>
    <t>7500224</t>
  </si>
  <si>
    <t>LUVA PROT TERMICA AGENTES MEC 11/XG</t>
  </si>
  <si>
    <t>6000144207</t>
  </si>
  <si>
    <t>220</t>
  </si>
  <si>
    <t>7500393</t>
  </si>
  <si>
    <t>LUVA PROT TERMICA AGENTES MEC 9/G</t>
  </si>
  <si>
    <t>410</t>
  </si>
  <si>
    <t>7502421</t>
  </si>
  <si>
    <t>LUVA SEG PA PT TAM G</t>
  </si>
  <si>
    <t>7502407</t>
  </si>
  <si>
    <t>LUVA SEG PA PT TAM GG</t>
  </si>
  <si>
    <t>7500382</t>
  </si>
  <si>
    <t>LUVA SEG PA PT TAM M PT QUIM MEC</t>
  </si>
  <si>
    <t>180</t>
  </si>
  <si>
    <t>7502420</t>
  </si>
  <si>
    <t>LUVA SEG PA PT TAM XG</t>
  </si>
  <si>
    <t>120</t>
  </si>
  <si>
    <t>7502408</t>
  </si>
  <si>
    <t>LUVA SEG PA PT TAM XXG</t>
  </si>
  <si>
    <t>3001935</t>
  </si>
  <si>
    <t>MARCADOR IND 2MM AMARELA TB 60ML</t>
  </si>
  <si>
    <t>6000144632</t>
  </si>
  <si>
    <t>153151</t>
  </si>
  <si>
    <t>EPI LIMP DISTRIBUIDORA COMERCIAL LT</t>
  </si>
  <si>
    <t>4500750655</t>
  </si>
  <si>
    <t>2004301</t>
  </si>
  <si>
    <t>MASSA PLAST PAST CZ LT 400GR</t>
  </si>
  <si>
    <t>4500751393</t>
  </si>
  <si>
    <t>4005283</t>
  </si>
  <si>
    <t>MICRO OLEO DESENGRIPANTE AEROSSOL 300ML</t>
  </si>
  <si>
    <t>5542374</t>
  </si>
  <si>
    <t>PARAFUSADEIRA ELETR IMPAC A BATERIA 40V</t>
  </si>
  <si>
    <t>5506520</t>
  </si>
  <si>
    <t>PARAFUSADEIRA FURADEIRA 110/220V</t>
  </si>
  <si>
    <t>860</t>
  </si>
  <si>
    <t>4500760393</t>
  </si>
  <si>
    <t>3012927</t>
  </si>
  <si>
    <t>PILHA RECAREG 1,2V AA 4UN</t>
  </si>
  <si>
    <t>4004439</t>
  </si>
  <si>
    <t>PLUG 3P+T 63A 380/440V VM IP67</t>
  </si>
  <si>
    <t>5030878</t>
  </si>
  <si>
    <t>PLUGUE ENERGIA PA AZ MACHO 3P+T 32A</t>
  </si>
  <si>
    <t>3006405</t>
  </si>
  <si>
    <t>PORCA AC 1020 1/2POL</t>
  </si>
  <si>
    <t>6000132920</t>
  </si>
  <si>
    <t>4500621638</t>
  </si>
  <si>
    <t>3006428</t>
  </si>
  <si>
    <t>PORCA AC 1020 3/4POL</t>
  </si>
  <si>
    <t>3006439</t>
  </si>
  <si>
    <t>PORCA AC 1020 5/16POL</t>
  </si>
  <si>
    <t>3006663</t>
  </si>
  <si>
    <t>PORCA SEXT AC 1020 1POL</t>
  </si>
  <si>
    <t>230</t>
  </si>
  <si>
    <t>5009011</t>
  </si>
  <si>
    <t>RELE NIVEL 220V CA 5A 60HZ 250V</t>
  </si>
  <si>
    <t>5021247</t>
  </si>
  <si>
    <t>RELE NIVEL INF SUP 220/380V 50/60HZ IP20</t>
  </si>
  <si>
    <t>780</t>
  </si>
  <si>
    <t>4500737715</t>
  </si>
  <si>
    <t>5032672</t>
  </si>
  <si>
    <t>RELE TEMP RETARDO ENERGIZ 0,5A30MIN 110V</t>
  </si>
  <si>
    <t>6000145404</t>
  </si>
  <si>
    <t>5009030</t>
  </si>
  <si>
    <t>RELE TEMPORIZADO TENSAO ALIMENTACAO 100</t>
  </si>
  <si>
    <t>4600095704</t>
  </si>
  <si>
    <t>151003</t>
  </si>
  <si>
    <t>ANDRA S A ELECTRIC SOLUTIONS</t>
  </si>
  <si>
    <t>4500740122</t>
  </si>
  <si>
    <t>4003705</t>
  </si>
  <si>
    <t>ROLAMENTO ESF RIG 6202-2ZC3 SKF</t>
  </si>
  <si>
    <t>6000144265</t>
  </si>
  <si>
    <t>4003706</t>
  </si>
  <si>
    <t>ROLAMENTO ESF RIG 6203Z SKF</t>
  </si>
  <si>
    <t>4003645</t>
  </si>
  <si>
    <t>ROLAMENTO ESF RIG 6203ZZ B EEMS NSK</t>
  </si>
  <si>
    <t>6000132919</t>
  </si>
  <si>
    <t>118580</t>
  </si>
  <si>
    <t>IMPORT. DE ROLAMENTOS RADIAL LTDA</t>
  </si>
  <si>
    <t>4500620544</t>
  </si>
  <si>
    <t>Escrituração Final Realizada</t>
  </si>
  <si>
    <t>4003666</t>
  </si>
  <si>
    <t>ROLAMENTO ESF RIG 6204-2Z SKF</t>
  </si>
  <si>
    <t>4003573</t>
  </si>
  <si>
    <t>ROLAMENTO ESF RIG 6206 SKF</t>
  </si>
  <si>
    <t>4003590</t>
  </si>
  <si>
    <t>ROLAMENTO ESF RIG 6207-2Z/C3 SKF</t>
  </si>
  <si>
    <t>4003599</t>
  </si>
  <si>
    <t>ROLAMENTO ESF RIG 6208-2Z SKF</t>
  </si>
  <si>
    <t>4007726</t>
  </si>
  <si>
    <t>ROLAMENTO ESF RIG 6209 ZZ C3 SKF</t>
  </si>
  <si>
    <t>4500598336</t>
  </si>
  <si>
    <t>6000142708</t>
  </si>
  <si>
    <t>4003686</t>
  </si>
  <si>
    <t>ROLAMENTO ESF RIG 6211ZC3 SKF</t>
  </si>
  <si>
    <t>4003620</t>
  </si>
  <si>
    <t>ROLAMENTO ESF RIG 6212C3 SKF</t>
  </si>
  <si>
    <t>4003622</t>
  </si>
  <si>
    <t>ROLAMENTO ESF RIG 6213ZC3 NSK</t>
  </si>
  <si>
    <t>4003680</t>
  </si>
  <si>
    <t>ROLAMENTO ESF RIG 6307-2Z SKF</t>
  </si>
  <si>
    <t>4007727</t>
  </si>
  <si>
    <t>ROLAMENTO ESF RIG 6309-2Z/C3 SKF</t>
  </si>
  <si>
    <t>4007728</t>
  </si>
  <si>
    <t>ROLAMENTO ESF RIG 6310-2Z/C3 SKF</t>
  </si>
  <si>
    <t>4003640</t>
  </si>
  <si>
    <t>ROLAMENTO ESF RIG 6311ZZC3 FAG</t>
  </si>
  <si>
    <t>4003701</t>
  </si>
  <si>
    <t>ROLAMENTO ESF RIG 6312-ZZ SKF</t>
  </si>
  <si>
    <t>4006576</t>
  </si>
  <si>
    <t>ROLAMENTO ESF RIG 6314 Z C3</t>
  </si>
  <si>
    <t>4006590</t>
  </si>
  <si>
    <t>ROLAMENTO RIG ESF RAD 6411 C3</t>
  </si>
  <si>
    <t>5512377</t>
  </si>
  <si>
    <t>ROTULADOR ELETRON AUTOM 230DPI 7,5MM/S</t>
  </si>
  <si>
    <t>77</t>
  </si>
  <si>
    <t>MATERIAIS DE TI</t>
  </si>
  <si>
    <t>6000133819</t>
  </si>
  <si>
    <t>Gislene Rodrigues</t>
  </si>
  <si>
    <t>142020</t>
  </si>
  <si>
    <t>ED PEL COMERCIO E SERVICO LTDA</t>
  </si>
  <si>
    <t>4500633639</t>
  </si>
  <si>
    <t>250</t>
  </si>
  <si>
    <t>4005833</t>
  </si>
  <si>
    <t>SELO MECANICO 21 D1.3/8</t>
  </si>
  <si>
    <t>6000144266</t>
  </si>
  <si>
    <t>6000147117</t>
  </si>
  <si>
    <t>4007455</t>
  </si>
  <si>
    <t>SELO MECANICO TS-P 1.1/4POL</t>
  </si>
  <si>
    <t>6000131298</t>
  </si>
  <si>
    <t>4500600032</t>
  </si>
  <si>
    <t>4007458</t>
  </si>
  <si>
    <t>SELO MECANICO TS-P 1.3/4POL</t>
  </si>
  <si>
    <t>240</t>
  </si>
  <si>
    <t>260</t>
  </si>
  <si>
    <t>4007453</t>
  </si>
  <si>
    <t>SELO MECANICO TS-P 3/4POL</t>
  </si>
  <si>
    <t>3008639</t>
  </si>
  <si>
    <t>SILICONE ACETICO ALTA TEMP VM 280G</t>
  </si>
  <si>
    <t>5010127</t>
  </si>
  <si>
    <t>TOMADA ELETRICA 220V 32A 3P+T</t>
  </si>
  <si>
    <t>T3NAMANCIO</t>
  </si>
  <si>
    <t>NATASHA DE OLIVEIRA AMANCIO DE OLIVEIRA AMANCIO</t>
  </si>
  <si>
    <t>4500726918</t>
  </si>
  <si>
    <t>16407867</t>
  </si>
  <si>
    <t>5025345</t>
  </si>
  <si>
    <t>VALVULA RET DUPLA FOFO WAF D100 16BAR</t>
  </si>
  <si>
    <t>Requisição - Item Eliminado</t>
  </si>
  <si>
    <t>5013457</t>
  </si>
  <si>
    <t>VALVULA RET DUPLA FOFO WAF D200 150</t>
  </si>
  <si>
    <t>85</t>
  </si>
  <si>
    <t>4600084015</t>
  </si>
  <si>
    <t>600</t>
  </si>
  <si>
    <t>Hermes Morais</t>
  </si>
  <si>
    <t>102514</t>
  </si>
  <si>
    <t>AVK - VALVULAS DO BRASIL LTDA</t>
  </si>
  <si>
    <t>JCRUZ3</t>
  </si>
  <si>
    <t>Junio Alvares da Cruz</t>
  </si>
  <si>
    <t>4500640315</t>
  </si>
  <si>
    <t>5025393</t>
  </si>
  <si>
    <t>VALVULA RET DUPLA FOFO WAF D50 16BAR</t>
  </si>
  <si>
    <t>5030545</t>
  </si>
  <si>
    <t>VALVULA RET DUPLA FOFO WAF D65 16BAR</t>
  </si>
  <si>
    <t>5018596</t>
  </si>
  <si>
    <t>VALVULA RET HOR UNICA BZ BSP D2 PN16</t>
  </si>
  <si>
    <t>Rótulos de Linha</t>
  </si>
  <si>
    <t>(vazio)</t>
  </si>
  <si>
    <t>Total Geral</t>
  </si>
  <si>
    <t>Obs:</t>
  </si>
  <si>
    <t>Cobrado via Email?</t>
  </si>
  <si>
    <t>FECVA S.A. SOLUCOES INDUSTRIAIS</t>
  </si>
  <si>
    <t>6000148656</t>
  </si>
  <si>
    <t>145468</t>
  </si>
  <si>
    <t>PORTORROL DISTRIBUIDORA LTDA</t>
  </si>
  <si>
    <t>4500778966</t>
  </si>
  <si>
    <t>120996</t>
  </si>
  <si>
    <t>ABECOM ROLAMENTOS E PRODUTOS DE BOR</t>
  </si>
  <si>
    <t>4500779915</t>
  </si>
  <si>
    <t>4500792326</t>
  </si>
  <si>
    <t>6000148270</t>
  </si>
  <si>
    <t>16438863</t>
  </si>
  <si>
    <t>Não Aprovado</t>
  </si>
  <si>
    <t>Requisição - Item Bloqueado</t>
  </si>
  <si>
    <t>274</t>
  </si>
  <si>
    <t>6000147390</t>
  </si>
  <si>
    <t>Jocilene Ramos</t>
  </si>
  <si>
    <t>155505</t>
  </si>
  <si>
    <t>MIX FULL COMERCIO ATACADISTA LTDA</t>
  </si>
  <si>
    <t>4500779173</t>
  </si>
  <si>
    <t>16439134</t>
  </si>
  <si>
    <t>5516370</t>
  </si>
  <si>
    <t>MEGOMETRO PORTATIL MINIPA MI-2552</t>
  </si>
  <si>
    <t>5507938</t>
  </si>
  <si>
    <t>MEGOMETRO PORTATIL 1000V</t>
  </si>
  <si>
    <t>153819</t>
  </si>
  <si>
    <t>ITURRI COIMPAR INDUSTRIA E COMERCIO</t>
  </si>
  <si>
    <t>4500779259</t>
  </si>
  <si>
    <t>4600081493</t>
  </si>
  <si>
    <t>4500791420</t>
  </si>
  <si>
    <t>6000147343</t>
  </si>
  <si>
    <t>148989</t>
  </si>
  <si>
    <t>MADUREIRA EPI COMERCIO LTDA</t>
  </si>
  <si>
    <t>4500782412</t>
  </si>
  <si>
    <t>4500782408</t>
  </si>
  <si>
    <t>16436772</t>
  </si>
  <si>
    <t>5541363</t>
  </si>
  <si>
    <t>INVERSOR FREQ TRI 75W 380/480V 140A</t>
  </si>
  <si>
    <t>16438858</t>
  </si>
  <si>
    <t>5540400</t>
  </si>
  <si>
    <t>GAXETA PTFE QUAD LUBRIF 9/16POL</t>
  </si>
  <si>
    <t>16436749</t>
  </si>
  <si>
    <t>3001795</t>
  </si>
  <si>
    <t>GARRAFA TERMICA 5L</t>
  </si>
  <si>
    <t>16438836</t>
  </si>
  <si>
    <t>5017206</t>
  </si>
  <si>
    <t>FUSIVEL ULTRA-RAPIDO SITOR 63A 690V</t>
  </si>
  <si>
    <t>5021161</t>
  </si>
  <si>
    <t>FUSIVEL ULTRA-RAPIDO SITOR 40A 690V</t>
  </si>
  <si>
    <t>5513976</t>
  </si>
  <si>
    <t>FUSIVEL ULTRA-RAPIDO NH-2 630A 690V</t>
  </si>
  <si>
    <t>5030394</t>
  </si>
  <si>
    <t>FUSIVEL ULTRA-RAPIDO NH2 315A 690V</t>
  </si>
  <si>
    <t>5503224</t>
  </si>
  <si>
    <t>FUSIVEL ULTRA-RAPIDO NH-1 160A 690V</t>
  </si>
  <si>
    <t>5503221</t>
  </si>
  <si>
    <t>FUSIVEL ULTRA-RAPIDO 80A 690V 000</t>
  </si>
  <si>
    <t>5503220</t>
  </si>
  <si>
    <t>FUSIVEL ULTRA-RAPIDO 50A 690V 000</t>
  </si>
  <si>
    <t>5503301</t>
  </si>
  <si>
    <t>FUSIVEL ULTRA-RAPIDO 35A 690V 000</t>
  </si>
  <si>
    <t>5025895</t>
  </si>
  <si>
    <t>FUSIVEL ULTRA-RAPIDO 350A 690V</t>
  </si>
  <si>
    <t>5017208</t>
  </si>
  <si>
    <t>FUSIVEL ULTRA-RAPIDO 160A 100KVA</t>
  </si>
  <si>
    <t>5503222</t>
  </si>
  <si>
    <t>FUSIVEL ULTRA-RAPIDO 125A 690V 00</t>
  </si>
  <si>
    <t>5503300</t>
  </si>
  <si>
    <t>FUSIVEL ULTRA-RAPIDO 100A 690V 00</t>
  </si>
  <si>
    <t>5516236</t>
  </si>
  <si>
    <t>FUSIVEL NH02 ULTRA-RAPIDO 690V 250A AR</t>
  </si>
  <si>
    <t>5516234</t>
  </si>
  <si>
    <t>FUSIVEL NH01 ULTRA-RAPIDO 690V 63A AR</t>
  </si>
  <si>
    <t>5516235</t>
  </si>
  <si>
    <t>FUSIVEL NH01 ULTRA-RAPIDO 690V 200A AR</t>
  </si>
  <si>
    <t>16440116</t>
  </si>
  <si>
    <t>750</t>
  </si>
  <si>
    <t>7502425</t>
  </si>
  <si>
    <t>CAMISA UNIF TERM/OP UNIS PES AZ ML XXXG</t>
  </si>
  <si>
    <t>ÁGUA ENCANADA</t>
  </si>
  <si>
    <t>740</t>
  </si>
  <si>
    <t>7502426</t>
  </si>
  <si>
    <t>CAMISA UNIF TERM/OP UNIS PES AZ ML XG</t>
  </si>
  <si>
    <t>7502409</t>
  </si>
  <si>
    <t>CAMISA UNIF TERM/OP UNIS PES AZ ML TAM P</t>
  </si>
  <si>
    <t>7502423</t>
  </si>
  <si>
    <t>CAMISA UNIF TERM/OP UNIS PES AZ ML TAM M</t>
  </si>
  <si>
    <t>7502401</t>
  </si>
  <si>
    <t>CAMISA UNIF TERM/OP UNIS PES AZ ML TAM G</t>
  </si>
  <si>
    <t>700</t>
  </si>
  <si>
    <t>7502427</t>
  </si>
  <si>
    <t>CAMISA UNIF TERM/OP UNIS PES AZ ML GG</t>
  </si>
  <si>
    <t>690</t>
  </si>
  <si>
    <t>7502505</t>
  </si>
  <si>
    <t>CALCA MANUT OPER BRIM CEDR RIP AZM XXXG</t>
  </si>
  <si>
    <t>UNIFORMES</t>
  </si>
  <si>
    <t>680</t>
  </si>
  <si>
    <t>7502488</t>
  </si>
  <si>
    <t>CALCA MANUT OPER BRIM CED RIP STOP AZM P</t>
  </si>
  <si>
    <t>7502507</t>
  </si>
  <si>
    <t>CALCA MANUT OPER BRIM CED RIP STOP AZM M</t>
  </si>
  <si>
    <t>660</t>
  </si>
  <si>
    <t>7502506</t>
  </si>
  <si>
    <t>CALCA MANUT OPER BRIM CED RIP STOP AZM G</t>
  </si>
  <si>
    <t>650</t>
  </si>
  <si>
    <t>7502498</t>
  </si>
  <si>
    <t>CALCA MANUT OPER BRIM CED RIP ST AZM XG</t>
  </si>
  <si>
    <t>640</t>
  </si>
  <si>
    <t>7502499</t>
  </si>
  <si>
    <t>CALCA MANUT OPER BRIM CED RIP ST AZM GG</t>
  </si>
  <si>
    <t>152899</t>
  </si>
  <si>
    <t>MULTFER SOLUCOES PARA INDUSTRIA E C</t>
  </si>
  <si>
    <t>4500783774</t>
  </si>
  <si>
    <t>16437339</t>
  </si>
  <si>
    <t>5000942</t>
  </si>
  <si>
    <t>CABO COB PP 750V4X10MM2 PT</t>
  </si>
  <si>
    <t>5022831</t>
  </si>
  <si>
    <t>CABO COB PP 1KV 4X4MM2 PT</t>
  </si>
  <si>
    <t>5021809</t>
  </si>
  <si>
    <t>CABO COB PP 1KV 4X16MM2 PT</t>
  </si>
  <si>
    <t>Chegou?</t>
  </si>
  <si>
    <t>Foi Retirado?</t>
  </si>
  <si>
    <t>SIm</t>
  </si>
  <si>
    <t>O fabricante não fabrica este tamanho</t>
  </si>
  <si>
    <t>Hoje, dia 27.04, o comprador cobrou o fornecedor, pedido já tem NF</t>
  </si>
  <si>
    <t>Sem retorno do comprador</t>
  </si>
  <si>
    <t>Valor excessivo</t>
  </si>
  <si>
    <t>Chave</t>
  </si>
  <si>
    <t>Hoje, dia 27.4, o comprador cobrou o fornecedor, pedido já tem NF</t>
  </si>
  <si>
    <t xml:space="preserve">Não </t>
  </si>
  <si>
    <t>CANCELADO</t>
  </si>
  <si>
    <t>não</t>
  </si>
  <si>
    <t>Aguardando</t>
  </si>
  <si>
    <t>Feito a validação 01.06</t>
  </si>
  <si>
    <t>16444659</t>
  </si>
  <si>
    <t>5515632</t>
  </si>
  <si>
    <t>TORQUIMETRO ESTALO 3/8POL 10-60NM</t>
  </si>
  <si>
    <t>5515633</t>
  </si>
  <si>
    <t>TORQUIMETRO ESTALO 1/2POL 10-60NM</t>
  </si>
  <si>
    <t>4500804285</t>
  </si>
  <si>
    <t>4500805703</t>
  </si>
  <si>
    <t>16442320</t>
  </si>
  <si>
    <t>5507548</t>
  </si>
  <si>
    <t>SACA GAXETA FLEX INTERC 11,1MM 280MM</t>
  </si>
  <si>
    <t>349</t>
  </si>
  <si>
    <t>6000151574</t>
  </si>
  <si>
    <t>Diego Rocha</t>
  </si>
  <si>
    <t>6000150731</t>
  </si>
  <si>
    <t>4500836232</t>
  </si>
  <si>
    <t>6000151201</t>
  </si>
  <si>
    <t>4500814579</t>
  </si>
  <si>
    <t>4600081329</t>
  </si>
  <si>
    <t>430</t>
  </si>
  <si>
    <t>4500814599</t>
  </si>
  <si>
    <t>16448022</t>
  </si>
  <si>
    <t>TTORRES</t>
  </si>
  <si>
    <t>3009745</t>
  </si>
  <si>
    <t>MALA FERRAMENTA 16POL TECIDO</t>
  </si>
  <si>
    <t>6000152549</t>
  </si>
  <si>
    <t>55</t>
  </si>
  <si>
    <t>Robson Ferreira</t>
  </si>
  <si>
    <t>6000151304</t>
  </si>
  <si>
    <t>Luciana Venturi</t>
  </si>
  <si>
    <t>4500835852</t>
  </si>
  <si>
    <t>6000151180</t>
  </si>
  <si>
    <t>4500835846</t>
  </si>
  <si>
    <t>4600098499</t>
  </si>
  <si>
    <t>4500814863</t>
  </si>
  <si>
    <t>580</t>
  </si>
  <si>
    <t>4500814598</t>
  </si>
  <si>
    <t>770</t>
  </si>
  <si>
    <t>4600092924</t>
  </si>
  <si>
    <t>4500814581</t>
  </si>
  <si>
    <t>4600092926</t>
  </si>
  <si>
    <t>1610</t>
  </si>
  <si>
    <t>4500814583</t>
  </si>
  <si>
    <t>420</t>
  </si>
  <si>
    <t>4500814666</t>
  </si>
  <si>
    <t>4500828932</t>
  </si>
  <si>
    <t>4500814667</t>
  </si>
  <si>
    <t>4600092944</t>
  </si>
  <si>
    <t>540</t>
  </si>
  <si>
    <t>133519</t>
  </si>
  <si>
    <t>DIMENSIONAL BRASIL SOLUCOES LTDA</t>
  </si>
  <si>
    <t>4500828550</t>
  </si>
  <si>
    <t>4500816459</t>
  </si>
  <si>
    <t>6000151573</t>
  </si>
  <si>
    <t>6000150531</t>
  </si>
  <si>
    <t>370</t>
  </si>
  <si>
    <t>16447897</t>
  </si>
  <si>
    <t>CSIQUEIRA04</t>
  </si>
  <si>
    <t>4005795</t>
  </si>
  <si>
    <t>DESENGRAXANTE LIQ 5L</t>
  </si>
  <si>
    <t>154455</t>
  </si>
  <si>
    <t>AVAL SUPRIMENTOS INDUSTRIAIS LTDA</t>
  </si>
  <si>
    <t>4500835856</t>
  </si>
  <si>
    <t>3009592</t>
  </si>
  <si>
    <t>COLA MULTIUSO SPRAY 330G</t>
  </si>
  <si>
    <t>6000150706</t>
  </si>
  <si>
    <t>4500827969</t>
  </si>
  <si>
    <t>5002291</t>
  </si>
  <si>
    <t>CHAVE COMBINADA JG 15PC 6-32MM</t>
  </si>
  <si>
    <t>4600081474</t>
  </si>
  <si>
    <t>4500814842</t>
  </si>
  <si>
    <t>6000149674</t>
  </si>
  <si>
    <t>340</t>
  </si>
  <si>
    <t>6000149685</t>
  </si>
  <si>
    <t>147039</t>
  </si>
  <si>
    <t>ARBEITMIT UNIFORMES CORPORATIVOS</t>
  </si>
  <si>
    <t>4500842888</t>
  </si>
  <si>
    <t>330</t>
  </si>
  <si>
    <t>320</t>
  </si>
  <si>
    <t>440</t>
  </si>
  <si>
    <t>16447769</t>
  </si>
  <si>
    <t>4009756</t>
  </si>
  <si>
    <t>BUCHA REDUCAO GALV 2.1/2X2</t>
  </si>
  <si>
    <t>Feito a validação 1.6</t>
  </si>
  <si>
    <t>BATERIA ALCALINA 2700MAH 4,5V</t>
  </si>
  <si>
    <t>SIM</t>
  </si>
  <si>
    <t>6000152290</t>
  </si>
  <si>
    <t>143551</t>
  </si>
  <si>
    <t>ABRASUL ABRASIVO EPI SOLDAS LTDA</t>
  </si>
  <si>
    <t>4500856471</t>
  </si>
  <si>
    <t>16451870</t>
  </si>
  <si>
    <t>6000154203</t>
  </si>
  <si>
    <t>6000152408</t>
  </si>
  <si>
    <t>5540397</t>
  </si>
  <si>
    <t>GAXETA PTFE QUAD LUBRIF 3/8POL</t>
  </si>
  <si>
    <t>5540401</t>
  </si>
  <si>
    <t>GAXETA PTFE QUAD LUBRIF 3/4POL</t>
  </si>
  <si>
    <t>5540399</t>
  </si>
  <si>
    <t>GAXETA PTFE QUAD LUBRIF 1/2POL</t>
  </si>
  <si>
    <t>270</t>
  </si>
  <si>
    <t>5540407</t>
  </si>
  <si>
    <t>GAXETA PTFE QUAD GRAF 9/16POL</t>
  </si>
  <si>
    <t>5540408</t>
  </si>
  <si>
    <t>GAXETA PTFE QUAD GRAF 5/8POL</t>
  </si>
  <si>
    <t>3001802</t>
  </si>
  <si>
    <t>GAXETA CORD QUAD 7/16POL</t>
  </si>
  <si>
    <t>4500866895</t>
  </si>
  <si>
    <t>Escrituração Parcial Realizada</t>
  </si>
  <si>
    <t>103556</t>
  </si>
  <si>
    <t>ELETROMAX 25 DE AGOSTO LTDA</t>
  </si>
  <si>
    <t>4500867710</t>
  </si>
  <si>
    <t>131287</t>
  </si>
  <si>
    <t>CABINE RIO COMERCIAL ELETRICA LTDA</t>
  </si>
  <si>
    <t>4500867718</t>
  </si>
  <si>
    <t>140972</t>
  </si>
  <si>
    <t>CIGAME COMERCIO DE MATERIAL ELETRIC</t>
  </si>
  <si>
    <t>4500867719</t>
  </si>
  <si>
    <t>5506344</t>
  </si>
  <si>
    <t>DESENGRIPANTE LIQ AM SPR 500ML</t>
  </si>
  <si>
    <t>6000153788</t>
  </si>
  <si>
    <t>6000153068</t>
  </si>
  <si>
    <t>4500839156</t>
  </si>
  <si>
    <t>6000152844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</si>
</sst>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6">
    <font>
      <sz val="11"/>
      <name val="Aptos Narrow"/>
    </font>
    <font>
      <b/>
      <sz val="11"/>
      <color theme="1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  <font>
      <u/>
      <sz val="11"/>
      <name val="Aptos Narrow"/>
      <family val="2"/>
    </font>
    <font>
      <b/>
      <u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2" xfId="0" applyFont="1" applyFill="1" applyBorder="1"/>
    <xf numFmtId="14" fontId="0" fillId="0" borderId="0" xfId="0" applyNumberFormat="1" applyAlignment="1">
      <alignment horizontal="left"/>
    </xf>
    <xf numFmtId="0" fontId="1" fillId="3" borderId="2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3" fillId="0" borderId="0" xfId="0" applyFont="1"/>
    <xf numFmtId="0" fontId="1" fillId="3" borderId="0" xfId="0" applyFont="1" applyFill="1"/>
    <xf numFmtId="0" fontId="4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14" fontId="2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 Victor dos Santos" refreshedDate="46205.43342523148" createdVersion="8" refreshedVersion="8" minRefreshableVersion="3" recordCount="180" xr:uid="{A6014C74-97DF-48DF-9DB8-784E96980288}">
  <cacheSource type="worksheet">
    <worksheetSource ref="B1:BP190" sheet="Export"/>
  </cacheSource>
  <cacheFields count="67">
    <cacheField name="Requisicao" numFmtId="0">
      <sharedItems containsBlank="1" count="34">
        <s v="16407867"/>
        <s v="16444659"/>
        <s v="16425056"/>
        <s v="16432776"/>
        <s v="16426739"/>
        <s v="16401860"/>
        <s v="16429989"/>
        <s v="16442320"/>
        <s v="16405989"/>
        <s v="16432794"/>
        <s v="16401510"/>
        <s v="16404745"/>
        <s v="16451870"/>
        <s v="16428381"/>
        <s v="16430051"/>
        <s v="16438863"/>
        <s v="16429923"/>
        <s v="16439134"/>
        <s v="16421260"/>
        <s v="16448022"/>
        <s v="16436772"/>
        <s v="16438858"/>
        <s v="16436749"/>
        <s v="16438836"/>
        <s v="16394071"/>
        <s v="16447897"/>
        <s v="16440116"/>
        <s v="16437339"/>
        <s v="16447769"/>
        <s v="16394075"/>
        <s v="16411558"/>
        <s v="16378221"/>
        <s v="16362199"/>
        <m/>
      </sharedItems>
    </cacheField>
    <cacheField name="Item RC" numFmtId="0">
      <sharedItems containsBlank="1" count="45">
        <s v="20"/>
        <s v="30"/>
        <s v="10"/>
        <s v="50"/>
        <s v="40"/>
        <s v="60"/>
        <s v="260"/>
        <s v="240"/>
        <s v="170"/>
        <s v="230"/>
        <s v="160"/>
        <s v="250"/>
        <s v="180"/>
        <s v="110"/>
        <s v="100"/>
        <s v="90"/>
        <s v="80"/>
        <s v="140"/>
        <s v="70"/>
        <s v="130"/>
        <s v="120"/>
        <s v="190"/>
        <s v="150"/>
        <s v="220"/>
        <s v="200"/>
        <s v="210"/>
        <s v="290"/>
        <s v="310"/>
        <s v="750"/>
        <s v="740"/>
        <s v="730"/>
        <s v="720"/>
        <s v="710"/>
        <s v="700"/>
        <s v="690"/>
        <s v="680"/>
        <s v="670"/>
        <s v="660"/>
        <s v="650"/>
        <s v="640"/>
        <s v="280"/>
        <s v="300"/>
        <s v="2130"/>
        <s v="500"/>
        <m/>
      </sharedItems>
    </cacheField>
    <cacheField name="Cód. ClassContabil" numFmtId="0">
      <sharedItems containsBlank="1"/>
    </cacheField>
    <cacheField name="Class. Contab. RC" numFmtId="0">
      <sharedItems containsBlank="1"/>
    </cacheField>
    <cacheField name="Tipo RC" numFmtId="0">
      <sharedItems containsBlank="1"/>
    </cacheField>
    <cacheField name="RC Criada Por" numFmtId="0">
      <sharedItems containsBlank="1"/>
    </cacheField>
    <cacheField name="Dt Criação RC" numFmtId="0">
      <sharedItems containsDate="1" containsString="0" containsBlank="1" containsMixedTypes="1" minDate="2025-07-17T00:00:00" maxDate="1900-01-05T12:51:04" count="30">
        <d v="2025-10-10T00:00:00"/>
        <d v="2026-05-08T00:00:00"/>
        <d v="2026-01-23T00:00:00"/>
        <d v="2026-03-09T00:00:00"/>
        <d v="2026-02-03T00:00:00"/>
        <d v="2025-09-04T00:00:00"/>
        <d v="2026-02-20T00:00:00"/>
        <d v="2026-04-29T00:00:00"/>
        <d v="2025-09-30T00:00:00"/>
        <d v="2025-09-02T00:00:00"/>
        <d v="2025-09-22T00:00:00"/>
        <d v="2026-06-17T00:00:00"/>
        <d v="2026-02-10T00:00:00"/>
        <d v="2026-04-10T00:00:00"/>
        <d v="2026-04-13T00:00:00"/>
        <d v="2026-01-02T00:00:00"/>
        <d v="2026-05-27T00:00:00"/>
        <d v="2026-03-30T00:00:00"/>
        <d v="2025-07-17T00:00:00"/>
        <d v="2026-04-17T00:00:00"/>
        <d v="2026-04-01T00:00:00"/>
        <d v="2026-05-26T00:00:00"/>
        <n v="46090"/>
        <n v="45961"/>
        <n v="45754"/>
        <n v="45922"/>
        <n v="45659"/>
        <n v="46024"/>
        <n v="46073"/>
        <m/>
      </sharedItems>
    </cacheField>
    <cacheField name="Dt Remessa RC" numFmtId="0">
      <sharedItems containsDate="1" containsString="0" containsBlank="1" containsMixedTypes="1" minDate="2025-07-17T00:00:00" maxDate="1900-01-05T17:51:04"/>
    </cacheField>
    <cacheField name="Status Requisição" numFmtId="0">
      <sharedItems containsBlank="1"/>
    </cacheField>
    <cacheField name="Dt Aprovação RC" numFmtId="0">
      <sharedItems containsDate="1" containsString="0" containsBlank="1" containsMixedTypes="1" minDate="2025-07-18T00:00:00" maxDate="1900-01-05T14:51:04"/>
    </cacheField>
    <cacheField name="Regional" numFmtId="0">
      <sharedItems containsBlank="1"/>
    </cacheField>
    <cacheField name="Centro" numFmtId="0">
      <sharedItems containsBlank="1"/>
    </cacheField>
    <cacheField name="Unidade" numFmtId="0">
      <sharedItems containsBlank="1"/>
    </cacheField>
    <cacheField name="Material" numFmtId="0">
      <sharedItems containsBlank="1"/>
    </cacheField>
    <cacheField name="Descrição Material" numFmtId="0">
      <sharedItems containsBlank="1" count="159">
        <s v="VALVULA RET HOR UNICA BZ BSP D2 PN16"/>
        <s v="VALVULA RET DUPLA FOFO WAF D65 16BAR"/>
        <s v="VALVULA RET DUPLA FOFO WAF D50 16BAR"/>
        <s v="VALVULA RET DUPLA FOFO WAF D200 150"/>
        <s v="VALVULA RET DUPLA FOFO WAF D100 16BAR"/>
        <s v="TORQUIMETRO ESTALO 3/8POL 10-60NM"/>
        <s v="TORQUIMETRO ESTALO 1/2POL 10-60NM"/>
        <s v="TOMADA ELETRICA 220V 32A 3P+T"/>
        <s v="SILICONE ACETICO ALTA TEMP VM 280G"/>
        <s v="SELO MECANICO TS-P 3/4POL"/>
        <s v="SELO MECANICO TS-P 1.3/4POL"/>
        <s v="SELO MECANICO TS-P 1.1/4POL"/>
        <s v="SELO MECANICO 21 D1.3/8"/>
        <s v="SACA GAXETA FLEX INTERC 11,1MM 280MM"/>
        <s v="ROTULADOR ELETRON AUTOM 230DPI 7,5MM/S"/>
        <s v="ROLAMENTO RIG ESF RAD 6411 C3"/>
        <s v="ROLAMENTO ESF RIG 6314 Z C3"/>
        <s v="ROLAMENTO ESF RIG 6312-ZZ SKF"/>
        <s v="ROLAMENTO ESF RIG 6311ZZC3 FAG"/>
        <s v="ROLAMENTO ESF RIG 6310-2Z/C3 SKF"/>
        <s v="ROLAMENTO ESF RIG 6309-2Z/C3 SKF"/>
        <s v="ROLAMENTO ESF RIG 6307-2Z SKF"/>
        <s v="ROLAMENTO ESF RIG 6213ZC3 NSK"/>
        <s v="ROLAMENTO ESF RIG 6212C3 SKF"/>
        <s v="ROLAMENTO ESF RIG 6211ZC3 SKF"/>
        <s v="ROLAMENTO ESF RIG 6209 ZZ C3 SKF"/>
        <s v="ROLAMENTO ESF RIG 6208-2Z SKF"/>
        <s v="ROLAMENTO ESF RIG 6207-2Z/C3 SKF"/>
        <s v="ROLAMENTO ESF RIG 6206 SKF"/>
        <s v="ROLAMENTO ESF RIG 6204-2Z SKF"/>
        <s v="ROLAMENTO ESF RIG 6203ZZ B EEMS NSK"/>
        <s v="ROLAMENTO ESF RIG 6203Z SKF"/>
        <s v="ROLAMENTO ESF RIG 6202-2ZC3 SKF"/>
        <s v="RELE TEMPORIZADO TENSAO ALIMENTACAO 100"/>
        <s v="RELE TEMP RETARDO ENERGIZ 0,5A30MIN 110V"/>
        <s v="RELE NIVEL INF SUP 220/380V 50/60HZ IP20"/>
        <s v="RELE NIVEL 220V CA 5A 60HZ 250V"/>
        <s v="PORCA SEXT AC 1020 1POL"/>
        <s v="PORCA AC 1020 5/16POL"/>
        <s v="PORCA AC 1020 3/4POL"/>
        <s v="PORCA AC 1020 1/2POL"/>
        <s v="PLUGUE ENERGIA PA AZ MACHO 3P+T 32A"/>
        <s v="PLUG 3P+T 63A 380/440V VM IP67"/>
        <s v="PILHA RECAREG 1,2V AA 4UN"/>
        <s v="PARAFUSADEIRA FURADEIRA 110/220V"/>
        <s v="PARAFUSADEIRA ELETR IMPAC A BATERIA 40V"/>
        <s v="MICRO OLEO DESENGRIPANTE AEROSSOL 300ML"/>
        <s v="MEGOMETRO PORTATIL MINIPA MI-2552"/>
        <s v="MEGOMETRO PORTATIL 1000V"/>
        <s v="MASSA PLAST PAST CZ LT 400GR"/>
        <s v="MARCADOR IND 2MM AMARELA TB 60ML"/>
        <s v="MALA FERRAMENTA 16POL TECIDO"/>
        <s v="LUVA SEG PA PT TAM XXG"/>
        <s v="LUVA SEG PA PT TAM XG"/>
        <s v="LUVA SEG PA PT TAM M PT QUIM MEC"/>
        <s v="LUVA SEG PA PT TAM GG"/>
        <s v="LUVA SEG PA PT TAM G"/>
        <s v="LUVA PROT TERMICA AGENTES MEC 9/G"/>
        <s v="LUVA PROT TERMICA AGENTES MEC 11/XG"/>
        <s v="LUVA PROT TERMICA AGENTES MEC 10/GG"/>
        <s v="LUVA ACOPLAMENTO 240MM"/>
        <s v="LUVA ACOPLAMENTO 194MM"/>
        <s v="LUVA ACOPLAMENTO 168MM"/>
        <s v="LIMPA CONTATO LIQ TB SPR 300ML"/>
        <s v="LENCOL BORR PT 4MM"/>
        <s v="LENCOL BORR PT 3MM"/>
        <s v="LENCOL BORR PT 2MM"/>
        <s v="KIT FERRAM BITS/SOQUETES 43PCS"/>
        <s v="JG CHAVE FENDA SIMP CRUZ ISOL 1000V 7UN"/>
        <s v="INVERSOR FREQ TRI 75W 380/480V 140A"/>
        <s v="GRAVADOR METAL ELETR 7100RPM 10W 127V"/>
        <s v="GAXETA PTFE QUAD LUBRIF 9/16POL"/>
        <s v="GAXETA PTFE QUAD LUBRIF 3/8POL"/>
        <s v="GAXETA PTFE QUAD LUBRIF 3/4POL"/>
        <s v="GAXETA PTFE QUAD LUBRIF 1/2POL"/>
        <s v="GAXETA PTFE QUAD GRAF 9/16POL"/>
        <s v="GAXETA PTFE QUAD GRAF 5/8POL"/>
        <s v="GAXETA CORDAO QUADR 5/8POL"/>
        <s v="GAXETA CORD QUAD 7/16POL"/>
        <s v="GAXETA CORD QUAD 1/2POL"/>
        <s v="GARRAFA TERMICA 5L"/>
        <s v="FUSIVEL ULTRA-RAPIDO SITOR 63A 690V"/>
        <s v="FUSIVEL ULTRA-RAPIDO SITOR 40A 690V"/>
        <s v="FUSIVEL ULTRA-RAPIDO NH-2 630A 690V"/>
        <s v="FUSIVEL ULTRA-RAPIDO NH2 315A 690V"/>
        <s v="FUSIVEL ULTRA-RAPIDO NH-1 160A 690V"/>
        <s v="FUSIVEL ULTRA-RAPIDO 80A 690V 000"/>
        <s v="FUSIVEL ULTRA-RAPIDO 50A 690V 000"/>
        <s v="FUSIVEL ULTRA-RAPIDO 35A 690V 000"/>
        <s v="FUSIVEL ULTRA-RAPIDO 350A 690V"/>
        <s v="FUSIVEL ULTRA-RAPIDO 160A 100KVA"/>
        <s v="FUSIVEL ULTRA-RAPIDO 125A 690V 00"/>
        <s v="FUSIVEL ULTRA-RAPIDO 100A 690V 00"/>
        <s v="FUSIVEL NH02 ULTRA-RAPIDO 690V 250A AR"/>
        <s v="FUSIVEL NH01 ULTRA-RAPIDO 690V 63A AR"/>
        <s v="FUSIVEL NH01 ULTRA-RAPIDO 690V 200A AR"/>
        <s v="FUSIVEL NH00 LAMINA 500V 160A"/>
        <s v="FUSIVEL NH LAMINA 500V 80A"/>
        <s v="FUSIVEL NH LAMINA 500V 100A"/>
        <s v="FURADEIRA ELET IMP 3250RPM"/>
        <s v="FITA ROTULADOR 12MM 8M 1UN"/>
        <s v="FITA ISOLANTE AUTOFUSAO PT 10M 19MM"/>
        <s v="FITA ISOL PR 750V 19MM ROL 20M"/>
        <s v="FERRAMENTA ALINHAM POLIA 2,1MW"/>
        <s v="ESCADA EXTENSIVEL 6 M"/>
        <s v="ELETRODO PENDULO PO POLIPROPILENO H"/>
        <s v="ELETRODO NIVEL HASTE 3/4POL BSP DIGIMEC"/>
        <s v="ELEMENTO ELASTICO GE112 VULKAN"/>
        <s v="ELEMENTO ELASTICO E-148 VULKAN"/>
        <s v="ELEMENTO ELASTICO E-128 VULKAN"/>
        <s v="DISJUNTOR TM 3P 400VCA 20A"/>
        <s v="DISJUNTOR MINI 3P 400VCA 70A"/>
        <s v="DISJUNTOR MINI 3P 400VCA 50A"/>
        <s v="DISJUNTOR MINI 3P 400VCA 40A"/>
        <s v="DISJUNTOR MINI 3P 400VCA 32A"/>
        <s v="DISJUNTOR MINI 3P 400VCA 25A"/>
        <s v="DISJUNTOR MINI 3P 380V 63A 54MM"/>
        <s v="DISJUNTOR MINI 3P 220VCA 100A"/>
        <s v="DISJUNTOR MINI 3P 220/380VCA 80A"/>
        <s v="DISCO CORTE S/REV 115MM 22,22MM 1MM META"/>
        <s v="DESENGRIPANTE LIQ AM SPR 500ML"/>
        <s v="DESENGRIPANTE LIQ AM SPR 300ML"/>
        <s v="DESENGRAXANTE LIQ 5L"/>
        <s v="CONECTOR DERIV PERF 50-240MM2"/>
        <s v="CONECTOR DERIV PERF 16-150MM2"/>
        <s v="COLA MULTIUSO SPRAY 330G"/>
        <s v="CINTA CARGA OLHAL 7:1 3T 4M AM"/>
        <s v="CHAVE COMBINADA JG 15PC 6-32MM"/>
        <s v="CHAVE COMBINADA 15º-10º 36MM"/>
        <s v="CHAVE COMBINADA 15º-10º 34MM"/>
        <s v="CARREGADOR PILHA/BAT 2BAT 12V 110/220V"/>
        <s v="CAMISA UNIF TERM/OP UNIS PES AZ ML XXXG"/>
        <s v="CAMISA UNIF TERM/OP UNIS PES AZ ML XG"/>
        <s v="CAMISA UNIF TERM/OP UNIS PES AZ ML TAM P"/>
        <s v="CAMISA UNIF TERM/OP UNIS PES AZ ML TAM M"/>
        <s v="CAMISA UNIF TERM/OP UNIS PES AZ ML TAM G"/>
        <s v="CAMISA UNIF TERM/OP UNIS PES AZ ML GG"/>
        <s v="CALCA MANUT OPER BRIM CEDR RIP AZM XXXG"/>
        <s v="CALCA MANUT OPER BRIM CED RIP STOP AZM P"/>
        <s v="CALCA MANUT OPER BRIM CED RIP STOP AZM M"/>
        <s v="CALCA MANUT OPER BRIM CED RIP STOP AZM G"/>
        <s v="CALCA MANUT OPER BRIM CED RIP ST AZM XG"/>
        <s v="CALCA MANUT OPER BRIM CED RIP ST AZM GG"/>
        <s v="CABO ELET PP 450/750V4 X 25MM2 PT"/>
        <s v="CABO ELET PP 450 / 750 V 4 X 6MM2"/>
        <s v="CABO ELET FLEX 750V 1MM2 PT"/>
        <s v="CABO ELET FLEX 750V 1MM2 CZ"/>
        <s v="CABO COB PP 750V4X10MM2 PT"/>
        <s v="CABO COB PP 1KV 4X4MM2 PT"/>
        <s v="CABO COB PP 1KV 4X16MM2 PT"/>
        <s v="BUCHA REDUCAO GALV 2.1/2X2"/>
        <s v="BOMBA MANUAL GRAX 12G 7KG"/>
        <s v="BATERIA ALCAL RECARREGAVEL 9V 250MAH"/>
        <s v="BASTAO RESGATE FIBRA VID 34,5KV 2,28M"/>
        <s v="BARRA ROSCADA AC 1020 1/2POL UNC 1M"/>
        <s v="ANEL BORR ABF FLANGE FOFO DN100MM"/>
        <s v="ALICATE AMPERIMETRO DIGITAL 20/200/1000A"/>
        <s v="ADESIVO RESINA EPOXI 16G"/>
        <m/>
      </sharedItems>
    </cacheField>
    <cacheField name="Qtde RC" numFmtId="0">
      <sharedItems containsString="0" containsBlank="1" containsNumber="1" containsInteger="1" minValue="1" maxValue="600" count="26">
        <n v="10"/>
        <n v="2"/>
        <n v="4"/>
        <n v="6"/>
        <n v="5"/>
        <n v="20"/>
        <n v="7"/>
        <n v="1"/>
        <n v="15"/>
        <n v="8"/>
        <n v="3"/>
        <n v="50"/>
        <n v="100"/>
        <n v="16"/>
        <n v="21"/>
        <n v="27"/>
        <n v="150"/>
        <n v="30"/>
        <n v="25"/>
        <n v="40"/>
        <n v="11"/>
        <n v="9"/>
        <n v="18"/>
        <n v="600"/>
        <n v="200"/>
        <m/>
      </sharedItems>
    </cacheField>
    <cacheField name="DepositoRC" numFmtId="0">
      <sharedItems containsBlank="1"/>
    </cacheField>
    <cacheField name="Setor" numFmtId="0">
      <sharedItems containsBlank="1"/>
    </cacheField>
    <cacheField name="ParametroDefinitivo" numFmtId="0">
      <sharedItems containsBlank="1"/>
    </cacheField>
    <cacheField name="DataBaseProcessodefinitivo" numFmtId="0">
      <sharedItems containsDate="1" containsString="0" containsBlank="1" containsMixedTypes="1" minDate="2024-07-26T00:00:00" maxDate="1900-01-05T23:51:04"/>
    </cacheField>
    <cacheField name="Material Corporativo" numFmtId="0">
      <sharedItems containsBlank="1"/>
    </cacheField>
    <cacheField name="Contrato ou Spot" numFmtId="0">
      <sharedItems containsBlank="1"/>
    </cacheField>
    <cacheField name="Urgente" numFmtId="0">
      <sharedItems containsBlank="1"/>
    </cacheField>
    <cacheField name="Material/Serviço" numFmtId="0">
      <sharedItems containsBlank="1"/>
    </cacheField>
    <cacheField name="Categoria/Família" numFmtId="0">
      <sharedItems containsBlank="1"/>
    </cacheField>
    <cacheField name="Cen. Custo / PEP" numFmtId="0">
      <sharedItems containsBlank="1"/>
    </cacheField>
    <cacheField name="InfraEstrutura" numFmtId="0">
      <sharedItems containsBlank="1"/>
    </cacheField>
    <cacheField name="Ordem" numFmtId="0">
      <sharedItems containsNonDate="0" containsString="0" containsBlank="1"/>
    </cacheField>
    <cacheField name="ContaDoRazaoRC" numFmtId="0">
      <sharedItems containsString="0" containsBlank="1" containsNumber="1" containsInteger="1" minValue="1141000001" maxValue="1141000003"/>
    </cacheField>
    <cacheField name="Cotacao" numFmtId="0">
      <sharedItems containsBlank="1"/>
    </cacheField>
    <cacheField name="Item Cotacao" numFmtId="0">
      <sharedItems containsBlank="1"/>
    </cacheField>
    <cacheField name="Comprador Cotação" numFmtId="0">
      <sharedItems containsBlank="1" count="16">
        <m/>
        <s v="André Queiroz"/>
        <s v="Diego Rocha"/>
        <s v="Joaz Souza"/>
        <s v="Marcilene Carvalho"/>
        <s v="Gislene Rodrigues"/>
        <s v="Luciana Venturi"/>
        <s v="Victor L. Lopes"/>
        <s v="Edson Sanchez"/>
        <s v="Jocilene Ramos"/>
        <s v="Beatriz Serafim"/>
        <s v="Luciara Oliveira"/>
        <s v="Amanda Oliva"/>
        <s v="Sandra Cardoso"/>
        <s v="Robson Ferreira"/>
        <s v="Fernando Gonçalo" u="1"/>
      </sharedItems>
    </cacheField>
    <cacheField name="Qtde Cotacao" numFmtId="0">
      <sharedItems containsString="0" containsBlank="1" containsNumber="1" containsInteger="1" minValue="1" maxValue="200"/>
    </cacheField>
    <cacheField name="Dt Criação Cotação" numFmtId="0">
      <sharedItems containsDate="1" containsString="0" containsBlank="1" containsMixedTypes="1" minDate="1900-01-03T09:51:04" maxDate="1900-01-05T23:51:04"/>
    </cacheField>
    <cacheField name="Contrato" numFmtId="0">
      <sharedItems containsBlank="1"/>
    </cacheField>
    <cacheField name="Item Contrato" numFmtId="0">
      <sharedItems containsBlank="1"/>
    </cacheField>
    <cacheField name="Comprador Contrato" numFmtId="0">
      <sharedItems containsBlank="1"/>
    </cacheField>
    <cacheField name="Qtde Contrato" numFmtId="0">
      <sharedItems containsString="0" containsBlank="1" containsNumber="1" containsInteger="1" minValue="0" maxValue="0"/>
    </cacheField>
    <cacheField name="Dt Criação Contrato" numFmtId="0">
      <sharedItems containsDate="1" containsString="0" containsBlank="1" containsMixedTypes="1" minDate="2024-11-18T00:00:00" maxDate="1900-01-04T12:51:04"/>
    </cacheField>
    <cacheField name="Status Lib. Contrato" numFmtId="0">
      <sharedItems containsBlank="1"/>
    </cacheField>
    <cacheField name="Dt Aprov. Contrato" numFmtId="0">
      <sharedItems containsNonDate="0" containsString="0" containsBlank="1"/>
    </cacheField>
    <cacheField name="Cód Fornecedor" numFmtId="0">
      <sharedItems containsBlank="1"/>
    </cacheField>
    <cacheField name="Fornecedor" numFmtId="0">
      <sharedItems containsBlank="1"/>
    </cacheField>
    <cacheField name="Pedido Criado Por" numFmtId="0">
      <sharedItems containsBlank="1"/>
    </cacheField>
    <cacheField name="Nome Criador Pedido" numFmtId="0">
      <sharedItems containsBlank="1"/>
    </cacheField>
    <cacheField name="TipoPedido" numFmtId="0">
      <sharedItems containsBlank="1"/>
    </cacheField>
    <cacheField name="Pedido" numFmtId="0">
      <sharedItems containsBlank="1" count="77">
        <m/>
        <s v="4500640315"/>
        <s v="4500856471"/>
        <s v="4500726918"/>
        <s v="4500804285"/>
        <s v="4500600032"/>
        <s v="4500805703"/>
        <s v="4500633639"/>
        <s v="4500836232"/>
        <s v="4500778966"/>
        <s v="4500779915"/>
        <s v="4500620544"/>
        <s v="4500740122"/>
        <s v="4500792326"/>
        <s v="4500737715"/>
        <s v="4500621638"/>
        <s v="4500779173"/>
        <s v="4500760393"/>
        <s v="4500771313"/>
        <s v="4500814579"/>
        <s v="4500814599"/>
        <s v="4500716344"/>
        <s v="4500751393"/>
        <s v="4500750655"/>
        <s v="4500779259"/>
        <s v="4500738264"/>
        <s v="4500618537"/>
        <s v="4500791420"/>
        <s v="4500782412"/>
        <s v="4500782408"/>
        <s v="4500737223"/>
        <s v="4500748185"/>
        <s v="4500835852"/>
        <s v="4500835846"/>
        <s v="4500814863"/>
        <s v="4500814598"/>
        <s v="4500814581"/>
        <s v="4500814583"/>
        <s v="4500814666"/>
        <s v="4500828932"/>
        <s v="4500814667"/>
        <s v="4500828550"/>
        <s v="4500760504"/>
        <s v="4500760680"/>
        <s v="4500816459"/>
        <s v="4500629184"/>
        <s v="4500721581"/>
        <s v="4500564848"/>
        <s v="4500866895"/>
        <s v="4500594849"/>
        <s v="4500682923"/>
        <s v="4500620545"/>
        <s v="4500867710"/>
        <s v="4500760506"/>
        <s v="4500760494"/>
        <s v="4500867718"/>
        <s v="4500867719"/>
        <s v="4500760489"/>
        <s v="4500737679"/>
        <s v="4500835856"/>
        <s v="4500721455"/>
        <s v="4500827969"/>
        <s v="4500775130"/>
        <s v="4500814842"/>
        <s v="4500595429"/>
        <s v="4500748195"/>
        <s v="4500839156"/>
        <s v="4500842888"/>
        <s v="4500783774"/>
        <s v="4500612934"/>
        <s v="4500645232"/>
        <s v="4500509387"/>
        <s v="4500619102"/>
        <s v="4500437805"/>
        <s v="4500645222"/>
        <s v="4500751385"/>
        <s v="4500598336" u="1"/>
      </sharedItems>
    </cacheField>
    <cacheField name="Item Pedido" numFmtId="0">
      <sharedItems containsBlank="1"/>
    </cacheField>
    <cacheField name="CompraLocal" numFmtId="0">
      <sharedItems containsBlank="1"/>
    </cacheField>
    <cacheField name="Comprador Pedido" numFmtId="0">
      <sharedItems containsBlank="1" count="17">
        <m/>
        <s v="Edney Jean"/>
        <s v="André Queiroz"/>
        <s v="Natasha Amancio"/>
        <s v="Joaz Souza"/>
        <s v="Marcilene Carvalho"/>
        <s v="Gislene Rodrigues"/>
        <s v="Victor L. Lopes"/>
        <s v="Jocilene Ramos"/>
        <s v="Beatriz Serafim"/>
        <s v="Luciara Oliveira"/>
        <s v="Luciana Venturi"/>
        <s v="Amanda Oliva"/>
        <s v="Edson Sanchez"/>
        <s v="Sandra Cardoso"/>
        <s v="Diego Rocha"/>
        <s v="Robson Ferreira"/>
      </sharedItems>
    </cacheField>
    <cacheField name="Dt Criação Pedido" numFmtId="0">
      <sharedItems containsDate="1" containsString="0" containsBlank="1" containsMixedTypes="1" minDate="2025-07-28T00:00:00" maxDate="1900-01-05T11:51:04"/>
    </cacheField>
    <cacheField name="Status Lib. Pedido" numFmtId="0">
      <sharedItems containsBlank="1"/>
    </cacheField>
    <cacheField name="Dt Aprovação Pedido" numFmtId="0">
      <sharedItems containsDate="1" containsString="0" containsBlank="1" containsMixedTypes="1" minDate="2025-09-08T07:45:58" maxDate="1899-12-30T00:00:00"/>
    </cacheField>
    <cacheField name="Dt Remessa Pedido" numFmtId="0">
      <sharedItems containsNonDate="0" containsString="0" containsBlank="1"/>
    </cacheField>
    <cacheField name="Dt Estatistica Pedido" numFmtId="0">
      <sharedItems containsDate="1" containsString="0" containsBlank="1" containsMixedTypes="1" minDate="2025-09-29T00:00:00" maxDate="1900-01-05T18:51:04"/>
    </cacheField>
    <cacheField name="DataConfirmada" numFmtId="0">
      <sharedItems containsDate="1" containsString="0" containsBlank="1" containsMixedTypes="1" minDate="1900-01-03T13:51:04" maxDate="1900-01-05T18:51:04"/>
    </cacheField>
    <cacheField name="Qtd Pedido" numFmtId="0">
      <sharedItems containsString="0" containsBlank="1" containsNumber="1" containsInteger="1" minValue="1" maxValue="600"/>
    </cacheField>
    <cacheField name="Qtd Fornecida" numFmtId="0">
      <sharedItems containsString="0" containsBlank="1" containsNumber="1" containsInteger="1" minValue="1" maxValue="600"/>
    </cacheField>
    <cacheField name="Qtd a fornecer" numFmtId="0">
      <sharedItems containsString="0" containsBlank="1" containsNumber="1" containsInteger="1" minValue="0" maxValue="100"/>
    </cacheField>
    <cacheField name="Dt MIGO" numFmtId="0">
      <sharedItems containsDate="1" containsString="0" containsBlank="1" containsMixedTypes="1" minDate="2025-08-26T00:00:00" maxDate="1900-01-05T17:51:04"/>
    </cacheField>
    <cacheField name="Qtd Escriturada" numFmtId="0">
      <sharedItems containsString="0" containsBlank="1" containsNumber="1" containsInteger="1" minValue="1" maxValue="600"/>
    </cacheField>
    <cacheField name="Qtd a Escriturar" numFmtId="0">
      <sharedItems containsString="0" containsBlank="1" containsNumber="1" containsInteger="1" minValue="0" maxValue="100"/>
    </cacheField>
    <cacheField name="Dt MIRO" numFmtId="0">
      <sharedItems containsDate="1" containsString="0" containsBlank="1" containsMixedTypes="1" minDate="2025-08-26T00:00:00" maxDate="1900-01-05T17:51:04"/>
    </cacheField>
    <cacheField name="Emissão NF" numFmtId="0">
      <sharedItems containsNonDate="0" containsString="0" containsBlank="1"/>
    </cacheField>
    <cacheField name="Dt Pagamento" numFmtId="0">
      <sharedItems containsNonDate="0" containsString="0" containsBlank="1"/>
    </cacheField>
    <cacheField name="Status Geral" numFmtId="0">
      <sharedItems containsBlank="1" count="11">
        <s v="Requisição - Item Eliminado"/>
        <s v="Requisição - Item Concluído"/>
        <s v="Escrituração Realizada"/>
        <s v="Aguardando emissão NF"/>
        <s v="Cotação - em Negociação"/>
        <s v="Escrituração Final Realizada"/>
        <s v="Cotação a agregar"/>
        <s v="Escrituração Parcial Realizada"/>
        <s v="PC - em Aprovação"/>
        <m/>
        <s v="Requisição - Item Bloqueado" u="1"/>
      </sharedItems>
    </cacheField>
    <cacheField name="TotalLinhas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x v="0"/>
    <x v="0"/>
    <s v="Q"/>
    <s v="Produção ind.projeto"/>
    <s v="ZMAT"/>
    <s v="ACRUZ10"/>
    <x v="0"/>
    <d v="2025-10-30T00:00:00"/>
    <s v="Aprovado"/>
    <d v="2025-10-17T00:00:00"/>
    <s v="R4"/>
    <s v="RJB4"/>
    <s v="SPE SANEAMENTO RIO 4 S.A"/>
    <s v="5018596"/>
    <x v="0"/>
    <x v="0"/>
    <s v="DP98"/>
    <s v="Suprimentos"/>
    <m/>
    <m/>
    <s v="Sim"/>
    <s v="Spot"/>
    <s v="Não Urgente"/>
    <s v="Material"/>
    <s v="TUBOS E CONEXÕES DE AÇO"/>
    <s v="U/46A.23153.A.RD.M.001"/>
    <s v="Rede de Distribuição"/>
    <m/>
    <n v="1141000003"/>
    <m/>
    <m/>
    <x v="0"/>
    <m/>
    <m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0"/>
    <n v="1"/>
  </r>
  <r>
    <x v="0"/>
    <x v="1"/>
    <s v="Q"/>
    <s v="Produção ind.projeto"/>
    <s v="ZMAT"/>
    <s v="ACRUZ10"/>
    <x v="0"/>
    <d v="2025-10-30T00:00:00"/>
    <s v="Aprovado"/>
    <d v="2025-10-17T00:00:00"/>
    <s v="R4"/>
    <s v="RJB4"/>
    <s v="SPE SANEAMENTO RIO 4 S.A"/>
    <s v="5030545"/>
    <x v="1"/>
    <x v="1"/>
    <s v="DP98"/>
    <s v="Suprimentos"/>
    <m/>
    <m/>
    <s v="Sim"/>
    <s v="Spot"/>
    <s v="Não Urgente"/>
    <s v="Material"/>
    <s v="FERRO FUNDIDO"/>
    <s v="U/46A.23153.A.RD.M.001"/>
    <s v="Rede de Distribuição"/>
    <m/>
    <n v="1141000003"/>
    <m/>
    <m/>
    <x v="0"/>
    <m/>
    <m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1"/>
    <n v="1"/>
  </r>
  <r>
    <x v="0"/>
    <x v="2"/>
    <s v="Q"/>
    <s v="Produção ind.projeto"/>
    <s v="ZMAT"/>
    <s v="ACRUZ10"/>
    <x v="0"/>
    <d v="2025-10-30T00:00:00"/>
    <s v="Aprovado"/>
    <d v="2025-10-17T00:00:00"/>
    <s v="R4"/>
    <s v="RJB4"/>
    <s v="SPE SANEAMENTO RIO 4 S.A"/>
    <s v="5025393"/>
    <x v="2"/>
    <x v="0"/>
    <s v="DP98"/>
    <s v="Suprimentos"/>
    <m/>
    <m/>
    <s v="Sim"/>
    <s v="Spot"/>
    <s v="Não Urgente"/>
    <s v="Material"/>
    <s v="FERRO FUNDIDO"/>
    <s v="U/46A.23153.A.RD.M.001"/>
    <s v="Rede de Distribuição"/>
    <m/>
    <n v="1141000003"/>
    <m/>
    <m/>
    <x v="0"/>
    <m/>
    <m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0"/>
    <n v="1"/>
  </r>
  <r>
    <x v="0"/>
    <x v="3"/>
    <s v="Q"/>
    <s v="Produção ind.projeto"/>
    <s v="ZMAT"/>
    <s v="ACRUZ10"/>
    <x v="0"/>
    <d v="2025-12-01T00:00:00"/>
    <s v="Aprovado"/>
    <d v="2025-10-17T00:00:00"/>
    <s v="R4"/>
    <s v="RJB4"/>
    <s v="SPE SANEAMENTO RIO 4 S.A"/>
    <s v="5013457"/>
    <x v="3"/>
    <x v="2"/>
    <s v="DP98"/>
    <s v="Suprimentos"/>
    <s v="85"/>
    <d v="2024-12-19T00:00:00"/>
    <s v="Sim"/>
    <s v="Contrato"/>
    <s v="Não Urgente"/>
    <s v="Material"/>
    <s v="FERRO FUNDIDO"/>
    <s v="U/46A.23153.A.RD.M.001"/>
    <s v="Rede de Distribuição"/>
    <m/>
    <n v="1141000003"/>
    <m/>
    <m/>
    <x v="0"/>
    <m/>
    <m/>
    <s v="4600084015"/>
    <s v="600"/>
    <s v="Hermes Morais"/>
    <n v="0"/>
    <d v="2024-12-19T00:00:00"/>
    <s v="Liberado"/>
    <m/>
    <s v="102514"/>
    <s v="AVK - VALVULAS DO BRASIL LTDA"/>
    <s v="JCRUZ3"/>
    <s v="Junio Alvares da Cruz"/>
    <s v="PGLO"/>
    <x v="1"/>
    <s v="10"/>
    <s v="Não"/>
    <x v="1"/>
    <d v="2025-10-24T00:00:00"/>
    <s v="Liberado"/>
    <d v="2025-10-27T08:36:14"/>
    <m/>
    <m/>
    <m/>
    <n v="4"/>
    <n v="4"/>
    <n v="0"/>
    <d v="2025-12-16T00:00:00"/>
    <n v="4"/>
    <n v="0"/>
    <d v="2025-12-16T00:00:00"/>
    <m/>
    <m/>
    <x v="2"/>
    <n v="1"/>
  </r>
  <r>
    <x v="0"/>
    <x v="4"/>
    <s v="Q"/>
    <s v="Produção ind.projeto"/>
    <s v="ZMAT"/>
    <s v="ACRUZ10"/>
    <x v="0"/>
    <d v="2025-10-30T00:00:00"/>
    <s v="Aprovado"/>
    <d v="2025-10-17T00:00:00"/>
    <s v="R4"/>
    <s v="RJB4"/>
    <s v="SPE SANEAMENTO RIO 4 S.A"/>
    <s v="5025345"/>
    <x v="4"/>
    <x v="3"/>
    <s v="DP98"/>
    <s v="Suprimentos"/>
    <m/>
    <m/>
    <s v="Sim"/>
    <s v="Spot"/>
    <s v="Não Urgente"/>
    <s v="Material"/>
    <s v="FERRO FUNDIDO"/>
    <s v="U/46A.23153.A.RD.M.001"/>
    <s v="Rede de Distribuição"/>
    <m/>
    <n v="1141000003"/>
    <m/>
    <m/>
    <x v="0"/>
    <m/>
    <m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0"/>
    <n v="1"/>
  </r>
  <r>
    <x v="1"/>
    <x v="2"/>
    <s v="Q"/>
    <s v="Produção ind.projeto"/>
    <s v="ZMAT"/>
    <s v="ACRUZ10"/>
    <x v="1"/>
    <d v="2026-05-08T00:00:00"/>
    <s v="Aprovado"/>
    <d v="2026-05-22T00:00:00"/>
    <s v="R4"/>
    <s v="RJB4"/>
    <s v="SPE SANEAMENTO RIO 4 S.A"/>
    <s v="5515632"/>
    <x v="5"/>
    <x v="1"/>
    <s v="DP98"/>
    <s v="Unidade"/>
    <s v="156"/>
    <n v="46170"/>
    <s v="Não"/>
    <s v="Spot"/>
    <s v="Não Urgente"/>
    <s v="Material"/>
    <s v="CONSTRUÇÃO CIVIL"/>
    <s v="U/46A.23153.A.RD.M.001"/>
    <s v="Rede de Distribuição"/>
    <m/>
    <n v="1141000001"/>
    <s v="6000152290"/>
    <s v="110"/>
    <x v="1"/>
    <n v="2"/>
    <n v="46170"/>
    <m/>
    <s v="0"/>
    <m/>
    <m/>
    <m/>
    <m/>
    <m/>
    <s v="143551"/>
    <s v="ABRASUL ABRASIVO EPI SOLDAS LTDA"/>
    <s v="ARIBACIG"/>
    <s v="Conexão ARIBACIG x S4P"/>
    <s v="PMNB"/>
    <x v="2"/>
    <s v="10"/>
    <s v="Não"/>
    <x v="2"/>
    <n v="46187"/>
    <s v="Liberado"/>
    <d v="2026-06-15T08:12:38"/>
    <m/>
    <m/>
    <n v="46204"/>
    <n v="2"/>
    <m/>
    <n v="2"/>
    <m/>
    <m/>
    <n v="2"/>
    <m/>
    <m/>
    <m/>
    <x v="3"/>
    <n v="1"/>
  </r>
  <r>
    <x v="1"/>
    <x v="0"/>
    <s v="Q"/>
    <s v="Produção ind.projeto"/>
    <s v="ZMAT"/>
    <s v="ACRUZ10"/>
    <x v="1"/>
    <d v="2026-05-08T00:00:00"/>
    <s v="Aprovado"/>
    <d v="2026-05-22T00:00:00"/>
    <s v="R4"/>
    <s v="RJB4"/>
    <s v="SPE SANEAMENTO RIO 4 S.A"/>
    <s v="5515633"/>
    <x v="6"/>
    <x v="1"/>
    <s v="DP98"/>
    <s v="Unidade"/>
    <s v="156"/>
    <n v="46170"/>
    <s v="Não"/>
    <s v="Spot"/>
    <s v="Não Urgente"/>
    <s v="Material"/>
    <s v="CONSTRUÇÃO CIVIL"/>
    <s v="U/46A.23153.A.RD.M.001"/>
    <s v="Rede de Distribuição"/>
    <m/>
    <n v="1141000001"/>
    <s v="6000152290"/>
    <s v="120"/>
    <x v="1"/>
    <n v="2"/>
    <n v="46170"/>
    <m/>
    <s v="0"/>
    <m/>
    <m/>
    <m/>
    <m/>
    <m/>
    <s v="143551"/>
    <s v="ABRASUL ABRASIVO EPI SOLDAS LTDA"/>
    <s v="ARIBACIG"/>
    <s v="Conexão ARIBACIG x S4P"/>
    <s v="PMNB"/>
    <x v="2"/>
    <s v="20"/>
    <s v="Não"/>
    <x v="2"/>
    <n v="46187"/>
    <s v="Liberado"/>
    <d v="2026-06-15T08:12:38"/>
    <m/>
    <m/>
    <n v="46204"/>
    <n v="2"/>
    <m/>
    <n v="2"/>
    <m/>
    <m/>
    <n v="2"/>
    <m/>
    <m/>
    <m/>
    <x v="3"/>
    <n v="1"/>
  </r>
  <r>
    <x v="2"/>
    <x v="5"/>
    <s v="Q"/>
    <s v="Produção ind.projeto"/>
    <s v="ZMAT"/>
    <s v="ACRUZ10"/>
    <x v="2"/>
    <d v="2026-02-23T00:00:00"/>
    <s v="Aprovado"/>
    <d v="2026-01-23T00:00:00"/>
    <s v="R4"/>
    <s v="RJB4"/>
    <s v="SPE SANEAMENTO RIO 4 S.A"/>
    <s v="5010127"/>
    <x v="7"/>
    <x v="4"/>
    <s v="DP98"/>
    <s v="Suprimentos"/>
    <s v="263"/>
    <d v="2025-06-12T00:00:00"/>
    <s v="Sim"/>
    <s v="Contrato"/>
    <s v="Não Urgente"/>
    <s v="Material"/>
    <s v="MATERIAIS ELÉTRICOS"/>
    <s v="U/46A.23153.A.RD.M.001"/>
    <s v="Rede de Distribuição"/>
    <m/>
    <n v="1141000003"/>
    <m/>
    <m/>
    <x v="0"/>
    <m/>
    <m/>
    <s v="4600092936"/>
    <s v="120"/>
    <s v="Natasha Amancio"/>
    <n v="0"/>
    <d v="2025-06-12T00:00:00"/>
    <s v="Liberado"/>
    <m/>
    <s v="133854"/>
    <s v="FECVA S.A. SOLUCOES INDUSTRIAIS"/>
    <s v="T3NAMANCIO"/>
    <s v="NATASHA DE OLIVEIRA AMANCIO DE OLIVEIRA AMANCIO"/>
    <s v="PGLO"/>
    <x v="3"/>
    <s v="10"/>
    <s v="Não"/>
    <x v="3"/>
    <d v="2026-02-03T00:00:00"/>
    <s v="Liberado"/>
    <d v="2026-02-12T17:00:25"/>
    <m/>
    <m/>
    <d v="2026-03-20T00:00:00"/>
    <n v="5"/>
    <n v="5"/>
    <n v="0"/>
    <d v="2026-03-27T00:00:00"/>
    <n v="5"/>
    <n v="0"/>
    <d v="2026-03-27T00:00:00"/>
    <m/>
    <m/>
    <x v="2"/>
    <n v="1"/>
  </r>
  <r>
    <x v="3"/>
    <x v="2"/>
    <s v="Q"/>
    <s v="Produção ind.projeto"/>
    <s v="ZMAT"/>
    <s v="PMORAIS"/>
    <x v="3"/>
    <d v="2026-04-16T00:00:00"/>
    <s v="Aprovado"/>
    <d v="2026-03-23T00:00:00"/>
    <s v="R4"/>
    <s v="RJB4"/>
    <s v="SPE SANEAMENTO RIO 4 S.A"/>
    <s v="3008639"/>
    <x v="8"/>
    <x v="2"/>
    <s v="DP98"/>
    <s v="Unidade"/>
    <s v="349"/>
    <d v="2026-04-09T00:00:00"/>
    <s v="Sim"/>
    <s v="Spot"/>
    <s v="Não Urgente"/>
    <s v="Material"/>
    <s v="FERRAMENTAS"/>
    <s v="U/46A.23153.A.RD.M.001"/>
    <s v="Rede de Distribuição"/>
    <m/>
    <n v="1141000001"/>
    <s v="6000148656"/>
    <s v="50"/>
    <x v="2"/>
    <n v="4"/>
    <d v="2026-04-09T00:00:00"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4"/>
    <n v="1"/>
  </r>
  <r>
    <x v="4"/>
    <x v="6"/>
    <s v="Q"/>
    <s v="Produção ind.projeto"/>
    <s v="ZMAT"/>
    <s v="ACRUZ10"/>
    <x v="4"/>
    <d v="2026-02-23T00:00:00"/>
    <s v="Aprovado"/>
    <d v="2026-02-12T00:00:00"/>
    <s v="R4"/>
    <s v="RJB4"/>
    <s v="SPE SANEAMENTO RIO 4 S.A"/>
    <s v="4007453"/>
    <x v="9"/>
    <x v="4"/>
    <s v="DP98"/>
    <s v="Suprimentos"/>
    <s v="194"/>
    <d v="2026-02-13T00:00:00"/>
    <s v="Sim"/>
    <s v="Spot"/>
    <s v="Não Urgente"/>
    <s v="Material"/>
    <s v="MATERIAIS MECÂNICOS"/>
    <s v="U/46A.23153.A.RD.M.001"/>
    <s v="Rede de Distribuição"/>
    <m/>
    <n v="1141000003"/>
    <s v="6000144266"/>
    <s v="40"/>
    <x v="3"/>
    <n v="5"/>
    <d v="2026-02-13T00:00:00"/>
    <m/>
    <s v="0"/>
    <m/>
    <m/>
    <m/>
    <m/>
    <m/>
    <s v="116824"/>
    <s v="PLANAC MAQUINAS E FERRAMENTAS LTDA"/>
    <s v="ARIBACIG"/>
    <s v="Conexão ARIBACIG x S4P"/>
    <s v="PMNB"/>
    <x v="4"/>
    <s v="40"/>
    <s v="Sim"/>
    <x v="4"/>
    <d v="2026-04-27T00:00:00"/>
    <s v="Liberado"/>
    <d v="2026-04-28T09:45:41"/>
    <m/>
    <d v="2026-05-14T00:00:00"/>
    <d v="2026-05-20T00:00:00"/>
    <n v="5"/>
    <n v="5"/>
    <n v="0"/>
    <d v="2026-05-12T00:00:00"/>
    <n v="5"/>
    <n v="0"/>
    <d v="2026-05-12T00:00:00"/>
    <m/>
    <m/>
    <x v="2"/>
    <n v="1"/>
  </r>
  <r>
    <x v="5"/>
    <x v="0"/>
    <s v="Q"/>
    <s v="Produção ind.projeto"/>
    <s v="ZMAT"/>
    <s v="ACRUZ10"/>
    <x v="5"/>
    <d v="2025-09-15T00:00:00"/>
    <s v="Aprovado"/>
    <d v="2025-09-04T00:00:00"/>
    <s v="R4"/>
    <s v="RJB4"/>
    <s v="SPE SANEAMENTO RIO 4 S.A"/>
    <s v="4007458"/>
    <x v="10"/>
    <x v="0"/>
    <s v="DP98"/>
    <s v="Suprimentos"/>
    <s v="351"/>
    <d v="2025-09-04T00:00:00"/>
    <s v="Sim"/>
    <s v="Spot"/>
    <s v="Não Urgente"/>
    <s v="Material"/>
    <s v="MATERIAIS MECÂNICOS"/>
    <s v="U/46A.23153.A.RD.M.001"/>
    <s v="Rede de Distribuição"/>
    <m/>
    <n v="1141000003"/>
    <s v="6000131298"/>
    <s v="20"/>
    <x v="4"/>
    <n v="10"/>
    <d v="2025-09-04T00:00:00"/>
    <m/>
    <s v="0"/>
    <m/>
    <m/>
    <m/>
    <m/>
    <m/>
    <s v="116824"/>
    <s v="PLANAC MAQUINAS E FERRAMENTAS LTDA"/>
    <s v="ARIBACIG"/>
    <s v="Conexão ARIBACIG x S4P"/>
    <s v="PMNB"/>
    <x v="5"/>
    <s v="20"/>
    <s v="Sim"/>
    <x v="5"/>
    <d v="2025-09-10T00:00:00"/>
    <s v="Liberado"/>
    <d v="2025-09-11T08:21:33"/>
    <m/>
    <d v="2025-09-29T00:00:00"/>
    <d v="2025-10-15T00:00:00"/>
    <n v="10"/>
    <n v="10"/>
    <n v="0"/>
    <d v="2025-09-23T00:00:00"/>
    <n v="10"/>
    <n v="0"/>
    <d v="2025-09-23T00:00:00"/>
    <m/>
    <m/>
    <x v="2"/>
    <n v="1"/>
  </r>
  <r>
    <x v="4"/>
    <x v="7"/>
    <s v="Q"/>
    <s v="Produção ind.projeto"/>
    <s v="ZMAT"/>
    <s v="ACRUZ10"/>
    <x v="4"/>
    <d v="2026-02-23T00:00:00"/>
    <s v="Aprovado"/>
    <d v="2026-02-12T00:00:00"/>
    <s v="R4"/>
    <s v="RJB4"/>
    <s v="SPE SANEAMENTO RIO 4 S.A"/>
    <s v="4007458"/>
    <x v="10"/>
    <x v="0"/>
    <s v="DP98"/>
    <s v="Suprimentos"/>
    <s v="194"/>
    <d v="2026-02-13T00:00:00"/>
    <s v="Sim"/>
    <s v="Spot"/>
    <s v="Não Urgente"/>
    <s v="Material"/>
    <s v="MATERIAIS MECÂNICOS"/>
    <s v="U/46A.23153.A.RD.M.001"/>
    <s v="Rede de Distribuição"/>
    <m/>
    <n v="1141000003"/>
    <s v="6000144266"/>
    <s v="20"/>
    <x v="3"/>
    <n v="10"/>
    <d v="2026-02-13T00:00:00"/>
    <m/>
    <s v="0"/>
    <m/>
    <m/>
    <m/>
    <m/>
    <m/>
    <s v="116824"/>
    <s v="PLANAC MAQUINAS E FERRAMENTAS LTDA"/>
    <s v="ARIBACIG"/>
    <s v="Conexão ARIBACIG x S4P"/>
    <s v="PMNB"/>
    <x v="4"/>
    <s v="20"/>
    <s v="Sim"/>
    <x v="4"/>
    <d v="2026-04-27T00:00:00"/>
    <s v="Liberado"/>
    <d v="2026-04-28T09:45:41"/>
    <m/>
    <d v="2026-05-14T00:00:00"/>
    <d v="2026-05-20T00:00:00"/>
    <n v="10"/>
    <n v="10"/>
    <n v="0"/>
    <d v="2026-05-12T00:00:00"/>
    <n v="10"/>
    <n v="0"/>
    <d v="2026-05-12T00:00:00"/>
    <m/>
    <m/>
    <x v="2"/>
    <n v="1"/>
  </r>
  <r>
    <x v="6"/>
    <x v="8"/>
    <s v="Q"/>
    <s v="Produção ind.projeto"/>
    <s v="ZMAT"/>
    <s v="ACRUZ10"/>
    <x v="6"/>
    <d v="2026-03-02T00:00:00"/>
    <s v="Aprovado"/>
    <d v="2026-03-10T00:00:00"/>
    <s v="R4"/>
    <s v="RJB4"/>
    <s v="SPE SANEAMENTO RIO 4 S.A"/>
    <s v="4007458"/>
    <x v="10"/>
    <x v="5"/>
    <s v="DP98"/>
    <s v="Suprimentos"/>
    <s v="194"/>
    <d v="2026-03-21T00:00:00"/>
    <s v="Sim"/>
    <s v="Spot"/>
    <s v="Não Urgente"/>
    <s v="Material"/>
    <s v="MATERIAIS MECÂNICOS"/>
    <s v="U/46A.23153.A.RD.M.001"/>
    <s v="Rede de Distribuição"/>
    <m/>
    <n v="1141000003"/>
    <s v="6000147117"/>
    <s v="20"/>
    <x v="3"/>
    <n v="20"/>
    <d v="2026-03-21T00:00:00"/>
    <m/>
    <s v="0"/>
    <m/>
    <m/>
    <m/>
    <m/>
    <m/>
    <s v="120996"/>
    <s v="ABECOM ROLAMENTOS E PRODUTOS DE BOR"/>
    <s v="ARIBACIG"/>
    <s v="Conexão ARIBACIG x S4P"/>
    <s v="PMNB"/>
    <x v="6"/>
    <s v="20"/>
    <s v="Não"/>
    <x v="4"/>
    <d v="2026-04-29T00:00:00"/>
    <s v="Liberado"/>
    <d v="2026-04-30T15:11:14"/>
    <m/>
    <d v="2026-06-05T00:00:00"/>
    <d v="2026-06-05T00:00:00"/>
    <n v="20"/>
    <n v="20"/>
    <n v="0"/>
    <d v="2026-05-11T00:00:00"/>
    <n v="20"/>
    <n v="0"/>
    <d v="2026-05-12T00:00:00"/>
    <m/>
    <m/>
    <x v="2"/>
    <n v="1"/>
  </r>
  <r>
    <x v="5"/>
    <x v="2"/>
    <s v="Q"/>
    <s v="Produção ind.projeto"/>
    <s v="ZMAT"/>
    <s v="ACRUZ10"/>
    <x v="5"/>
    <d v="2025-09-15T00:00:00"/>
    <s v="Aprovado"/>
    <d v="2025-09-04T00:00:00"/>
    <s v="R4"/>
    <s v="RJB4"/>
    <s v="SPE SANEAMENTO RIO 4 S.A"/>
    <s v="4007455"/>
    <x v="11"/>
    <x v="0"/>
    <s v="DP98"/>
    <s v="Suprimentos"/>
    <s v="351"/>
    <d v="2025-09-04T00:00:00"/>
    <s v="Sim"/>
    <s v="Spot"/>
    <s v="Não Urgente"/>
    <s v="Material"/>
    <s v="MATERIAIS MECÂNICOS"/>
    <s v="U/46A.23153.A.RD.M.001"/>
    <s v="Rede de Distribuição"/>
    <m/>
    <n v="1141000003"/>
    <s v="6000131298"/>
    <s v="10"/>
    <x v="4"/>
    <n v="10"/>
    <d v="2025-09-04T00:00:00"/>
    <m/>
    <s v="0"/>
    <m/>
    <m/>
    <m/>
    <m/>
    <m/>
    <s v="116824"/>
    <s v="PLANAC MAQUINAS E FERRAMENTAS LTDA"/>
    <s v="ARIBACIG"/>
    <s v="Conexão ARIBACIG x S4P"/>
    <s v="PMNB"/>
    <x v="5"/>
    <s v="10"/>
    <s v="Sim"/>
    <x v="5"/>
    <d v="2025-09-10T00:00:00"/>
    <s v="Liberado"/>
    <d v="2025-09-11T08:21:33"/>
    <m/>
    <d v="2025-09-29T00:00:00"/>
    <d v="2025-10-15T00:00:00"/>
    <n v="10"/>
    <n v="10"/>
    <n v="0"/>
    <d v="2025-09-23T00:00:00"/>
    <n v="10"/>
    <n v="0"/>
    <d v="2025-09-23T00:00:00"/>
    <m/>
    <m/>
    <x v="2"/>
    <n v="1"/>
  </r>
  <r>
    <x v="4"/>
    <x v="9"/>
    <s v="Q"/>
    <s v="Produção ind.projeto"/>
    <s v="ZMAT"/>
    <s v="ACRUZ10"/>
    <x v="4"/>
    <d v="2026-02-23T00:00:00"/>
    <s v="Aprovado"/>
    <d v="2026-02-12T00:00:00"/>
    <s v="R4"/>
    <s v="RJB4"/>
    <s v="SPE SANEAMENTO RIO 4 S.A"/>
    <s v="4007455"/>
    <x v="11"/>
    <x v="0"/>
    <s v="DP98"/>
    <s v="Suprimentos"/>
    <s v="194"/>
    <d v="2026-02-13T00:00:00"/>
    <s v="Sim"/>
    <s v="Spot"/>
    <s v="Não Urgente"/>
    <s v="Material"/>
    <s v="MATERIAIS MECÂNICOS"/>
    <s v="U/46A.23153.A.RD.M.001"/>
    <s v="Rede de Distribuição"/>
    <m/>
    <n v="1141000003"/>
    <s v="6000144266"/>
    <s v="10"/>
    <x v="3"/>
    <n v="10"/>
    <d v="2026-02-13T00:00:00"/>
    <m/>
    <s v="0"/>
    <m/>
    <m/>
    <m/>
    <m/>
    <m/>
    <s v="116824"/>
    <s v="PLANAC MAQUINAS E FERRAMENTAS LTDA"/>
    <s v="ARIBACIG"/>
    <s v="Conexão ARIBACIG x S4P"/>
    <s v="PMNB"/>
    <x v="4"/>
    <s v="10"/>
    <s v="Sim"/>
    <x v="4"/>
    <d v="2026-04-27T00:00:00"/>
    <s v="Liberado"/>
    <d v="2026-04-28T09:45:41"/>
    <m/>
    <d v="2026-05-14T00:00:00"/>
    <d v="2026-05-20T00:00:00"/>
    <n v="10"/>
    <n v="10"/>
    <n v="0"/>
    <d v="2026-05-12T00:00:00"/>
    <n v="10"/>
    <n v="0"/>
    <d v="2026-05-12T00:00:00"/>
    <m/>
    <m/>
    <x v="2"/>
    <n v="1"/>
  </r>
  <r>
    <x v="6"/>
    <x v="10"/>
    <s v="Q"/>
    <s v="Produção ind.projeto"/>
    <s v="ZMAT"/>
    <s v="ACRUZ10"/>
    <x v="6"/>
    <d v="2026-03-02T00:00:00"/>
    <s v="Aprovado"/>
    <d v="2026-03-10T00:00:00"/>
    <s v="R4"/>
    <s v="RJB4"/>
    <s v="SPE SANEAMENTO RIO 4 S.A"/>
    <s v="4007455"/>
    <x v="11"/>
    <x v="5"/>
    <s v="DP98"/>
    <s v="Suprimentos"/>
    <s v="194"/>
    <d v="2026-03-21T00:00:00"/>
    <s v="Sim"/>
    <s v="Spot"/>
    <s v="Não Urgente"/>
    <s v="Material"/>
    <s v="MATERIAIS MECÂNICOS"/>
    <s v="U/46A.23153.A.RD.M.001"/>
    <s v="Rede de Distribuição"/>
    <m/>
    <n v="1141000003"/>
    <s v="6000147117"/>
    <s v="10"/>
    <x v="3"/>
    <n v="20"/>
    <d v="2026-03-21T00:00:00"/>
    <m/>
    <s v="0"/>
    <m/>
    <m/>
    <m/>
    <m/>
    <m/>
    <s v="120996"/>
    <s v="ABECOM ROLAMENTOS E PRODUTOS DE BOR"/>
    <s v="ARIBACIG"/>
    <s v="Conexão ARIBACIG x S4P"/>
    <s v="PMNB"/>
    <x v="6"/>
    <s v="10"/>
    <s v="Não"/>
    <x v="4"/>
    <d v="2026-04-29T00:00:00"/>
    <s v="Liberado"/>
    <d v="2026-04-30T15:11:14"/>
    <m/>
    <d v="2026-06-05T00:00:00"/>
    <d v="2026-06-05T00:00:00"/>
    <n v="20"/>
    <n v="20"/>
    <n v="0"/>
    <d v="2026-05-11T00:00:00"/>
    <n v="20"/>
    <n v="0"/>
    <d v="2026-05-12T00:00:00"/>
    <m/>
    <m/>
    <x v="2"/>
    <n v="1"/>
  </r>
  <r>
    <x v="4"/>
    <x v="11"/>
    <s v="Q"/>
    <s v="Produção ind.projeto"/>
    <s v="ZMAT"/>
    <s v="ACRUZ10"/>
    <x v="4"/>
    <d v="2026-02-23T00:00:00"/>
    <s v="Aprovado"/>
    <d v="2026-02-12T00:00:00"/>
    <s v="R4"/>
    <s v="RJB4"/>
    <s v="SPE SANEAMENTO RIO 4 S.A"/>
    <s v="4005833"/>
    <x v="12"/>
    <x v="6"/>
    <s v="DP98"/>
    <s v="Suprimentos"/>
    <s v="194"/>
    <d v="2026-02-13T00:00:00"/>
    <s v="Sim"/>
    <s v="Spot"/>
    <s v="Não Urgente"/>
    <s v="Material"/>
    <s v="MATERIAIS MECÂNICOS"/>
    <s v="U/46A.23153.A.RD.M.001"/>
    <s v="Rede de Distribuição"/>
    <m/>
    <n v="1141000003"/>
    <s v="6000144266"/>
    <s v="30"/>
    <x v="3"/>
    <n v="7"/>
    <d v="2026-02-13T00:00:00"/>
    <m/>
    <s v="0"/>
    <m/>
    <m/>
    <m/>
    <m/>
    <m/>
    <s v="116824"/>
    <s v="PLANAC MAQUINAS E FERRAMENTAS LTDA"/>
    <s v="ARIBACIG"/>
    <s v="Conexão ARIBACIG x S4P"/>
    <s v="PMNB"/>
    <x v="4"/>
    <s v="30"/>
    <s v="Sim"/>
    <x v="4"/>
    <d v="2026-04-27T00:00:00"/>
    <s v="Liberado"/>
    <d v="2026-04-28T09:45:41"/>
    <m/>
    <d v="2026-05-14T00:00:00"/>
    <d v="2026-05-20T00:00:00"/>
    <n v="7"/>
    <n v="7"/>
    <n v="0"/>
    <d v="2026-05-12T00:00:00"/>
    <n v="7"/>
    <n v="0"/>
    <d v="2026-05-12T00:00:00"/>
    <m/>
    <m/>
    <x v="2"/>
    <n v="1"/>
  </r>
  <r>
    <x v="6"/>
    <x v="12"/>
    <s v="Q"/>
    <s v="Produção ind.projeto"/>
    <s v="ZMAT"/>
    <s v="ACRUZ10"/>
    <x v="6"/>
    <d v="2026-02-20T00:00:00"/>
    <s v="Aprovado"/>
    <d v="2026-03-10T00:00:00"/>
    <s v="R4"/>
    <s v="RJB4"/>
    <s v="SPE SANEAMENTO RIO 4 S.A"/>
    <s v="4005833"/>
    <x v="12"/>
    <x v="6"/>
    <s v="DP98"/>
    <s v="Suprimentos"/>
    <s v="194"/>
    <d v="2026-03-21T00:00:00"/>
    <s v="Sim"/>
    <s v="Spot"/>
    <s v="Não Urgente"/>
    <s v="Material"/>
    <s v="MATERIAIS MECÂNICOS"/>
    <s v="U/46A.23153.A.RD.M.001"/>
    <s v="Rede de Distribuição"/>
    <m/>
    <n v="1141000003"/>
    <s v="6000147117"/>
    <s v="30"/>
    <x v="3"/>
    <n v="7"/>
    <d v="2026-03-21T00:00:00"/>
    <m/>
    <s v="0"/>
    <m/>
    <m/>
    <m/>
    <m/>
    <m/>
    <s v="120996"/>
    <s v="ABECOM ROLAMENTOS E PRODUTOS DE BOR"/>
    <s v="ARIBACIG"/>
    <s v="Conexão ARIBACIG x S4P"/>
    <s v="PMNB"/>
    <x v="6"/>
    <s v="30"/>
    <s v="Não"/>
    <x v="4"/>
    <d v="2026-04-29T00:00:00"/>
    <s v="Liberado"/>
    <d v="2026-04-30T15:11:14"/>
    <m/>
    <d v="2026-06-05T00:00:00"/>
    <d v="2026-06-05T00:00:00"/>
    <n v="7"/>
    <n v="7"/>
    <n v="0"/>
    <d v="2026-05-11T00:00:00"/>
    <n v="7"/>
    <n v="0"/>
    <d v="2026-05-12T00:00:00"/>
    <m/>
    <m/>
    <x v="2"/>
    <n v="1"/>
  </r>
  <r>
    <x v="7"/>
    <x v="1"/>
    <s v="Q"/>
    <s v="Produção ind.projeto"/>
    <s v="ZMAT"/>
    <s v="ACRUZ10"/>
    <x v="7"/>
    <d v="2026-05-08T00:00:00"/>
    <s v="Aprovado"/>
    <d v="2026-05-08T00:00:00"/>
    <s v="R4"/>
    <s v="RJB4"/>
    <s v="SPE SANEAMENTO RIO 4 S.A"/>
    <s v="5507548"/>
    <x v="13"/>
    <x v="0"/>
    <s v="DP98"/>
    <s v="Suprimentos"/>
    <s v="349"/>
    <d v="2026-05-19T00:00:00"/>
    <s v="Sim"/>
    <s v="Spot"/>
    <s v="Não Urgente"/>
    <s v="Material"/>
    <s v="FERRAMENTAS"/>
    <s v="U/46A.23153.A.RD.M.001"/>
    <s v="Rede de Distribuição"/>
    <m/>
    <n v="1141000003"/>
    <s v="6000151574"/>
    <s v="130"/>
    <x v="2"/>
    <n v="10"/>
    <d v="2026-05-19T00:00:00"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4"/>
    <n v="1"/>
  </r>
  <r>
    <x v="8"/>
    <x v="2"/>
    <s v="Q"/>
    <s v="Produção ind.projeto"/>
    <s v="ZMAT"/>
    <s v="ACRUZ10"/>
    <x v="8"/>
    <d v="2025-10-10T00:00:00"/>
    <s v="Aprovado"/>
    <d v="2025-10-02T00:00:00"/>
    <s v="R4"/>
    <s v="RJB4"/>
    <s v="SPE SANEAMENTO RIO 4 S.A"/>
    <s v="5512377"/>
    <x v="14"/>
    <x v="7"/>
    <s v="DP98"/>
    <s v="Unidade"/>
    <s v="77"/>
    <d v="2025-10-06T00:00:00"/>
    <s v="Não"/>
    <s v="Spot"/>
    <s v="Não Urgente"/>
    <s v="Material"/>
    <s v="MATERIAIS DE TI"/>
    <s v="U/46A.23153.A.RD.M.001"/>
    <s v="Rede de Distribuição"/>
    <m/>
    <n v="1141000001"/>
    <s v="6000133819"/>
    <s v="30"/>
    <x v="5"/>
    <n v="1"/>
    <d v="2025-10-06T00:00:00"/>
    <m/>
    <s v="0"/>
    <m/>
    <m/>
    <m/>
    <m/>
    <m/>
    <s v="142020"/>
    <s v="ED PEL COMERCIO E SERVICO LTDA"/>
    <s v="ARIBACIG"/>
    <s v="Conexão ARIBACIG x S4P"/>
    <s v="PMNB"/>
    <x v="7"/>
    <s v="10"/>
    <s v="Sim"/>
    <x v="6"/>
    <d v="2025-10-16T00:00:00"/>
    <s v="Liberado"/>
    <d v="2025-11-06T13:27:20"/>
    <m/>
    <d v="2025-11-17T00:00:00"/>
    <d v="2025-11-17T00:00:00"/>
    <n v="1"/>
    <n v="1"/>
    <n v="0"/>
    <d v="2025-12-02T00:00:00"/>
    <n v="1"/>
    <n v="0"/>
    <d v="2025-12-02T00:00:00"/>
    <m/>
    <m/>
    <x v="2"/>
    <n v="1"/>
  </r>
  <r>
    <x v="9"/>
    <x v="4"/>
    <s v="Q"/>
    <s v="Produção ind.projeto"/>
    <s v="ZMAT"/>
    <s v="PMORAIS"/>
    <x v="3"/>
    <d v="2026-04-16T00:00:00"/>
    <s v="Aprovado"/>
    <d v="2026-03-23T00:00:00"/>
    <s v="R4"/>
    <s v="RJB4"/>
    <s v="SPE SANEAMENTO RIO 4 S.A"/>
    <s v="4006590"/>
    <x v="15"/>
    <x v="3"/>
    <s v="DP98"/>
    <s v="Suprimentos"/>
    <s v="194"/>
    <d v="2026-05-08T00:00:00"/>
    <s v="Sim"/>
    <s v="Spot"/>
    <s v="Não Urgente"/>
    <s v="Material"/>
    <s v="MATERIAIS MECÂNICOS"/>
    <s v="U/46A.23153.A.RD.M.001"/>
    <s v="Rede de Distribuição"/>
    <m/>
    <n v="1141000003"/>
    <s v="6000150731"/>
    <s v="20"/>
    <x v="3"/>
    <n v="6"/>
    <d v="2026-05-08T00:00:00"/>
    <m/>
    <s v="0"/>
    <m/>
    <m/>
    <m/>
    <m/>
    <m/>
    <s v="116824"/>
    <s v="PLANAC MAQUINAS E FERRAMENTAS LTDA"/>
    <s v="ARIBACIG"/>
    <s v="Conexão ARIBACIG x S4P"/>
    <s v="PMNB"/>
    <x v="8"/>
    <s v="10"/>
    <s v="Sim"/>
    <x v="4"/>
    <d v="2026-05-25T00:00:00"/>
    <s v="Liberado"/>
    <d v="2026-05-25T17:01:13"/>
    <m/>
    <d v="2026-06-10T00:00:00"/>
    <d v="2026-06-30T00:00:00"/>
    <n v="6"/>
    <m/>
    <n v="6"/>
    <m/>
    <m/>
    <n v="6"/>
    <m/>
    <m/>
    <m/>
    <x v="3"/>
    <n v="1"/>
  </r>
  <r>
    <x v="4"/>
    <x v="13"/>
    <s v="Q"/>
    <s v="Produção ind.projeto"/>
    <s v="ZMAT"/>
    <s v="ACRUZ10"/>
    <x v="4"/>
    <d v="2026-02-23T00:00:00"/>
    <s v="Aprovado"/>
    <d v="2026-02-12T00:00:00"/>
    <s v="R4"/>
    <s v="RJB4"/>
    <s v="SPE SANEAMENTO RIO 4 S.A"/>
    <s v="4006576"/>
    <x v="16"/>
    <x v="2"/>
    <s v="DP98"/>
    <s v="Suprimentos"/>
    <s v="194"/>
    <d v="2026-02-13T00:00:00"/>
    <s v="Sim"/>
    <s v="Spot"/>
    <s v="Não Urgente"/>
    <s v="Material"/>
    <s v="MATERIAIS MECÂNICOS"/>
    <s v="U/46A.23153.A.RD.M.001"/>
    <s v="Rede de Distribuição"/>
    <m/>
    <n v="1141000001"/>
    <s v="6000144265"/>
    <s v="100"/>
    <x v="3"/>
    <n v="4"/>
    <d v="2026-02-13T00:00:00"/>
    <m/>
    <s v="0"/>
    <m/>
    <m/>
    <m/>
    <m/>
    <m/>
    <s v="145468"/>
    <s v="PORTORROL DISTRIBUIDORA LTDA"/>
    <s v="ARIBACIG"/>
    <s v="Conexão ARIBACIG x S4P"/>
    <s v="PMNB"/>
    <x v="9"/>
    <s v="100"/>
    <s v="Não"/>
    <x v="4"/>
    <d v="2026-03-30T00:00:00"/>
    <s v="Liberado"/>
    <d v="2026-04-15T10:56:03"/>
    <m/>
    <d v="2026-04-22T00:00:00"/>
    <d v="2026-04-27T00:00:00"/>
    <n v="4"/>
    <n v="4"/>
    <n v="0"/>
    <d v="2026-05-08T00:00:00"/>
    <n v="4"/>
    <n v="0"/>
    <d v="2026-05-26T00:00:00"/>
    <m/>
    <m/>
    <x v="2"/>
    <n v="1"/>
  </r>
  <r>
    <x v="9"/>
    <x v="3"/>
    <s v="Q"/>
    <s v="Produção ind.projeto"/>
    <s v="ZMAT"/>
    <s v="PMORAIS"/>
    <x v="3"/>
    <d v="2026-04-16T00:00:00"/>
    <s v="Aprovado"/>
    <d v="2026-03-23T00:00:00"/>
    <s v="R4"/>
    <s v="RJB4"/>
    <s v="SPE SANEAMENTO RIO 4 S.A"/>
    <s v="4003701"/>
    <x v="17"/>
    <x v="3"/>
    <s v="DP98"/>
    <s v="Suprimentos"/>
    <s v="194"/>
    <d v="2026-05-08T00:00:00"/>
    <s v="Sim"/>
    <s v="Spot"/>
    <s v="Não Urgente"/>
    <s v="Material"/>
    <s v="MATERIAIS MECÂNICOS"/>
    <s v="U/46A.23153.A.RD.M.001"/>
    <s v="Rede de Distribuição"/>
    <m/>
    <n v="1141000001"/>
    <s v="6000150731"/>
    <s v="30"/>
    <x v="3"/>
    <n v="6"/>
    <d v="2026-05-08T00:00:00"/>
    <m/>
    <s v="0"/>
    <m/>
    <m/>
    <m/>
    <m/>
    <m/>
    <s v="116824"/>
    <s v="PLANAC MAQUINAS E FERRAMENTAS LTDA"/>
    <s v="ARIBACIG"/>
    <s v="Conexão ARIBACIG x S4P"/>
    <s v="PMNB"/>
    <x v="8"/>
    <s v="20"/>
    <s v="Sim"/>
    <x v="4"/>
    <d v="2026-05-25T00:00:00"/>
    <s v="Liberado"/>
    <d v="2026-05-25T17:01:13"/>
    <m/>
    <d v="2026-06-10T00:00:00"/>
    <d v="2026-06-30T00:00:00"/>
    <n v="6"/>
    <m/>
    <n v="6"/>
    <m/>
    <m/>
    <n v="6"/>
    <m/>
    <m/>
    <m/>
    <x v="3"/>
    <n v="1"/>
  </r>
  <r>
    <x v="4"/>
    <x v="14"/>
    <s v="Q"/>
    <s v="Produção ind.projeto"/>
    <s v="ZMAT"/>
    <s v="ACRUZ10"/>
    <x v="4"/>
    <d v="2026-02-23T00:00:00"/>
    <s v="Aprovado"/>
    <d v="2026-02-12T00:00:00"/>
    <s v="R4"/>
    <s v="RJB4"/>
    <s v="SPE SANEAMENTO RIO 4 S.A"/>
    <s v="4003640"/>
    <x v="18"/>
    <x v="2"/>
    <s v="DP98"/>
    <s v="Suprimentos"/>
    <s v="194"/>
    <d v="2026-02-13T00:00:00"/>
    <s v="Sim"/>
    <s v="Spot"/>
    <s v="Não Urgente"/>
    <s v="Material"/>
    <s v="MATERIAIS MECÂNICOS"/>
    <s v="U/46A.23153.A.RD.M.001"/>
    <s v="Rede de Distribuição"/>
    <m/>
    <n v="1141000001"/>
    <s v="6000144265"/>
    <s v="90"/>
    <x v="3"/>
    <n v="4"/>
    <d v="2026-02-13T00:00:00"/>
    <m/>
    <s v="0"/>
    <m/>
    <m/>
    <m/>
    <m/>
    <m/>
    <s v="145468"/>
    <s v="PORTORROL DISTRIBUIDORA LTDA"/>
    <s v="ARIBACIG"/>
    <s v="Conexão ARIBACIG x S4P"/>
    <s v="PMNB"/>
    <x v="9"/>
    <s v="90"/>
    <s v="Não"/>
    <x v="4"/>
    <d v="2026-03-30T00:00:00"/>
    <s v="Liberado"/>
    <d v="2026-04-15T10:56:03"/>
    <m/>
    <d v="2026-04-22T00:00:00"/>
    <d v="2026-04-27T00:00:00"/>
    <n v="4"/>
    <n v="4"/>
    <n v="0"/>
    <d v="2026-05-08T00:00:00"/>
    <n v="4"/>
    <n v="0"/>
    <d v="2026-05-26T00:00:00"/>
    <m/>
    <m/>
    <x v="2"/>
    <n v="1"/>
  </r>
  <r>
    <x v="4"/>
    <x v="15"/>
    <s v="Q"/>
    <s v="Produção ind.projeto"/>
    <s v="ZMAT"/>
    <s v="ACRUZ10"/>
    <x v="4"/>
    <d v="2026-02-23T00:00:00"/>
    <s v="Aprovado"/>
    <d v="2026-02-12T00:00:00"/>
    <s v="R4"/>
    <s v="RJB4"/>
    <s v="SPE SANEAMENTO RIO 4 S.A"/>
    <s v="4007728"/>
    <x v="19"/>
    <x v="2"/>
    <s v="DP98"/>
    <s v="Suprimentos"/>
    <s v="194"/>
    <d v="2026-02-13T00:00:00"/>
    <s v="Sim"/>
    <s v="Spot"/>
    <s v="Não Urgente"/>
    <s v="Material"/>
    <s v="MATERIAIS MECÂNICOS"/>
    <s v="U/46A.23153.A.RD.M.001"/>
    <s v="Rede de Distribuição"/>
    <m/>
    <n v="1141000003"/>
    <s v="6000144265"/>
    <s v="80"/>
    <x v="3"/>
    <n v="4"/>
    <d v="2026-02-13T00:00:00"/>
    <m/>
    <s v="0"/>
    <m/>
    <m/>
    <m/>
    <m/>
    <m/>
    <s v="145468"/>
    <s v="PORTORROL DISTRIBUIDORA LTDA"/>
    <s v="ARIBACIG"/>
    <s v="Conexão ARIBACIG x S4P"/>
    <s v="PMNB"/>
    <x v="9"/>
    <s v="80"/>
    <s v="Não"/>
    <x v="4"/>
    <d v="2026-03-30T00:00:00"/>
    <s v="Liberado"/>
    <d v="2026-04-15T10:56:03"/>
    <m/>
    <d v="2026-04-22T00:00:00"/>
    <d v="2026-04-27T00:00:00"/>
    <n v="4"/>
    <n v="4"/>
    <n v="0"/>
    <d v="2026-05-08T00:00:00"/>
    <n v="4"/>
    <n v="0"/>
    <d v="2026-05-26T00:00:00"/>
    <m/>
    <m/>
    <x v="2"/>
    <n v="1"/>
  </r>
  <r>
    <x v="10"/>
    <x v="1"/>
    <s v="Q"/>
    <s v="Produção ind.projeto"/>
    <s v="ZMAT"/>
    <s v="ACRUZ10"/>
    <x v="9"/>
    <d v="2025-09-12T00:00:00"/>
    <s v="Aprovado"/>
    <d v="2025-09-03T00:00:00"/>
    <s v="R4"/>
    <s v="RJB4"/>
    <s v="SPE SANEAMENTO RIO 4 S.A"/>
    <s v="4007727"/>
    <x v="20"/>
    <x v="3"/>
    <s v="DP98"/>
    <s v="Suprimentos"/>
    <m/>
    <m/>
    <s v="Sim"/>
    <s v="Spot"/>
    <s v="Não Urgente"/>
    <s v="Material"/>
    <s v="MATERIAIS MECÂNICOS"/>
    <s v="U/46A.23153.A.RD.M.001"/>
    <s v="Rede de Distribuição"/>
    <m/>
    <n v="1141000003"/>
    <m/>
    <m/>
    <x v="0"/>
    <m/>
    <m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1"/>
    <n v="1"/>
  </r>
  <r>
    <x v="2"/>
    <x v="1"/>
    <s v="Q"/>
    <s v="Produção ind.projeto"/>
    <s v="ZMAT"/>
    <s v="ACRUZ10"/>
    <x v="2"/>
    <d v="2026-02-02T00:00:00"/>
    <s v="Aprovado"/>
    <d v="2026-01-23T00:00:00"/>
    <s v="R4"/>
    <s v="RJB4"/>
    <s v="SPE SANEAMENTO RIO 4 S.A"/>
    <s v="4007727"/>
    <x v="20"/>
    <x v="8"/>
    <s v="DP98"/>
    <s v="Suprimentos"/>
    <s v="194"/>
    <d v="2026-01-28T00:00:00"/>
    <s v="Sim"/>
    <s v="Spot"/>
    <s v="Não Urgente"/>
    <s v="Material"/>
    <s v="MATERIAIS MECÂNICOS"/>
    <s v="U/46A.23153.A.RD.M.001"/>
    <s v="Rede de Distribuição"/>
    <m/>
    <n v="1141000003"/>
    <s v="6000142708"/>
    <s v="10"/>
    <x v="3"/>
    <n v="15"/>
    <d v="2026-01-28T00:00:00"/>
    <m/>
    <s v="0"/>
    <m/>
    <m/>
    <m/>
    <m/>
    <m/>
    <s v="120996"/>
    <s v="ABECOM ROLAMENTOS E PRODUTOS DE BOR"/>
    <s v="ARIBACIG"/>
    <s v="Conexão ARIBACIG x S4P"/>
    <s v="PMNB"/>
    <x v="10"/>
    <s v="10"/>
    <s v="Não"/>
    <x v="4"/>
    <d v="2026-04-01T00:00:00"/>
    <s v="Liberado"/>
    <d v="2026-04-07T09:29:41"/>
    <m/>
    <d v="2026-04-13T00:00:00"/>
    <d v="2026-04-20T00:00:00"/>
    <n v="15"/>
    <n v="15"/>
    <n v="0"/>
    <n v="46197"/>
    <n v="15"/>
    <n v="0"/>
    <d v="2026-06-24T00:00:00"/>
    <m/>
    <m/>
    <x v="2"/>
    <n v="1"/>
  </r>
  <r>
    <x v="4"/>
    <x v="16"/>
    <s v="Q"/>
    <s v="Produção ind.projeto"/>
    <s v="ZMAT"/>
    <s v="ACRUZ10"/>
    <x v="4"/>
    <d v="2026-02-23T00:00:00"/>
    <s v="Aprovado"/>
    <d v="2026-02-12T00:00:00"/>
    <s v="R4"/>
    <s v="RJB4"/>
    <s v="SPE SANEAMENTO RIO 4 S.A"/>
    <s v="4003680"/>
    <x v="21"/>
    <x v="0"/>
    <s v="DP98"/>
    <s v="Suprimentos"/>
    <s v="194"/>
    <d v="2026-02-13T00:00:00"/>
    <s v="Sim"/>
    <s v="Spot"/>
    <s v="Não Urgente"/>
    <s v="Material"/>
    <s v="MATERIAIS MECÂNICOS"/>
    <s v="U/46A.23153.A.RD.M.001"/>
    <s v="Rede de Distribuição"/>
    <m/>
    <n v="1141000001"/>
    <s v="6000144265"/>
    <s v="70"/>
    <x v="3"/>
    <n v="10"/>
    <d v="2026-02-13T00:00:00"/>
    <m/>
    <s v="0"/>
    <m/>
    <m/>
    <m/>
    <m/>
    <m/>
    <s v="145468"/>
    <s v="PORTORROL DISTRIBUIDORA LTDA"/>
    <s v="ARIBACIG"/>
    <s v="Conexão ARIBACIG x S4P"/>
    <s v="PMNB"/>
    <x v="9"/>
    <s v="70"/>
    <s v="Não"/>
    <x v="4"/>
    <d v="2026-03-30T00:00:00"/>
    <s v="Liberado"/>
    <d v="2026-04-15T10:56:03"/>
    <m/>
    <d v="2026-04-22T00:00:00"/>
    <d v="2026-04-27T00:00:00"/>
    <n v="10"/>
    <n v="10"/>
    <n v="0"/>
    <d v="2026-05-08T00:00:00"/>
    <n v="10"/>
    <n v="0"/>
    <d v="2026-05-26T00:00:00"/>
    <m/>
    <m/>
    <x v="2"/>
    <n v="1"/>
  </r>
  <r>
    <x v="11"/>
    <x v="2"/>
    <s v="Q"/>
    <s v="Produção ind.projeto"/>
    <s v="ZMAT"/>
    <s v="ACRUZ10"/>
    <x v="10"/>
    <d v="2025-10-02T00:00:00"/>
    <s v="Aprovado"/>
    <d v="2025-09-22T00:00:00"/>
    <s v="R4"/>
    <s v="RJB4"/>
    <s v="SPE SANEAMENTO RIO 4 S.A"/>
    <s v="4003622"/>
    <x v="22"/>
    <x v="3"/>
    <s v="DP98"/>
    <s v="Suprimentos"/>
    <s v="351"/>
    <d v="2025-09-24T00:00:00"/>
    <s v="Sim"/>
    <s v="Spot"/>
    <s v="Não Urgente"/>
    <s v="Material"/>
    <s v="MATERIAIS MECÂNICOS"/>
    <s v="U/46A.23153.A.RD.M.001"/>
    <s v="Rede de Distribuição"/>
    <m/>
    <n v="1141000001"/>
    <s v="6000132919"/>
    <s v="10"/>
    <x v="4"/>
    <n v="6"/>
    <d v="2025-09-24T00:00:00"/>
    <m/>
    <s v="0"/>
    <m/>
    <m/>
    <m/>
    <m/>
    <m/>
    <s v="118580"/>
    <s v="IMPORT. DE ROLAMENTOS RADIAL LTDA"/>
    <s v="ARIBACIG"/>
    <s v="Conexão ARIBACIG x S4P"/>
    <s v="PMNB"/>
    <x v="11"/>
    <s v="10"/>
    <s v="Não"/>
    <x v="5"/>
    <d v="2025-10-03T00:00:00"/>
    <s v="Liberado"/>
    <d v="2025-10-17T16:46:06"/>
    <m/>
    <d v="2025-10-28T00:00:00"/>
    <d v="2025-11-17T00:00:00"/>
    <n v="6"/>
    <m/>
    <n v="6"/>
    <m/>
    <m/>
    <n v="6"/>
    <m/>
    <m/>
    <m/>
    <x v="5"/>
    <n v="1"/>
  </r>
  <r>
    <x v="4"/>
    <x v="17"/>
    <s v="Q"/>
    <s v="Produção ind.projeto"/>
    <s v="ZMAT"/>
    <s v="ACRUZ10"/>
    <x v="4"/>
    <d v="2026-02-23T00:00:00"/>
    <s v="Aprovado"/>
    <d v="2026-02-12T00:00:00"/>
    <s v="R4"/>
    <s v="RJB4"/>
    <s v="SPE SANEAMENTO RIO 4 S.A"/>
    <s v="4003620"/>
    <x v="23"/>
    <x v="2"/>
    <s v="DP98"/>
    <s v="Suprimentos"/>
    <s v="194"/>
    <d v="2026-02-13T00:00:00"/>
    <s v="Sim"/>
    <s v="Spot"/>
    <s v="Não Urgente"/>
    <s v="Material"/>
    <s v="MATERIAIS MECÂNICOS"/>
    <s v="U/46A.23153.A.RD.M.001"/>
    <s v="Rede de Distribuição"/>
    <m/>
    <n v="1141000001"/>
    <s v="6000144265"/>
    <s v="120"/>
    <x v="3"/>
    <n v="4"/>
    <d v="2026-02-13T00:00:00"/>
    <m/>
    <s v="0"/>
    <m/>
    <m/>
    <m/>
    <m/>
    <m/>
    <s v="145468"/>
    <s v="PORTORROL DISTRIBUIDORA LTDA"/>
    <s v="ARIBACIG"/>
    <s v="Conexão ARIBACIG x S4P"/>
    <s v="PMNB"/>
    <x v="9"/>
    <s v="120"/>
    <s v="Não"/>
    <x v="4"/>
    <d v="2026-03-30T00:00:00"/>
    <s v="Liberado"/>
    <d v="2026-04-15T10:56:03"/>
    <m/>
    <d v="2026-04-22T00:00:00"/>
    <d v="2026-04-13T00:00:00"/>
    <n v="4"/>
    <n v="4"/>
    <n v="0"/>
    <d v="2026-05-08T00:00:00"/>
    <n v="4"/>
    <n v="0"/>
    <d v="2026-05-26T00:00:00"/>
    <m/>
    <m/>
    <x v="2"/>
    <n v="1"/>
  </r>
  <r>
    <x v="4"/>
    <x v="18"/>
    <s v="Q"/>
    <s v="Produção ind.projeto"/>
    <s v="ZMAT"/>
    <s v="ACRUZ10"/>
    <x v="4"/>
    <d v="2026-02-23T00:00:00"/>
    <s v="Aprovado"/>
    <d v="2026-02-12T00:00:00"/>
    <s v="R4"/>
    <s v="RJB4"/>
    <s v="SPE SANEAMENTO RIO 4 S.A"/>
    <s v="4003686"/>
    <x v="24"/>
    <x v="9"/>
    <s v="DP98"/>
    <s v="Suprimentos"/>
    <s v="194"/>
    <d v="2026-02-13T00:00:00"/>
    <s v="Sim"/>
    <s v="Spot"/>
    <s v="Não Urgente"/>
    <s v="Material"/>
    <s v="MATERIAIS MECÂNICOS"/>
    <s v="U/46A.23153.A.RD.M.001"/>
    <s v="Rede de Distribuição"/>
    <m/>
    <n v="1141000003"/>
    <s v="6000144265"/>
    <s v="60"/>
    <x v="3"/>
    <n v="8"/>
    <d v="2026-02-13T00:00:00"/>
    <m/>
    <s v="0"/>
    <m/>
    <m/>
    <m/>
    <m/>
    <m/>
    <s v="145468"/>
    <s v="PORTORROL DISTRIBUIDORA LTDA"/>
    <s v="ARIBACIG"/>
    <s v="Conexão ARIBACIG x S4P"/>
    <s v="PMNB"/>
    <x v="9"/>
    <s v="60"/>
    <s v="Não"/>
    <x v="4"/>
    <d v="2026-03-30T00:00:00"/>
    <s v="Liberado"/>
    <d v="2026-04-15T10:56:03"/>
    <m/>
    <d v="2026-04-22T00:00:00"/>
    <d v="2026-04-27T00:00:00"/>
    <n v="8"/>
    <m/>
    <n v="8"/>
    <m/>
    <m/>
    <n v="8"/>
    <m/>
    <m/>
    <m/>
    <x v="3"/>
    <n v="1"/>
  </r>
  <r>
    <x v="10"/>
    <x v="4"/>
    <s v="Q"/>
    <s v="Produção ind.projeto"/>
    <s v="ZMAT"/>
    <s v="ACRUZ10"/>
    <x v="9"/>
    <d v="2025-09-09T00:00:00"/>
    <s v="Aprovado"/>
    <d v="2025-09-03T00:00:00"/>
    <s v="R4"/>
    <s v="RJB4"/>
    <s v="SPE SANEAMENTO RIO 4 S.A"/>
    <s v="4007726"/>
    <x v="25"/>
    <x v="3"/>
    <s v="DP98"/>
    <s v="Suprimentos"/>
    <m/>
    <m/>
    <s v="Sim"/>
    <s v="Spot"/>
    <s v="Não Urgente"/>
    <s v="Material"/>
    <s v="MATERIAIS MECÂNICOS"/>
    <s v="U/46A.23153.A.RD.M.001"/>
    <s v="Rede de Distribuição"/>
    <m/>
    <n v="1141000003"/>
    <m/>
    <m/>
    <x v="0"/>
    <m/>
    <m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1"/>
    <n v="1"/>
  </r>
  <r>
    <x v="2"/>
    <x v="4"/>
    <s v="Q"/>
    <s v="Produção ind.projeto"/>
    <s v="ZMAT"/>
    <s v="ACRUZ10"/>
    <x v="2"/>
    <d v="2026-01-30T00:00:00"/>
    <s v="Aprovado"/>
    <d v="2026-01-23T00:00:00"/>
    <s v="R4"/>
    <s v="RJB4"/>
    <s v="SPE SANEAMENTO RIO 4 S.A"/>
    <s v="4007726"/>
    <x v="25"/>
    <x v="8"/>
    <s v="DP98"/>
    <s v="Suprimentos"/>
    <s v="194"/>
    <d v="2026-01-28T00:00:00"/>
    <s v="Sim"/>
    <s v="Spot"/>
    <s v="Não Urgente"/>
    <s v="Material"/>
    <s v="MATERIAIS MECÂNICOS"/>
    <s v="U/46A.23153.A.RD.M.001"/>
    <s v="Rede de Distribuição"/>
    <m/>
    <n v="1141000003"/>
    <s v="6000142708"/>
    <s v="20"/>
    <x v="3"/>
    <n v="15"/>
    <d v="2026-01-28T00:00:00"/>
    <m/>
    <s v="0"/>
    <m/>
    <m/>
    <m/>
    <m/>
    <m/>
    <s v="120996"/>
    <s v="ABECOM ROLAMENTOS E PRODUTOS DE BOR"/>
    <s v="ARIBACIG"/>
    <s v="Conexão ARIBACIG x S4P"/>
    <s v="PMNB"/>
    <x v="10"/>
    <s v="20"/>
    <s v="Não"/>
    <x v="4"/>
    <d v="2026-04-01T00:00:00"/>
    <s v="Liberado"/>
    <d v="2026-04-07T09:29:41"/>
    <m/>
    <d v="2026-04-13T00:00:00"/>
    <d v="2026-04-20T00:00:00"/>
    <n v="15"/>
    <n v="15"/>
    <n v="0"/>
    <n v="46197"/>
    <n v="15"/>
    <n v="0"/>
    <d v="2026-06-24T00:00:00"/>
    <m/>
    <m/>
    <x v="2"/>
    <n v="1"/>
  </r>
  <r>
    <x v="12"/>
    <x v="2"/>
    <s v="Q"/>
    <s v="Produção ind.projeto"/>
    <s v="ZMAT"/>
    <s v="TTORRES"/>
    <x v="11"/>
    <d v="2026-07-15T00:00:00"/>
    <s v="Aprovado"/>
    <d v="2026-06-17T00:00:00"/>
    <s v="R4"/>
    <s v="RJB4"/>
    <s v="SPE SANEAMENTO RIO 4 S.A"/>
    <s v="4007726"/>
    <x v="25"/>
    <x v="0"/>
    <s v="DP98"/>
    <s v="Suprimentos"/>
    <s v="350"/>
    <d v="2026-06-25T00:00:00"/>
    <s v="Sim"/>
    <s v="Spot"/>
    <s v="Não Urgente"/>
    <s v="Material"/>
    <s v="MATERIAIS MECÂNICOS"/>
    <s v="U/46A.23153.A.RD.M.001"/>
    <s v="Rede de Distribuição"/>
    <m/>
    <n v="1141000003"/>
    <s v="6000154203"/>
    <s v="260"/>
    <x v="6"/>
    <n v="10"/>
    <d v="2026-06-25T00:00:00"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4"/>
    <n v="1"/>
  </r>
  <r>
    <x v="4"/>
    <x v="19"/>
    <s v="Q"/>
    <s v="Produção ind.projeto"/>
    <s v="ZMAT"/>
    <s v="ACRUZ10"/>
    <x v="4"/>
    <d v="2026-02-23T00:00:00"/>
    <s v="Aprovado"/>
    <d v="2026-02-12T00:00:00"/>
    <s v="R4"/>
    <s v="RJB4"/>
    <s v="SPE SANEAMENTO RIO 4 S.A"/>
    <s v="4003599"/>
    <x v="26"/>
    <x v="0"/>
    <s v="DP98"/>
    <s v="Suprimentos"/>
    <s v="194"/>
    <d v="2026-02-13T00:00:00"/>
    <s v="Sim"/>
    <s v="Spot"/>
    <s v="Não Urgente"/>
    <s v="Material"/>
    <s v="MATERIAIS MECÂNICOS"/>
    <s v="U/46A.23153.A.RD.M.001"/>
    <s v="Rede de Distribuição"/>
    <m/>
    <n v="1141000001"/>
    <s v="6000144265"/>
    <s v="110"/>
    <x v="3"/>
    <n v="10"/>
    <d v="2026-02-13T00:00:00"/>
    <m/>
    <s v="0"/>
    <m/>
    <m/>
    <m/>
    <m/>
    <m/>
    <s v="145468"/>
    <s v="PORTORROL DISTRIBUIDORA LTDA"/>
    <s v="ARIBACIG"/>
    <s v="Conexão ARIBACIG x S4P"/>
    <s v="PMNB"/>
    <x v="9"/>
    <s v="110"/>
    <s v="Não"/>
    <x v="4"/>
    <d v="2026-03-30T00:00:00"/>
    <s v="Liberado"/>
    <d v="2026-04-15T10:56:03"/>
    <m/>
    <d v="2026-04-22T00:00:00"/>
    <d v="2026-04-27T00:00:00"/>
    <n v="10"/>
    <n v="10"/>
    <n v="0"/>
    <d v="2026-05-08T00:00:00"/>
    <n v="10"/>
    <n v="0"/>
    <d v="2026-05-26T00:00:00"/>
    <m/>
    <m/>
    <x v="2"/>
    <n v="1"/>
  </r>
  <r>
    <x v="4"/>
    <x v="5"/>
    <s v="Q"/>
    <s v="Produção ind.projeto"/>
    <s v="ZMAT"/>
    <s v="ACRUZ10"/>
    <x v="4"/>
    <d v="2026-02-23T00:00:00"/>
    <s v="Aprovado"/>
    <d v="2026-02-12T00:00:00"/>
    <s v="R4"/>
    <s v="RJB4"/>
    <s v="SPE SANEAMENTO RIO 4 S.A"/>
    <s v="4003590"/>
    <x v="27"/>
    <x v="4"/>
    <s v="DP98"/>
    <s v="Suprimentos"/>
    <s v="194"/>
    <d v="2026-02-13T00:00:00"/>
    <s v="Sim"/>
    <s v="Spot"/>
    <s v="Não Urgente"/>
    <s v="Material"/>
    <s v="MATERIAIS MECÂNICOS"/>
    <s v="U/46A.23153.A.RD.M.001"/>
    <s v="Rede de Distribuição"/>
    <m/>
    <n v="1141000001"/>
    <s v="6000144265"/>
    <s v="50"/>
    <x v="3"/>
    <n v="5"/>
    <d v="2026-02-13T00:00:00"/>
    <m/>
    <s v="0"/>
    <m/>
    <m/>
    <m/>
    <m/>
    <m/>
    <s v="145468"/>
    <s v="PORTORROL DISTRIBUIDORA LTDA"/>
    <s v="ARIBACIG"/>
    <s v="Conexão ARIBACIG x S4P"/>
    <s v="PMNB"/>
    <x v="9"/>
    <s v="50"/>
    <s v="Não"/>
    <x v="4"/>
    <d v="2026-03-30T00:00:00"/>
    <s v="Liberado"/>
    <d v="2026-04-15T10:56:03"/>
    <m/>
    <d v="2026-04-22T00:00:00"/>
    <d v="2026-04-27T00:00:00"/>
    <n v="5"/>
    <n v="5"/>
    <n v="0"/>
    <d v="2026-05-08T00:00:00"/>
    <n v="5"/>
    <n v="0"/>
    <d v="2026-05-26T00:00:00"/>
    <m/>
    <m/>
    <x v="2"/>
    <n v="1"/>
  </r>
  <r>
    <x v="4"/>
    <x v="3"/>
    <s v="Q"/>
    <s v="Produção ind.projeto"/>
    <s v="ZMAT"/>
    <s v="ACRUZ10"/>
    <x v="4"/>
    <d v="2026-02-23T00:00:00"/>
    <s v="Aprovado"/>
    <d v="2026-02-12T00:00:00"/>
    <s v="R4"/>
    <s v="RJB4"/>
    <s v="SPE SANEAMENTO RIO 4 S.A"/>
    <s v="4003573"/>
    <x v="28"/>
    <x v="4"/>
    <s v="DP98"/>
    <s v="Suprimentos"/>
    <s v="194"/>
    <d v="2026-02-13T00:00:00"/>
    <s v="Sim"/>
    <s v="Spot"/>
    <s v="Não Urgente"/>
    <s v="Material"/>
    <s v="MATERIAIS MECÂNICOS"/>
    <s v="U/46A.23153.A.RD.M.001"/>
    <s v="Rede de Distribuição"/>
    <m/>
    <n v="1141000001"/>
    <s v="6000144265"/>
    <s v="40"/>
    <x v="3"/>
    <n v="5"/>
    <d v="2026-02-13T00:00:00"/>
    <m/>
    <s v="0"/>
    <m/>
    <m/>
    <m/>
    <m/>
    <m/>
    <s v="145468"/>
    <s v="PORTORROL DISTRIBUIDORA LTDA"/>
    <s v="ARIBACIG"/>
    <s v="Conexão ARIBACIG x S4P"/>
    <s v="PMNB"/>
    <x v="9"/>
    <s v="40"/>
    <s v="Não"/>
    <x v="4"/>
    <d v="2026-03-30T00:00:00"/>
    <s v="Liberado"/>
    <d v="2026-04-15T10:56:03"/>
    <m/>
    <d v="2026-04-22T00:00:00"/>
    <d v="2026-04-27T00:00:00"/>
    <n v="5"/>
    <n v="5"/>
    <n v="0"/>
    <d v="2026-05-08T00:00:00"/>
    <n v="5"/>
    <n v="0"/>
    <d v="2026-05-26T00:00:00"/>
    <m/>
    <m/>
    <x v="2"/>
    <n v="1"/>
  </r>
  <r>
    <x v="4"/>
    <x v="1"/>
    <s v="Q"/>
    <s v="Produção ind.projeto"/>
    <s v="ZMAT"/>
    <s v="ACRUZ10"/>
    <x v="4"/>
    <d v="2026-02-23T00:00:00"/>
    <s v="Aprovado"/>
    <d v="2026-02-12T00:00:00"/>
    <s v="R4"/>
    <s v="RJB4"/>
    <s v="SPE SANEAMENTO RIO 4 S.A"/>
    <s v="4003666"/>
    <x v="29"/>
    <x v="2"/>
    <s v="DP98"/>
    <s v="Suprimentos"/>
    <s v="194"/>
    <d v="2026-02-13T00:00:00"/>
    <s v="Sim"/>
    <s v="Spot"/>
    <s v="Não Urgente"/>
    <s v="Material"/>
    <s v="MATERIAIS MECÂNICOS"/>
    <s v="U/46A.23153.A.RD.M.001"/>
    <s v="Rede de Distribuição"/>
    <m/>
    <n v="1141000001"/>
    <s v="6000144265"/>
    <s v="30"/>
    <x v="3"/>
    <n v="4"/>
    <d v="2026-02-13T00:00:00"/>
    <m/>
    <s v="0"/>
    <m/>
    <m/>
    <m/>
    <m/>
    <m/>
    <s v="145468"/>
    <s v="PORTORROL DISTRIBUIDORA LTDA"/>
    <s v="ARIBACIG"/>
    <s v="Conexão ARIBACIG x S4P"/>
    <s v="PMNB"/>
    <x v="9"/>
    <s v="30"/>
    <s v="Não"/>
    <x v="4"/>
    <d v="2026-03-30T00:00:00"/>
    <s v="Liberado"/>
    <d v="2026-04-15T10:56:03"/>
    <m/>
    <d v="2026-04-22T00:00:00"/>
    <d v="2026-04-27T00:00:00"/>
    <n v="4"/>
    <n v="4"/>
    <n v="0"/>
    <n v="46150"/>
    <n v="4"/>
    <n v="0"/>
    <d v="2026-05-26T00:00:00"/>
    <m/>
    <m/>
    <x v="2"/>
    <n v="1"/>
  </r>
  <r>
    <x v="11"/>
    <x v="0"/>
    <s v="Q"/>
    <s v="Produção ind.projeto"/>
    <s v="ZMAT"/>
    <s v="ACRUZ10"/>
    <x v="10"/>
    <d v="2025-09-29T00:00:00"/>
    <s v="Aprovado"/>
    <d v="2025-09-22T00:00:00"/>
    <s v="R4"/>
    <s v="RJB4"/>
    <s v="SPE SANEAMENTO RIO 4 S.A"/>
    <s v="4003645"/>
    <x v="30"/>
    <x v="10"/>
    <s v="DP98"/>
    <s v="Suprimentos"/>
    <s v="351"/>
    <d v="2025-09-24T00:00:00"/>
    <s v="Sim"/>
    <s v="Spot"/>
    <s v="Não Urgente"/>
    <s v="Material"/>
    <s v="MATERIAIS MECÂNICOS"/>
    <s v="U/46A.23153.A.RD.M.001"/>
    <s v="Rede de Distribuição"/>
    <m/>
    <n v="1141000001"/>
    <s v="6000132919"/>
    <s v="20"/>
    <x v="4"/>
    <n v="3"/>
    <d v="2025-09-24T00:00:00"/>
    <m/>
    <s v="0"/>
    <m/>
    <m/>
    <m/>
    <m/>
    <m/>
    <s v="118580"/>
    <s v="IMPORT. DE ROLAMENTOS RADIAL LTDA"/>
    <s v="ARIBACIG"/>
    <s v="Conexão ARIBACIG x S4P"/>
    <s v="PMNB"/>
    <x v="11"/>
    <s v="20"/>
    <s v="Não"/>
    <x v="5"/>
    <d v="2025-10-03T00:00:00"/>
    <s v="Liberado"/>
    <d v="2025-10-17T16:46:06"/>
    <m/>
    <d v="2025-10-20T00:00:00"/>
    <d v="2025-11-17T00:00:00"/>
    <n v="3"/>
    <m/>
    <n v="3"/>
    <m/>
    <m/>
    <n v="3"/>
    <m/>
    <m/>
    <m/>
    <x v="5"/>
    <n v="1"/>
  </r>
  <r>
    <x v="4"/>
    <x v="0"/>
    <s v="Q"/>
    <s v="Produção ind.projeto"/>
    <s v="ZMAT"/>
    <s v="ACRUZ10"/>
    <x v="4"/>
    <d v="2026-02-23T00:00:00"/>
    <s v="Aprovado"/>
    <d v="2026-02-12T00:00:00"/>
    <s v="R4"/>
    <s v="RJB4"/>
    <s v="SPE SANEAMENTO RIO 4 S.A"/>
    <s v="4003706"/>
    <x v="31"/>
    <x v="2"/>
    <s v="DP98"/>
    <s v="Suprimentos"/>
    <s v="194"/>
    <d v="2026-02-13T00:00:00"/>
    <s v="Sim"/>
    <s v="Spot"/>
    <s v="Não Urgente"/>
    <s v="Material"/>
    <s v="MATERIAIS MECÂNICOS"/>
    <s v="U/46A.23153.A.RD.M.001"/>
    <s v="Rede de Distribuição"/>
    <m/>
    <n v="1141000001"/>
    <s v="6000144265"/>
    <s v="20"/>
    <x v="3"/>
    <n v="4"/>
    <d v="2026-02-13T00:00:00"/>
    <m/>
    <s v="0"/>
    <m/>
    <m/>
    <m/>
    <m/>
    <m/>
    <s v="145468"/>
    <s v="PORTORROL DISTRIBUIDORA LTDA"/>
    <s v="ARIBACIG"/>
    <s v="Conexão ARIBACIG x S4P"/>
    <s v="PMNB"/>
    <x v="9"/>
    <s v="20"/>
    <s v="Não"/>
    <x v="4"/>
    <d v="2026-03-30T00:00:00"/>
    <s v="Liberado"/>
    <d v="2026-04-15T10:56:03"/>
    <m/>
    <d v="2026-04-22T00:00:00"/>
    <d v="2026-04-27T00:00:00"/>
    <n v="4"/>
    <n v="4"/>
    <n v="0"/>
    <d v="2026-05-08T00:00:00"/>
    <n v="4"/>
    <n v="0"/>
    <d v="2026-05-26T00:00:00"/>
    <m/>
    <m/>
    <x v="2"/>
    <n v="1"/>
  </r>
  <r>
    <x v="4"/>
    <x v="2"/>
    <s v="Q"/>
    <s v="Produção ind.projeto"/>
    <s v="ZMAT"/>
    <s v="ACRUZ10"/>
    <x v="4"/>
    <d v="2026-02-23T00:00:00"/>
    <s v="Aprovado"/>
    <d v="2026-02-12T00:00:00"/>
    <s v="R4"/>
    <s v="RJB4"/>
    <s v="SPE SANEAMENTO RIO 4 S.A"/>
    <s v="4003705"/>
    <x v="32"/>
    <x v="2"/>
    <s v="DP98"/>
    <s v="Suprimentos"/>
    <s v="194"/>
    <d v="2026-02-13T00:00:00"/>
    <s v="Sim"/>
    <s v="Spot"/>
    <s v="Não Urgente"/>
    <s v="Material"/>
    <s v="MATERIAIS MECÂNICOS"/>
    <s v="U/46A.23153.A.RD.M.001"/>
    <s v="Rede de Distribuição"/>
    <m/>
    <n v="1141000001"/>
    <s v="6000144265"/>
    <s v="10"/>
    <x v="3"/>
    <n v="4"/>
    <n v="46066"/>
    <m/>
    <s v="0"/>
    <m/>
    <m/>
    <m/>
    <m/>
    <m/>
    <s v="145468"/>
    <s v="PORTORROL DISTRIBUIDORA LTDA"/>
    <s v="ARIBACIG"/>
    <s v="Conexão ARIBACIG x S4P"/>
    <s v="PMNB"/>
    <x v="9"/>
    <s v="10"/>
    <s v="Não"/>
    <x v="4"/>
    <d v="2026-03-30T00:00:00"/>
    <s v="Liberado"/>
    <d v="2026-04-15T10:56:03"/>
    <m/>
    <d v="2026-04-22T00:00:00"/>
    <d v="2026-04-27T00:00:00"/>
    <n v="4"/>
    <n v="4"/>
    <n v="0"/>
    <n v="46150"/>
    <n v="4"/>
    <n v="0"/>
    <d v="2026-05-26T00:00:00"/>
    <m/>
    <m/>
    <x v="2"/>
    <n v="1"/>
  </r>
  <r>
    <x v="13"/>
    <x v="0"/>
    <s v="Q"/>
    <s v="Produção ind.projeto"/>
    <s v="ZMAT"/>
    <s v="ACRUZ10"/>
    <x v="12"/>
    <d v="2026-02-20T00:00:00"/>
    <s v="Aprovado"/>
    <d v="2026-02-12T00:00:00"/>
    <s v="R4"/>
    <s v="RJB4"/>
    <s v="SPE SANEAMENTO RIO 4 S.A"/>
    <s v="5009030"/>
    <x v="33"/>
    <x v="10"/>
    <s v="DP96"/>
    <s v="Suprimentos"/>
    <s v="263"/>
    <d v="2025-08-11T00:00:00"/>
    <s v="Sim"/>
    <s v="Contrato"/>
    <s v="Não Urgente"/>
    <s v="Material"/>
    <s v="MATERIAIS ELÉTRICOS"/>
    <s v="U/46A.23153.A.RD.M.001"/>
    <s v="Rede de Distribuição"/>
    <m/>
    <n v="1141000003"/>
    <m/>
    <m/>
    <x v="0"/>
    <m/>
    <m/>
    <s v="4600095704"/>
    <s v="150"/>
    <s v="Natasha Amancio"/>
    <n v="0"/>
    <n v="45880"/>
    <s v="Liberado"/>
    <m/>
    <s v="151003"/>
    <s v="ANDRA S A ELECTRIC SOLUTIONS"/>
    <s v="USERJOBS"/>
    <s v="Usuário Jobs"/>
    <s v="PGLO"/>
    <x v="12"/>
    <s v="10"/>
    <s v="Não"/>
    <x v="1"/>
    <d v="2026-02-16T00:00:00"/>
    <s v="Liberado"/>
    <d v="2026-02-23T10:13:25"/>
    <m/>
    <m/>
    <d v="2026-04-01T00:00:00"/>
    <n v="3"/>
    <m/>
    <n v="3"/>
    <m/>
    <m/>
    <n v="3"/>
    <m/>
    <m/>
    <m/>
    <x v="3"/>
    <n v="1"/>
  </r>
  <r>
    <x v="14"/>
    <x v="1"/>
    <s v="Q"/>
    <s v="Produção ind.projeto"/>
    <s v="ZMAT"/>
    <s v="ACRUZ10"/>
    <x v="6"/>
    <d v="2026-03-06T00:00:00"/>
    <s v="Aprovado"/>
    <d v="2026-02-23T00:00:00"/>
    <s v="R4"/>
    <s v="RJB4"/>
    <s v="SPE SANEAMENTO RIO 4 S.A"/>
    <s v="5032672"/>
    <x v="34"/>
    <x v="8"/>
    <s v="DP98"/>
    <s v="Suprimentos"/>
    <s v="264"/>
    <d v="2026-02-27T00:00:00"/>
    <s v=""/>
    <s v="Spot"/>
    <s v="Não Urgente"/>
    <s v="Material"/>
    <s v="MATERIAIS ELÉTRICOS"/>
    <s v="U/46A.23153.A.RD.M.001"/>
    <s v="Rede de Distribuição"/>
    <m/>
    <n v="1141000003"/>
    <s v="6000145404"/>
    <s v="20"/>
    <x v="7"/>
    <n v="15"/>
    <n v="46080"/>
    <m/>
    <s v="0"/>
    <m/>
    <m/>
    <m/>
    <m/>
    <m/>
    <s v="106191"/>
    <s v="PEU ELETRICIDADE LTDA."/>
    <s v="ARIBACIG"/>
    <s v="Conexão ARIBACIG x S4P"/>
    <s v="PMNB"/>
    <x v="13"/>
    <s v="10"/>
    <s v="Não"/>
    <x v="7"/>
    <d v="2026-04-14T00:00:00"/>
    <s v="Liberado"/>
    <d v="2026-04-15T10:52:43"/>
    <m/>
    <d v="2026-05-18T00:00:00"/>
    <d v="2026-06-22T00:00:00"/>
    <n v="15"/>
    <m/>
    <n v="15"/>
    <m/>
    <m/>
    <n v="15"/>
    <m/>
    <m/>
    <m/>
    <x v="3"/>
    <n v="1"/>
  </r>
  <r>
    <x v="13"/>
    <x v="3"/>
    <s v="Q"/>
    <s v="Produção ind.projeto"/>
    <s v="ZMAT"/>
    <s v="ACRUZ10"/>
    <x v="12"/>
    <d v="2026-03-12T00:00:00"/>
    <s v="Aprovado"/>
    <d v="2026-02-12T00:00:00"/>
    <s v="R4"/>
    <s v="RJB4"/>
    <s v="SPE SANEAMENTO RIO 4 S.A"/>
    <s v="5021247"/>
    <x v="35"/>
    <x v="8"/>
    <s v="DP96"/>
    <s v="Suprimentos"/>
    <s v="263"/>
    <d v="2025-06-12T00:00:00"/>
    <s v="Sim"/>
    <s v="Contrato"/>
    <s v="Não Urgente"/>
    <s v="Material"/>
    <s v="MATERIAIS ELÉTRICOS"/>
    <s v="U/46A.23153.A.RD.M.001"/>
    <s v="Rede de Distribuição"/>
    <m/>
    <n v="1141000003"/>
    <m/>
    <m/>
    <x v="0"/>
    <m/>
    <m/>
    <s v="4600092950"/>
    <s v="780"/>
    <s v="Natasha Amancio"/>
    <n v="0"/>
    <n v="45820"/>
    <s v="Liberado"/>
    <m/>
    <s v="118269"/>
    <s v="COMERCIAL ELETRICA P J LTDA"/>
    <s v="USERJOBS"/>
    <s v="Usuário Jobs"/>
    <s v="PGLO"/>
    <x v="14"/>
    <s v="10"/>
    <s v="Sim"/>
    <x v="1"/>
    <n v="46065"/>
    <s v="Liberado"/>
    <d v="2026-02-23T10:22:31"/>
    <m/>
    <m/>
    <n v="46108"/>
    <n v="15"/>
    <n v="15"/>
    <n v="0"/>
    <n v="46105"/>
    <n v="15"/>
    <n v="0"/>
    <d v="2026-03-24T00:00:00"/>
    <m/>
    <m/>
    <x v="2"/>
    <n v="1"/>
  </r>
  <r>
    <x v="13"/>
    <x v="4"/>
    <s v="Q"/>
    <s v="Produção ind.projeto"/>
    <s v="ZMAT"/>
    <s v="ACRUZ10"/>
    <x v="12"/>
    <d v="2026-04-13T00:00:00"/>
    <s v="Aprovado"/>
    <d v="2026-02-12T00:00:00"/>
    <s v="R4"/>
    <s v="RJB4"/>
    <s v="SPE SANEAMENTO RIO 4 S.A"/>
    <s v="5009011"/>
    <x v="36"/>
    <x v="8"/>
    <s v="DP96"/>
    <s v="Suprimentos"/>
    <s v="73"/>
    <d v="2026-04-06T00:00:00"/>
    <s v="Sim"/>
    <s v="Spot"/>
    <s v="Não Urgente"/>
    <s v="Material"/>
    <s v="MATERIAIS ELÉTRICOS"/>
    <s v="U/46A.23153.A.RD.M.001"/>
    <s v="Rede de Distribuição"/>
    <m/>
    <n v="1141000003"/>
    <s v="6000148270"/>
    <s v="20"/>
    <x v="8"/>
    <n v="15"/>
    <d v="2026-04-06T00:00:00"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1"/>
    <n v="1"/>
  </r>
  <r>
    <x v="11"/>
    <x v="17"/>
    <s v="Q"/>
    <s v="Produção ind.projeto"/>
    <s v="ZMAT"/>
    <s v="ACRUZ10"/>
    <x v="10"/>
    <d v="2025-09-22T00:00:00"/>
    <s v="Aprovado"/>
    <d v="2025-09-22T00:00:00"/>
    <s v="R4"/>
    <s v="RJB4"/>
    <s v="SPE SANEAMENTO RIO 4 S.A"/>
    <s v="3006663"/>
    <x v="37"/>
    <x v="11"/>
    <s v="DP98"/>
    <s v="Suprimentos"/>
    <s v="351"/>
    <d v="2025-09-24T00:00:00"/>
    <s v="Sim"/>
    <s v="Spot"/>
    <s v="Não Urgente"/>
    <s v="Material"/>
    <s v="MATERIAIS MECÂNICOS"/>
    <s v="U/46A.23153.A.RD.M.001"/>
    <s v="Rede de Distribuição"/>
    <m/>
    <n v="1141000003"/>
    <s v="6000132920"/>
    <s v="230"/>
    <x v="4"/>
    <n v="50"/>
    <d v="2025-09-24T00:00:00"/>
    <m/>
    <s v="0"/>
    <m/>
    <m/>
    <m/>
    <m/>
    <m/>
    <s v="116824"/>
    <s v="PLANAC MAQUINAS E FERRAMENTAS LTDA"/>
    <s v="ARIBACIG"/>
    <s v="Conexão ARIBACIG x S4P"/>
    <s v="PMNB"/>
    <x v="15"/>
    <s v="40"/>
    <s v="Sim"/>
    <x v="5"/>
    <d v="2025-10-07T00:00:00"/>
    <s v="Liberado"/>
    <d v="2025-10-17T16:45:32"/>
    <m/>
    <d v="2025-11-03T00:00:00"/>
    <d v="2025-12-20T00:00:00"/>
    <n v="50"/>
    <n v="50"/>
    <n v="0"/>
    <d v="2025-12-04T00:00:00"/>
    <n v="50"/>
    <n v="0"/>
    <d v="2025-12-04T00:00:00"/>
    <m/>
    <m/>
    <x v="2"/>
    <n v="1"/>
  </r>
  <r>
    <x v="11"/>
    <x v="19"/>
    <s v="Q"/>
    <s v="Produção ind.projeto"/>
    <s v="ZMAT"/>
    <s v="ACRUZ10"/>
    <x v="10"/>
    <d v="2025-09-22T00:00:00"/>
    <s v="Aprovado"/>
    <d v="2025-09-22T00:00:00"/>
    <s v="R4"/>
    <s v="RJB4"/>
    <s v="SPE SANEAMENTO RIO 4 S.A"/>
    <s v="3006439"/>
    <x v="38"/>
    <x v="12"/>
    <s v="DP98"/>
    <s v="Suprimentos"/>
    <s v="351"/>
    <d v="2025-09-24T00:00:00"/>
    <s v="Sim"/>
    <s v="Spot"/>
    <s v="Não Urgente"/>
    <s v="Material"/>
    <s v="MATERIAIS MECÂNICOS"/>
    <s v="U/46A.23153.A.RD.M.001"/>
    <s v="Rede de Distribuição"/>
    <m/>
    <n v="1141000003"/>
    <s v="6000132920"/>
    <s v="220"/>
    <x v="4"/>
    <n v="100"/>
    <d v="2025-09-24T00:00:00"/>
    <m/>
    <s v="0"/>
    <m/>
    <m/>
    <m/>
    <m/>
    <m/>
    <s v="116824"/>
    <s v="PLANAC MAQUINAS E FERRAMENTAS LTDA"/>
    <s v="ARIBACIG"/>
    <s v="Conexão ARIBACIG x S4P"/>
    <s v="PMNB"/>
    <x v="15"/>
    <s v="30"/>
    <s v="Sim"/>
    <x v="5"/>
    <d v="2025-10-07T00:00:00"/>
    <s v="Liberado"/>
    <d v="2025-10-17T16:45:32"/>
    <m/>
    <d v="2025-11-03T00:00:00"/>
    <d v="2025-12-20T00:00:00"/>
    <n v="100"/>
    <n v="100"/>
    <n v="0"/>
    <d v="2025-12-04T00:00:00"/>
    <n v="100"/>
    <n v="0"/>
    <d v="2025-12-04T00:00:00"/>
    <m/>
    <m/>
    <x v="2"/>
    <n v="1"/>
  </r>
  <r>
    <x v="11"/>
    <x v="20"/>
    <s v="Q"/>
    <s v="Produção ind.projeto"/>
    <s v="ZMAT"/>
    <s v="ACRUZ10"/>
    <x v="10"/>
    <d v="2025-09-22T00:00:00"/>
    <s v="Aprovado"/>
    <d v="2025-09-22T00:00:00"/>
    <s v="R4"/>
    <s v="RJB4"/>
    <s v="SPE SANEAMENTO RIO 4 S.A"/>
    <s v="3006428"/>
    <x v="39"/>
    <x v="12"/>
    <s v="DP98"/>
    <s v="Suprimentos"/>
    <s v="351"/>
    <d v="2025-09-24T00:00:00"/>
    <s v="Sim"/>
    <s v="Spot"/>
    <s v="Não Urgente"/>
    <s v="Material"/>
    <s v="MATERIAIS MECÂNICOS"/>
    <s v="U/46A.23153.A.RD.M.001"/>
    <s v="Rede de Distribuição"/>
    <m/>
    <n v="1141000003"/>
    <s v="6000132920"/>
    <s v="210"/>
    <x v="4"/>
    <n v="100"/>
    <d v="2025-09-24T00:00:00"/>
    <m/>
    <s v="0"/>
    <m/>
    <m/>
    <m/>
    <m/>
    <m/>
    <s v="116824"/>
    <s v="PLANAC MAQUINAS E FERRAMENTAS LTDA"/>
    <s v="ARIBACIG"/>
    <s v="Conexão ARIBACIG x S4P"/>
    <s v="PMNB"/>
    <x v="15"/>
    <s v="20"/>
    <s v="Sim"/>
    <x v="5"/>
    <d v="2025-10-07T00:00:00"/>
    <s v="Liberado"/>
    <d v="2025-10-17T16:45:32"/>
    <m/>
    <d v="2025-11-03T00:00:00"/>
    <d v="2025-12-20T00:00:00"/>
    <n v="100"/>
    <n v="100"/>
    <n v="0"/>
    <d v="2025-12-04T00:00:00"/>
    <n v="100"/>
    <n v="0"/>
    <d v="2025-12-04T00:00:00"/>
    <m/>
    <m/>
    <x v="2"/>
    <n v="1"/>
  </r>
  <r>
    <x v="11"/>
    <x v="13"/>
    <s v="Q"/>
    <s v="Produção ind.projeto"/>
    <s v="ZMAT"/>
    <s v="ACRUZ10"/>
    <x v="10"/>
    <d v="2025-09-22T00:00:00"/>
    <s v="Aprovado"/>
    <d v="2025-09-22T00:00:00"/>
    <s v="R4"/>
    <s v="RJB4"/>
    <s v="SPE SANEAMENTO RIO 4 S.A"/>
    <s v="3006405"/>
    <x v="40"/>
    <x v="11"/>
    <s v="DP98"/>
    <s v="Suprimentos"/>
    <s v="351"/>
    <n v="45924"/>
    <s v="Sim"/>
    <s v="Spot"/>
    <s v="Não Urgente"/>
    <s v="Material"/>
    <s v="MATERIAIS MECÂNICOS"/>
    <s v="U/46A.23153.A.RD.M.001"/>
    <s v="Rede de Distribuição"/>
    <m/>
    <n v="1141000003"/>
    <s v="6000132920"/>
    <s v="200"/>
    <x v="4"/>
    <n v="50"/>
    <n v="45924"/>
    <m/>
    <s v="0"/>
    <m/>
    <m/>
    <m/>
    <m/>
    <m/>
    <s v="116824"/>
    <s v="PLANAC MAQUINAS E FERRAMENTAS LTDA"/>
    <s v="ARIBACIG"/>
    <s v="Conexão ARIBACIG x S4P"/>
    <s v="PMNB"/>
    <x v="15"/>
    <s v="10"/>
    <s v="Sim"/>
    <x v="5"/>
    <n v="45937"/>
    <s v="Liberado"/>
    <d v="2025-10-17T16:45:32"/>
    <m/>
    <d v="2025-11-03T00:00:00"/>
    <n v="46011"/>
    <n v="50"/>
    <n v="50"/>
    <n v="0"/>
    <n v="45995"/>
    <n v="50"/>
    <n v="0"/>
    <d v="2025-12-04T00:00:00"/>
    <m/>
    <m/>
    <x v="2"/>
    <n v="1"/>
  </r>
  <r>
    <x v="2"/>
    <x v="18"/>
    <s v="Q"/>
    <s v="Produção ind.projeto"/>
    <s v="ZMAT"/>
    <s v="ACRUZ10"/>
    <x v="2"/>
    <d v="2026-01-23T00:00:00"/>
    <s v="Aprovado"/>
    <d v="2026-01-23T00:00:00"/>
    <s v="R4"/>
    <s v="RJB4"/>
    <s v="SPE SANEAMENTO RIO 4 S.A"/>
    <s v="5030878"/>
    <x v="41"/>
    <x v="4"/>
    <s v="DP98"/>
    <s v="Suprimentos"/>
    <m/>
    <m/>
    <s v="Sim"/>
    <s v="Spot"/>
    <s v="Não Urgente"/>
    <s v="Material"/>
    <s v="MATERIAIS ELÉTRICOS"/>
    <s v="U/46A.23153.A.RD.M.001"/>
    <s v="Rede de Distribuição"/>
    <m/>
    <n v="1141000003"/>
    <m/>
    <m/>
    <x v="0"/>
    <m/>
    <m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1"/>
    <n v="1"/>
  </r>
  <r>
    <x v="15"/>
    <x v="5"/>
    <s v="Q"/>
    <s v="Produção ind.projeto"/>
    <s v="ZMAT"/>
    <s v="ACRUZ10"/>
    <x v="13"/>
    <d v="2026-04-20T00:00:00"/>
    <s v="Aprovado"/>
    <d v="2026-05-08T00:00:00"/>
    <s v="R4"/>
    <s v="RJB4"/>
    <s v="SPE SANEAMENTO RIO 4 S.A"/>
    <s v="5030878"/>
    <x v="41"/>
    <x v="0"/>
    <s v="DP98"/>
    <s v="Suprimentos"/>
    <s v="73"/>
    <n v="46171"/>
    <s v="Sim"/>
    <s v="Spot"/>
    <s v="Não Urgente"/>
    <s v="Material"/>
    <s v="MATERIAIS ELÉTRICOS"/>
    <s v="U/46A.23153.A.RD.M.001"/>
    <s v="Rede de Distribuição"/>
    <m/>
    <n v="1141000003"/>
    <s v="6000152408"/>
    <s v="120"/>
    <x v="8"/>
    <n v="10"/>
    <n v="46171"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4"/>
    <n v="1"/>
  </r>
  <r>
    <x v="2"/>
    <x v="3"/>
    <s v="Q"/>
    <s v="Produção ind.projeto"/>
    <s v="ZMAT"/>
    <s v="ACRUZ10"/>
    <x v="2"/>
    <d v="2026-01-23T00:00:00"/>
    <s v="Aprovado"/>
    <d v="2026-01-23T00:00:00"/>
    <s v="R4"/>
    <s v="RJB4"/>
    <s v="SPE SANEAMENTO RIO 4 S.A"/>
    <s v="4004439"/>
    <x v="42"/>
    <x v="0"/>
    <s v="DP98"/>
    <s v="Suprimentos"/>
    <m/>
    <m/>
    <s v="Sim"/>
    <s v="Spot"/>
    <s v="Não Urgente"/>
    <s v="Material"/>
    <s v="MATERIAIS ELÉTRICOS"/>
    <s v="U/46A.23153.A.RD.M.001"/>
    <s v="Rede de Distribuição"/>
    <m/>
    <n v="1141000003"/>
    <m/>
    <m/>
    <x v="0"/>
    <m/>
    <m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1"/>
    <n v="1"/>
  </r>
  <r>
    <x v="15"/>
    <x v="3"/>
    <s v="Q"/>
    <s v="Produção ind.projeto"/>
    <s v="ZMAT"/>
    <s v="ACRUZ10"/>
    <x v="13"/>
    <d v="2026-04-20T00:00:00"/>
    <s v="Aprovado"/>
    <d v="2026-05-08T00:00:00"/>
    <s v="R4"/>
    <s v="RJB4"/>
    <s v="SPE SANEAMENTO RIO 4 S.A"/>
    <s v="4004439"/>
    <x v="42"/>
    <x v="0"/>
    <s v="DP98"/>
    <s v="Suprimentos"/>
    <s v="73"/>
    <d v="2026-05-29T00:00:00"/>
    <s v="Sim"/>
    <s v="Spot"/>
    <s v="Não Urgente"/>
    <s v="Material"/>
    <s v="MATERIAIS ELÉTRICOS"/>
    <s v="U/46A.23153.A.RD.M.001"/>
    <s v="Rede de Distribuição"/>
    <m/>
    <n v="1141000003"/>
    <s v="6000152408"/>
    <s v="110"/>
    <x v="8"/>
    <n v="10"/>
    <d v="2026-05-29T00:00:00"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4"/>
    <n v="1"/>
  </r>
  <r>
    <x v="9"/>
    <x v="0"/>
    <s v="Q"/>
    <s v="Produção ind.projeto"/>
    <s v="ZMAT"/>
    <s v="PMORAIS"/>
    <x v="3"/>
    <d v="2026-04-16T00:00:00"/>
    <s v="Aprovado"/>
    <d v="2026-03-23T00:00:00"/>
    <s v="R4"/>
    <s v="RJB4"/>
    <s v="SPE SANEAMENTO RIO 4 S.A"/>
    <s v="3012927"/>
    <x v="43"/>
    <x v="4"/>
    <s v="DP96"/>
    <s v="Unidade"/>
    <s v="274"/>
    <d v="2026-03-25T00:00:00"/>
    <s v="Não"/>
    <s v="Spot"/>
    <s v="Não Urgente"/>
    <s v="Material"/>
    <s v="MATERIAIS DE USO E CONSUMO"/>
    <s v="U/46A.23153.A.RD.M.001"/>
    <s v="Rede de Distribuição"/>
    <m/>
    <n v="1141000001"/>
    <s v="6000147390"/>
    <s v="20"/>
    <x v="9"/>
    <n v="5"/>
    <n v="46106"/>
    <m/>
    <s v="0"/>
    <m/>
    <m/>
    <m/>
    <m/>
    <m/>
    <s v="155505"/>
    <s v="MIX FULL COMERCIO ATACADISTA LTDA"/>
    <s v="ARIBACIG"/>
    <s v="Conexão ARIBACIG x S4P"/>
    <s v="PMNB"/>
    <x v="16"/>
    <s v="10"/>
    <s v="Sim"/>
    <x v="8"/>
    <d v="2026-03-30T00:00:00"/>
    <s v="Liberado"/>
    <d v="2026-04-07T09:29:58"/>
    <m/>
    <d v="2026-04-15T00:00:00"/>
    <n v="46127"/>
    <n v="5"/>
    <n v="5"/>
    <n v="0"/>
    <n v="46128"/>
    <n v="5"/>
    <n v="0"/>
    <d v="2026-04-16T00:00:00"/>
    <m/>
    <m/>
    <x v="2"/>
    <n v="1"/>
  </r>
  <r>
    <x v="16"/>
    <x v="2"/>
    <s v="Q"/>
    <s v="Produção ind.projeto"/>
    <s v="ZMAT"/>
    <s v="ACRUZ10"/>
    <x v="6"/>
    <d v="2026-03-02T00:00:00"/>
    <s v="Aprovado"/>
    <d v="2026-03-10T00:00:00"/>
    <s v="R4"/>
    <s v="RJB4"/>
    <s v="SPE SANEAMENTO RIO 4 S.A"/>
    <s v="5506520"/>
    <x v="44"/>
    <x v="7"/>
    <s v="DP96"/>
    <s v="Unidade"/>
    <s v="317"/>
    <d v="2024-11-19T00:00:00"/>
    <s v="Sim"/>
    <s v="Contrato"/>
    <s v="Não Urgente"/>
    <s v="Material"/>
    <s v="FERRAMENTAS"/>
    <s v="U/46A.23153.A.RD.M.001"/>
    <s v="Rede de Distribuição"/>
    <m/>
    <n v="1141000001"/>
    <m/>
    <m/>
    <x v="0"/>
    <m/>
    <m/>
    <s v="4600081497"/>
    <s v="860"/>
    <s v="Fernando Gonçalo"/>
    <n v="0"/>
    <n v="45615"/>
    <s v="Liberado"/>
    <m/>
    <s v="100231"/>
    <s v="ANHANGUERA COMERCIO DE FERRAMENTASL"/>
    <s v="USERJOBS"/>
    <s v="Usuário Jobs"/>
    <s v="PGLO"/>
    <x v="17"/>
    <s v="10"/>
    <s v="Não"/>
    <x v="1"/>
    <d v="2026-03-10T00:00:00"/>
    <s v="Liberado"/>
    <d v="2026-04-07T09:41:34"/>
    <m/>
    <m/>
    <m/>
    <n v="1"/>
    <m/>
    <n v="1"/>
    <m/>
    <m/>
    <n v="1"/>
    <m/>
    <m/>
    <m/>
    <x v="3"/>
    <n v="1"/>
  </r>
  <r>
    <x v="16"/>
    <x v="0"/>
    <s v="Q"/>
    <s v="Produção ind.projeto"/>
    <s v="ZMAT"/>
    <s v="ACRUZ10"/>
    <x v="6"/>
    <d v="2026-03-06T00:00:00"/>
    <s v="Aprovado"/>
    <d v="2026-03-10T00:00:00"/>
    <s v="R4"/>
    <s v="RJB4"/>
    <s v="SPE SANEAMENTO RIO 4 S.A"/>
    <s v="5542374"/>
    <x v="45"/>
    <x v="7"/>
    <s v="DP96"/>
    <s v="Suprimentos"/>
    <s v="194"/>
    <d v="2026-03-13T00:00:00"/>
    <s v="Sim"/>
    <s v="Spot"/>
    <s v="Não Urgente"/>
    <s v="Material"/>
    <s v="FERRAMENTAS"/>
    <s v="U/46A.23153.A.RD.M.001"/>
    <s v="Rede de Distribuição"/>
    <m/>
    <n v="1141000001"/>
    <s v="6000146533"/>
    <s v="20"/>
    <x v="3"/>
    <n v="1"/>
    <d v="2026-03-13T00:00:00"/>
    <m/>
    <s v="0"/>
    <m/>
    <m/>
    <m/>
    <m/>
    <m/>
    <s v="149740"/>
    <s v="BERTOLA  CIA LTDA"/>
    <s v="ARIBACIG"/>
    <s v="Conexão ARIBACIG x S4P"/>
    <s v="PMNB"/>
    <x v="18"/>
    <s v="10"/>
    <s v="Não"/>
    <x v="4"/>
    <n v="46098"/>
    <s v="Liberado"/>
    <d v="2026-04-07T09:34:44"/>
    <m/>
    <d v="2026-05-04T00:00:00"/>
    <n v="46174"/>
    <n v="1"/>
    <m/>
    <n v="1"/>
    <m/>
    <m/>
    <n v="1"/>
    <m/>
    <m/>
    <m/>
    <x v="3"/>
    <n v="1"/>
  </r>
  <r>
    <x v="3"/>
    <x v="1"/>
    <s v="Q"/>
    <s v="Produção ind.projeto"/>
    <s v="ZMAT"/>
    <s v="PMORAIS"/>
    <x v="3"/>
    <d v="2026-04-16T00:00:00"/>
    <s v="Aprovado"/>
    <d v="2026-03-23T00:00:00"/>
    <s v="R4"/>
    <s v="RJB4"/>
    <s v="SPE SANEAMENTO RIO 4 S.A"/>
    <s v="4005283"/>
    <x v="46"/>
    <x v="8"/>
    <s v="DP98"/>
    <s v="Suprimentos"/>
    <s v="349"/>
    <d v="2026-05-14T00:00:00"/>
    <s v="Sim"/>
    <s v="Spot"/>
    <s v="Não Urgente"/>
    <s v="Material"/>
    <s v="LUBRIFICANTES"/>
    <s v="U/46A.23153.A.RD.M.001"/>
    <s v="Rede de Distribuição"/>
    <m/>
    <n v="1141000003"/>
    <s v="6000151201"/>
    <s v="10"/>
    <x v="2"/>
    <n v="15"/>
    <n v="46156"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4"/>
    <n v="1"/>
  </r>
  <r>
    <x v="17"/>
    <x v="2"/>
    <s v="Q"/>
    <s v="Produção ind.projeto"/>
    <s v="ZMAT"/>
    <s v="ACRUZ10"/>
    <x v="14"/>
    <d v="2026-06-12T00:00:00"/>
    <s v="Aprovado"/>
    <d v="2026-05-08T00:00:00"/>
    <s v="R4"/>
    <s v="RJB4"/>
    <s v="SPE SANEAMENTO RIO 4 S.A"/>
    <s v="5516370"/>
    <x v="47"/>
    <x v="7"/>
    <s v="DP98"/>
    <s v="Unidade"/>
    <s v="317"/>
    <d v="2024-11-18T00:00:00"/>
    <s v="Sim"/>
    <s v="Contrato"/>
    <s v="Não Urgente"/>
    <s v="Material"/>
    <s v="FERRAMENTAS"/>
    <s v="U/46A.23153.A.RD.M.001"/>
    <s v="Rede de Distribuição"/>
    <m/>
    <n v="1141000001"/>
    <m/>
    <m/>
    <x v="0"/>
    <m/>
    <m/>
    <s v="4600081322"/>
    <s v="750"/>
    <s v="Fernando Gonçalo"/>
    <n v="0"/>
    <d v="2024-11-18T00:00:00"/>
    <s v="Liberado"/>
    <m/>
    <s v="117810"/>
    <s v="NORTEL SUPRIMENTOS INDUSTRIAIS LTDA"/>
    <s v="USERJOBS"/>
    <s v="Usuário Jobs"/>
    <s v="PGLO"/>
    <x v="19"/>
    <s v="10"/>
    <s v="Não"/>
    <x v="1"/>
    <d v="2026-05-08T00:00:00"/>
    <s v="Liberado"/>
    <d v="2026-05-21T10:21:57"/>
    <m/>
    <m/>
    <n v="46223"/>
    <n v="1"/>
    <m/>
    <n v="1"/>
    <m/>
    <m/>
    <n v="1"/>
    <m/>
    <m/>
    <m/>
    <x v="3"/>
    <n v="1"/>
  </r>
  <r>
    <x v="17"/>
    <x v="0"/>
    <s v="Q"/>
    <s v="Produção ind.projeto"/>
    <s v="ZMAT"/>
    <s v="ACRUZ10"/>
    <x v="14"/>
    <d v="2026-04-20T00:00:00"/>
    <s v="Aprovado"/>
    <d v="2026-05-08T00:00:00"/>
    <s v="R4"/>
    <s v="RJB4"/>
    <s v="SPE SANEAMENTO RIO 4 S.A"/>
    <s v="5507938"/>
    <x v="48"/>
    <x v="7"/>
    <s v="DP98"/>
    <s v="Unidade"/>
    <s v="317"/>
    <d v="2024-11-18T00:00:00"/>
    <s v="Sim"/>
    <s v="Contrato"/>
    <s v="Não Urgente"/>
    <s v="Material"/>
    <s v="FERRAMENTAS"/>
    <s v="U/46A.23153.A.RD.M.001"/>
    <s v="Rede de Distribuição"/>
    <m/>
    <n v="1141000001"/>
    <m/>
    <m/>
    <x v="0"/>
    <m/>
    <m/>
    <s v="4600081329"/>
    <s v="430"/>
    <s v="Fernando Gonçalo"/>
    <n v="0"/>
    <n v="45614"/>
    <s v="Liberado"/>
    <m/>
    <s v="119302"/>
    <s v="FERRAMENTASGERAISCOM.IMPDEFERRAM.EM"/>
    <s v="USERJOBS"/>
    <s v="Usuário Jobs"/>
    <s v="PGLO"/>
    <x v="20"/>
    <s v="10"/>
    <s v="Não"/>
    <x v="1"/>
    <d v="2026-05-08T00:00:00"/>
    <s v="Liberado"/>
    <d v="2026-05-21T10:20:13"/>
    <m/>
    <d v="2026-05-15T00:00:00"/>
    <m/>
    <n v="1"/>
    <m/>
    <n v="1"/>
    <m/>
    <m/>
    <n v="1"/>
    <m/>
    <m/>
    <m/>
    <x v="3"/>
    <n v="1"/>
  </r>
  <r>
    <x v="18"/>
    <x v="2"/>
    <s v="Q"/>
    <s v="Produção ind.projeto"/>
    <s v="ZMAT"/>
    <s v="ACRUZ10"/>
    <x v="15"/>
    <d v="2026-01-16T00:00:00"/>
    <s v="Aprovado"/>
    <d v="2026-01-05T00:00:00"/>
    <s v="R4"/>
    <s v="RJB4"/>
    <s v="SPE SANEAMENTO RIO 4 S.A"/>
    <s v="2004301"/>
    <x v="49"/>
    <x v="0"/>
    <s v="DP96"/>
    <s v="Unidade"/>
    <s v="37"/>
    <d v="2026-01-07T00:00:00"/>
    <s v="Não"/>
    <s v="Spot"/>
    <s v="Não Urgente"/>
    <s v="Material"/>
    <s v="CONSTRUÇÃO CIVIL"/>
    <s v="U/46A.23153.A.RD.M.001"/>
    <s v="Rede de Distribuição"/>
    <m/>
    <n v="1141000003"/>
    <s v="6000140916"/>
    <s v="160"/>
    <x v="10"/>
    <n v="10"/>
    <d v="2026-01-07T00:00:00"/>
    <m/>
    <s v="0"/>
    <m/>
    <m/>
    <m/>
    <m/>
    <m/>
    <s v="131829"/>
    <s v="MAXPLAST PRODUTOS INDUSTRIAIS LTDA"/>
    <s v="ARIBACIG"/>
    <s v="Conexão ARIBACIG x S4P"/>
    <s v="PMNB"/>
    <x v="21"/>
    <s v="10"/>
    <s v="Sim"/>
    <x v="9"/>
    <d v="2026-01-16T00:00:00"/>
    <s v="Liberado"/>
    <d v="2026-01-19T07:34:21"/>
    <m/>
    <d v="2026-02-20T00:00:00"/>
    <d v="2026-02-20T00:00:00"/>
    <n v="10"/>
    <n v="10"/>
    <n v="0"/>
    <d v="2026-01-22T00:00:00"/>
    <n v="10"/>
    <n v="0"/>
    <d v="2026-01-22T00:00:00"/>
    <m/>
    <m/>
    <x v="2"/>
    <n v="1"/>
  </r>
  <r>
    <x v="14"/>
    <x v="2"/>
    <s v="Q"/>
    <s v="Produção ind.projeto"/>
    <s v="ZMAT"/>
    <s v="ACRUZ10"/>
    <x v="6"/>
    <d v="2026-03-02T00:00:00"/>
    <s v="Aprovado"/>
    <d v="2026-02-23T00:00:00"/>
    <s v="R4"/>
    <s v="RJB4"/>
    <s v="SPE SANEAMENTO RIO 4 S.A"/>
    <s v="2004301"/>
    <x v="49"/>
    <x v="0"/>
    <s v="DP96"/>
    <s v="Unidade"/>
    <s v="156"/>
    <d v="2026-02-25T00:00:00"/>
    <s v="Não"/>
    <s v="Spot"/>
    <s v="Não Urgente"/>
    <s v="Material"/>
    <s v="CONSTRUÇÃO CIVIL"/>
    <s v="U/46A.23153.A.RD.M.001"/>
    <s v="Rede de Distribuição"/>
    <m/>
    <n v="1141000003"/>
    <s v="6000145134"/>
    <s v="180"/>
    <x v="1"/>
    <n v="10"/>
    <d v="2026-02-25T00:00:00"/>
    <m/>
    <s v="0"/>
    <m/>
    <m/>
    <m/>
    <m/>
    <m/>
    <s v="153151"/>
    <s v="EPI LIMP DISTRIBUIDORA COMERCIAL LT"/>
    <s v="ARIBACIG"/>
    <s v="Conexão ARIBACIG x S4P"/>
    <s v="PMNB"/>
    <x v="22"/>
    <s v="10"/>
    <s v="Sim"/>
    <x v="2"/>
    <d v="2026-03-03T00:00:00"/>
    <s v="Liberado"/>
    <d v="2026-04-07T09:42:11"/>
    <m/>
    <d v="2026-04-20T00:00:00"/>
    <d v="2026-04-20T00:00:00"/>
    <n v="10"/>
    <n v="10"/>
    <n v="0"/>
    <d v="2026-04-14T00:00:00"/>
    <n v="10"/>
    <n v="0"/>
    <d v="2026-04-14T00:00:00"/>
    <m/>
    <m/>
    <x v="2"/>
    <n v="1"/>
  </r>
  <r>
    <x v="13"/>
    <x v="2"/>
    <s v="Q"/>
    <s v="Produção ind.projeto"/>
    <s v="ZMAT"/>
    <s v="ACRUZ10"/>
    <x v="12"/>
    <d v="2026-02-20T00:00:00"/>
    <s v="Aprovado"/>
    <d v="2026-02-12T00:00:00"/>
    <s v="R4"/>
    <s v="RJB4"/>
    <s v="SPE SANEAMENTO RIO 4 S.A"/>
    <s v="3001935"/>
    <x v="50"/>
    <x v="10"/>
    <s v="DP96"/>
    <s v="Unidade"/>
    <s v="156"/>
    <d v="2026-02-19T00:00:00"/>
    <s v="Não"/>
    <s v="Spot"/>
    <s v="Não Urgente"/>
    <s v="Material"/>
    <s v="MATERIAIS DE USO E CONSUMO"/>
    <s v="U/46A.23153.A.RD.M.001"/>
    <s v="Rede de Distribuição"/>
    <m/>
    <n v="1141000001"/>
    <s v="6000144632"/>
    <s v="40"/>
    <x v="1"/>
    <n v="3"/>
    <d v="2026-02-19T00:00:00"/>
    <m/>
    <s v="0"/>
    <m/>
    <m/>
    <m/>
    <m/>
    <m/>
    <s v="153151"/>
    <s v="EPI LIMP DISTRIBUIDORA COMERCIAL LT"/>
    <s v="ARIBACIG"/>
    <s v="Conexão ARIBACIG x S4P"/>
    <s v="PMNB"/>
    <x v="23"/>
    <s v="10"/>
    <s v="Sim"/>
    <x v="2"/>
    <n v="46083"/>
    <s v="Liberado"/>
    <d v="2026-04-07T09:43:01"/>
    <m/>
    <d v="2026-04-08T00:00:00"/>
    <n v="46120"/>
    <n v="3"/>
    <n v="3"/>
    <n v="0"/>
    <n v="46126"/>
    <n v="3"/>
    <n v="0"/>
    <d v="2026-04-14T00:00:00"/>
    <m/>
    <m/>
    <x v="2"/>
    <n v="1"/>
  </r>
  <r>
    <x v="19"/>
    <x v="2"/>
    <s v="Q"/>
    <s v="Produção ind.projeto"/>
    <s v="ZMAT"/>
    <s v="TTORRES"/>
    <x v="16"/>
    <d v="2026-06-15T00:00:00"/>
    <s v="Aprovado"/>
    <d v="2026-05-28T00:00:00"/>
    <s v="R4"/>
    <s v="RJB4"/>
    <s v="SPE SANEAMENTO RIO 4 S.A"/>
    <s v="3009745"/>
    <x v="51"/>
    <x v="13"/>
    <s v="DP98"/>
    <s v="Suprimentos"/>
    <s v="349"/>
    <d v="2026-06-01T00:00:00"/>
    <s v="Sim"/>
    <s v="Spot"/>
    <s v="Não Urgente"/>
    <s v="Material"/>
    <s v="FERRAMENTAS"/>
    <s v="U/46A.23153.A.RD.M.001"/>
    <s v="Rede de Distribuição"/>
    <m/>
    <n v="1141000001"/>
    <s v="6000152549"/>
    <s v="150"/>
    <x v="2"/>
    <n v="16"/>
    <d v="2026-06-01T00:00:00"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4"/>
    <n v="1"/>
  </r>
  <r>
    <x v="4"/>
    <x v="21"/>
    <s v="Q"/>
    <s v="Produção ind.projeto"/>
    <s v="ZMAT"/>
    <s v="ACRUZ10"/>
    <x v="4"/>
    <d v="2026-02-23T00:00:00"/>
    <s v="Aprovado"/>
    <d v="2026-02-12T00:00:00"/>
    <s v="R4"/>
    <s v="RJB4"/>
    <s v="SPE SANEAMENTO RIO 4 S.A"/>
    <s v="7502408"/>
    <x v="52"/>
    <x v="0"/>
    <s v="DP98"/>
    <s v="Suprimentos"/>
    <s v="264"/>
    <d v="2026-02-13T00:00:00"/>
    <s v=""/>
    <s v="Spot"/>
    <s v="Não Urgente"/>
    <s v="Material"/>
    <s v="EPI E EPC"/>
    <s v="U/46A.23153.A.RD.M.001"/>
    <s v="Rede de Distribuição"/>
    <m/>
    <n v="1141000003"/>
    <s v="6000144207"/>
    <s v="130"/>
    <x v="7"/>
    <n v="10"/>
    <d v="2026-02-13T00:00:00"/>
    <m/>
    <s v="0"/>
    <m/>
    <m/>
    <m/>
    <m/>
    <m/>
    <s v="153819"/>
    <s v="ITURRI COIMPAR INDUSTRIA E COMERCIO"/>
    <s v="ARIBACIG"/>
    <s v="Conexão ARIBACIG x S4P"/>
    <s v="PMNB"/>
    <x v="24"/>
    <s v="50"/>
    <s v="Não"/>
    <x v="7"/>
    <d v="2026-03-31T00:00:00"/>
    <s v="Liberado"/>
    <d v="2026-04-01T09:25:57"/>
    <m/>
    <d v="2026-04-22T00:00:00"/>
    <d v="2026-04-22T00:00:00"/>
    <n v="10"/>
    <m/>
    <n v="10"/>
    <m/>
    <m/>
    <n v="10"/>
    <m/>
    <m/>
    <m/>
    <x v="3"/>
    <n v="1"/>
  </r>
  <r>
    <x v="4"/>
    <x v="12"/>
    <s v="Q"/>
    <s v="Produção ind.projeto"/>
    <s v="ZMAT"/>
    <s v="ACRUZ10"/>
    <x v="4"/>
    <d v="2026-02-23T00:00:00"/>
    <s v="Aprovado"/>
    <d v="2026-02-12T00:00:00"/>
    <s v="R4"/>
    <s v="RJB4"/>
    <s v="SPE SANEAMENTO RIO 4 S.A"/>
    <s v="7502420"/>
    <x v="53"/>
    <x v="8"/>
    <s v="DP98"/>
    <s v="Suprimentos"/>
    <s v="264"/>
    <d v="2026-02-13T00:00:00"/>
    <s v=""/>
    <s v="Spot"/>
    <s v="Não Urgente"/>
    <s v="Material"/>
    <s v="EPI E EPC"/>
    <s v="U/46A.23153.A.RD.M.001"/>
    <s v="Rede de Distribuição"/>
    <m/>
    <n v="1141000003"/>
    <s v="6000144207"/>
    <s v="120"/>
    <x v="7"/>
    <n v="15"/>
    <d v="2026-02-13T00:00:00"/>
    <m/>
    <s v="0"/>
    <m/>
    <m/>
    <m/>
    <m/>
    <m/>
    <s v="153819"/>
    <s v="ITURRI COIMPAR INDUSTRIA E COMERCIO"/>
    <s v="ARIBACIG"/>
    <s v="Conexão ARIBACIG x S4P"/>
    <s v="PMNB"/>
    <x v="24"/>
    <s v="40"/>
    <s v="Não"/>
    <x v="7"/>
    <d v="2026-03-31T00:00:00"/>
    <s v="Liberado"/>
    <d v="2026-04-01T09:25:57"/>
    <m/>
    <d v="2026-04-22T00:00:00"/>
    <d v="2026-04-22T00:00:00"/>
    <n v="15"/>
    <m/>
    <n v="15"/>
    <m/>
    <m/>
    <n v="15"/>
    <m/>
    <m/>
    <m/>
    <x v="3"/>
    <n v="1"/>
  </r>
  <r>
    <x v="4"/>
    <x v="8"/>
    <s v="Q"/>
    <s v="Produção ind.projeto"/>
    <s v="ZMAT"/>
    <s v="ACRUZ10"/>
    <x v="4"/>
    <d v="2026-02-23T00:00:00"/>
    <s v="Aprovado"/>
    <d v="2026-02-12T00:00:00"/>
    <s v="R4"/>
    <s v="RJB4"/>
    <s v="SPE SANEAMENTO RIO 4 S.A"/>
    <s v="7500382"/>
    <x v="54"/>
    <x v="0"/>
    <s v="DP98"/>
    <s v="Suprimentos"/>
    <s v="264"/>
    <d v="2026-02-13T00:00:00"/>
    <s v="Sim"/>
    <s v="Spot"/>
    <s v="Não Urgente"/>
    <s v="Material"/>
    <s v="EPI E EPC"/>
    <s v="U/46A.23153.A.RD.M.001"/>
    <s v="Rede de Distribuição"/>
    <m/>
    <n v="1141000003"/>
    <s v="6000144207"/>
    <s v="110"/>
    <x v="7"/>
    <n v="10"/>
    <d v="2026-02-13T00:00:00"/>
    <m/>
    <s v="0"/>
    <m/>
    <m/>
    <m/>
    <m/>
    <m/>
    <s v="153819"/>
    <s v="ITURRI COIMPAR INDUSTRIA E COMERCIO"/>
    <s v="ARIBACIG"/>
    <s v="Conexão ARIBACIG x S4P"/>
    <s v="PMNB"/>
    <x v="24"/>
    <s v="30"/>
    <s v="Não"/>
    <x v="7"/>
    <d v="2026-03-31T00:00:00"/>
    <s v="Liberado"/>
    <d v="2026-04-01T09:25:57"/>
    <m/>
    <d v="2026-04-22T00:00:00"/>
    <d v="2026-04-22T00:00:00"/>
    <n v="10"/>
    <n v="10"/>
    <n v="0"/>
    <n v="46188"/>
    <n v="10"/>
    <n v="0"/>
    <d v="2026-06-15T00:00:00"/>
    <m/>
    <m/>
    <x v="2"/>
    <n v="1"/>
  </r>
  <r>
    <x v="4"/>
    <x v="10"/>
    <s v="Q"/>
    <s v="Produção ind.projeto"/>
    <s v="ZMAT"/>
    <s v="ACRUZ10"/>
    <x v="4"/>
    <d v="2026-02-23T00:00:00"/>
    <s v="Aprovado"/>
    <d v="2026-02-12T00:00:00"/>
    <s v="R4"/>
    <s v="RJB4"/>
    <s v="SPE SANEAMENTO RIO 4 S.A"/>
    <s v="7502407"/>
    <x v="55"/>
    <x v="8"/>
    <s v="DP98"/>
    <s v="Suprimentos"/>
    <s v="264"/>
    <d v="2026-02-13T00:00:00"/>
    <s v=""/>
    <s v="Spot"/>
    <s v="Não Urgente"/>
    <s v="Material"/>
    <s v="EPI E EPC"/>
    <s v="U/46A.23153.A.RD.M.001"/>
    <s v="Rede de Distribuição"/>
    <m/>
    <n v="1141000003"/>
    <s v="6000144207"/>
    <s v="100"/>
    <x v="7"/>
    <n v="15"/>
    <d v="2026-02-13T00:00:00"/>
    <m/>
    <s v="0"/>
    <m/>
    <m/>
    <m/>
    <m/>
    <m/>
    <s v="153819"/>
    <s v="ITURRI COIMPAR INDUSTRIA E COMERCIO"/>
    <s v="ARIBACIG"/>
    <s v="Conexão ARIBACIG x S4P"/>
    <s v="PMNB"/>
    <x v="24"/>
    <s v="20"/>
    <s v="Não"/>
    <x v="7"/>
    <d v="2026-03-31T00:00:00"/>
    <s v="Liberado"/>
    <d v="2026-04-01T09:25:57"/>
    <m/>
    <d v="2026-04-22T00:00:00"/>
    <d v="2026-04-22T00:00:00"/>
    <n v="15"/>
    <n v="15"/>
    <n v="0"/>
    <n v="46188"/>
    <n v="15"/>
    <n v="0"/>
    <d v="2026-06-15T00:00:00"/>
    <m/>
    <m/>
    <x v="2"/>
    <n v="1"/>
  </r>
  <r>
    <x v="4"/>
    <x v="22"/>
    <s v="Q"/>
    <s v="Produção ind.projeto"/>
    <s v="ZMAT"/>
    <s v="ACRUZ10"/>
    <x v="4"/>
    <d v="2026-02-23T00:00:00"/>
    <s v="Aprovado"/>
    <d v="2026-02-12T00:00:00"/>
    <s v="R4"/>
    <s v="RJB4"/>
    <s v="SPE SANEAMENTO RIO 4 S.A"/>
    <s v="7502421"/>
    <x v="56"/>
    <x v="8"/>
    <s v="DP98"/>
    <s v="Suprimentos"/>
    <s v="264"/>
    <d v="2026-02-13T00:00:00"/>
    <s v=""/>
    <s v="Spot"/>
    <s v="Não Urgente"/>
    <s v="Material"/>
    <s v="EPI E EPC"/>
    <s v="U/46A.23153.A.RD.M.001"/>
    <s v="Rede de Distribuição"/>
    <m/>
    <n v="1141000003"/>
    <s v="6000144207"/>
    <s v="90"/>
    <x v="7"/>
    <n v="15"/>
    <n v="46066"/>
    <m/>
    <s v="0"/>
    <m/>
    <m/>
    <m/>
    <m/>
    <m/>
    <s v="153819"/>
    <s v="ITURRI COIMPAR INDUSTRIA E COMERCIO"/>
    <s v="ARIBACIG"/>
    <s v="Conexão ARIBACIG x S4P"/>
    <s v="PMNB"/>
    <x v="24"/>
    <s v="10"/>
    <s v="Não"/>
    <x v="7"/>
    <d v="2026-03-31T00:00:00"/>
    <s v="Liberado"/>
    <d v="2026-04-01T09:25:57"/>
    <m/>
    <d v="2026-04-22T00:00:00"/>
    <d v="2026-04-22T00:00:00"/>
    <n v="15"/>
    <n v="15"/>
    <n v="0"/>
    <d v="2026-06-15T00:00:00"/>
    <n v="15"/>
    <n v="0"/>
    <d v="2026-06-15T00:00:00"/>
    <m/>
    <m/>
    <x v="2"/>
    <n v="1"/>
  </r>
  <r>
    <x v="4"/>
    <x v="23"/>
    <s v="Q"/>
    <s v="Produção ind.projeto"/>
    <s v="ZMAT"/>
    <s v="ACRUZ10"/>
    <x v="4"/>
    <d v="2026-03-05T00:00:00"/>
    <s v="Aprovado"/>
    <d v="2026-02-12T00:00:00"/>
    <s v="R4"/>
    <s v="RJB4"/>
    <s v="SPE SANEAMENTO RIO 4 S.A"/>
    <s v="7500393"/>
    <x v="57"/>
    <x v="5"/>
    <s v="DP98"/>
    <s v="Unidade"/>
    <s v="391"/>
    <d v="2024-07-26T00:00:00"/>
    <s v="Sim"/>
    <s v="Contrato"/>
    <s v="Não Urgente"/>
    <s v="Material"/>
    <s v="EPI E EPC"/>
    <s v="U/46A.23153.A.RD.M.001"/>
    <s v="Rede de Distribuição"/>
    <m/>
    <n v="1141000003"/>
    <m/>
    <m/>
    <x v="0"/>
    <m/>
    <m/>
    <s v="4600068250"/>
    <s v="410"/>
    <s v="Tamires A. Rodrigu"/>
    <n v="0"/>
    <n v="45499"/>
    <s v="Liberado"/>
    <m/>
    <s v="130649"/>
    <s v="3G COMERCIO E EQUIPAMENTOS LTDA"/>
    <s v="USERJOBS"/>
    <s v="Usuário Jobs"/>
    <s v="PGLO"/>
    <x v="25"/>
    <s v="20"/>
    <s v="Sim"/>
    <x v="1"/>
    <d v="2026-02-13T00:00:00"/>
    <s v="Liberado"/>
    <d v="2026-04-07T09:43:53"/>
    <m/>
    <m/>
    <d v="2026-04-30T00:00:00"/>
    <n v="20"/>
    <n v="20"/>
    <n v="0"/>
    <n v="46156"/>
    <n v="20"/>
    <n v="0"/>
    <d v="2026-05-14T00:00:00"/>
    <m/>
    <m/>
    <x v="2"/>
    <n v="1"/>
  </r>
  <r>
    <x v="4"/>
    <x v="24"/>
    <s v="Q"/>
    <s v="Produção ind.projeto"/>
    <s v="ZMAT"/>
    <s v="ACRUZ10"/>
    <x v="4"/>
    <d v="2026-02-23T00:00:00"/>
    <s v="Aprovado"/>
    <d v="2026-02-12T00:00:00"/>
    <s v="R4"/>
    <s v="RJB4"/>
    <s v="SPE SANEAMENTO RIO 4 S.A"/>
    <s v="7500224"/>
    <x v="58"/>
    <x v="5"/>
    <s v="DP98"/>
    <s v="Suprimentos"/>
    <s v="264"/>
    <d v="2026-02-13T00:00:00"/>
    <s v="Sim"/>
    <s v="Spot"/>
    <s v="Não Urgente"/>
    <s v="Material"/>
    <s v="EPI E EPC"/>
    <s v="U/46A.23153.A.RD.M.001"/>
    <s v="Rede de Distribuição"/>
    <m/>
    <n v="1141000003"/>
    <s v="6000144207"/>
    <s v="140"/>
    <x v="7"/>
    <n v="20"/>
    <n v="46066"/>
    <m/>
    <s v="0"/>
    <m/>
    <m/>
    <m/>
    <m/>
    <m/>
    <s v="153819"/>
    <s v="ITURRI COIMPAR INDUSTRIA E COMERCIO"/>
    <s v="ARIBACIG"/>
    <s v="Conexão ARIBACIG x S4P"/>
    <s v="PMNB"/>
    <x v="24"/>
    <s v="60"/>
    <s v="Não"/>
    <x v="7"/>
    <d v="2026-03-31T00:00:00"/>
    <s v="Liberado"/>
    <d v="2026-04-01T09:25:57"/>
    <m/>
    <d v="2026-04-27T00:00:00"/>
    <d v="2026-04-27T00:00:00"/>
    <n v="20"/>
    <m/>
    <n v="20"/>
    <m/>
    <m/>
    <n v="20"/>
    <m/>
    <m/>
    <m/>
    <x v="3"/>
    <n v="1"/>
  </r>
  <r>
    <x v="4"/>
    <x v="25"/>
    <s v="Q"/>
    <s v="Produção ind.projeto"/>
    <s v="ZMAT"/>
    <s v="ACRUZ10"/>
    <x v="4"/>
    <d v="2026-03-05T00:00:00"/>
    <s v="Aprovado"/>
    <d v="2026-02-12T00:00:00"/>
    <s v="R4"/>
    <s v="RJB4"/>
    <s v="SPE SANEAMENTO RIO 4 S.A"/>
    <s v="7500472"/>
    <x v="59"/>
    <x v="5"/>
    <s v="DP98"/>
    <s v="Unidade"/>
    <s v="391"/>
    <d v="2024-07-26T00:00:00"/>
    <s v="Sim"/>
    <s v="Contrato"/>
    <s v="Não Urgente"/>
    <s v="Material"/>
    <s v="EPI E EPC"/>
    <s v="U/46A.23153.A.RD.M.001"/>
    <s v="Rede de Distribuição"/>
    <m/>
    <n v="1141000003"/>
    <m/>
    <m/>
    <x v="0"/>
    <m/>
    <m/>
    <s v="4600068250"/>
    <s v="710"/>
    <s v="Tamires A. Rodrigu"/>
    <n v="0"/>
    <n v="45499"/>
    <s v="Liberado"/>
    <m/>
    <s v="130649"/>
    <s v="3G COMERCIO E EQUIPAMENTOS LTDA"/>
    <s v="USERJOBS"/>
    <s v="Usuário Jobs"/>
    <s v="PGLO"/>
    <x v="25"/>
    <s v="10"/>
    <s v="Sim"/>
    <x v="1"/>
    <d v="2026-02-13T00:00:00"/>
    <s v="Liberado"/>
    <d v="2026-04-07T09:43:53"/>
    <m/>
    <m/>
    <d v="2026-04-30T00:00:00"/>
    <n v="20"/>
    <n v="20"/>
    <n v="0"/>
    <d v="2026-05-14T00:00:00"/>
    <n v="20"/>
    <n v="0"/>
    <d v="2026-05-14T00:00:00"/>
    <m/>
    <m/>
    <x v="2"/>
    <n v="1"/>
  </r>
  <r>
    <x v="11"/>
    <x v="1"/>
    <s v="Q"/>
    <s v="Produção ind.projeto"/>
    <s v="ZMAT"/>
    <s v="ACRUZ10"/>
    <x v="10"/>
    <d v="2025-09-29T00:00:00"/>
    <s v="Aprovado"/>
    <d v="2025-09-22T00:00:00"/>
    <s v="R4"/>
    <s v="RJB4"/>
    <s v="SPE SANEAMENTO RIO 4 S.A"/>
    <s v="4006869"/>
    <x v="60"/>
    <x v="1"/>
    <s v="DP98"/>
    <s v="Suprimentos"/>
    <s v="351"/>
    <d v="2025-09-24T00:00:00"/>
    <s v="Sim"/>
    <s v="Spot"/>
    <s v="Não Urgente"/>
    <s v="Material"/>
    <s v="MATERIAIS MECÂNICOS"/>
    <s v="U/46A.23153.A.RD.M.001"/>
    <s v="Rede de Distribuição"/>
    <m/>
    <n v="1141000003"/>
    <s v="6000132917"/>
    <s v="20"/>
    <x v="4"/>
    <n v="2"/>
    <d v="2025-09-24T00:00:00"/>
    <m/>
    <s v="0"/>
    <m/>
    <m/>
    <m/>
    <m/>
    <m/>
    <s v="100011"/>
    <s v="ACRIFLEX IND COM. ACOPLAMENTOS LTDA"/>
    <s v="ARIBACIG"/>
    <s v="Conexão ARIBACIG x S4P"/>
    <s v="PMNB"/>
    <x v="26"/>
    <s v="10"/>
    <s v="Não"/>
    <x v="5"/>
    <d v="2025-10-01T00:00:00"/>
    <s v="Liberado"/>
    <d v="2025-10-02T08:31:48"/>
    <m/>
    <d v="2025-10-06T00:00:00"/>
    <d v="2025-10-06T00:00:00"/>
    <n v="2"/>
    <n v="2"/>
    <n v="0"/>
    <d v="2025-10-21T00:00:00"/>
    <n v="2"/>
    <n v="0"/>
    <d v="2025-10-21T00:00:00"/>
    <m/>
    <m/>
    <x v="2"/>
    <n v="1"/>
  </r>
  <r>
    <x v="11"/>
    <x v="4"/>
    <s v="Q"/>
    <s v="Produção ind.projeto"/>
    <s v="ZMAT"/>
    <s v="ACRUZ10"/>
    <x v="10"/>
    <d v="2025-09-29T00:00:00"/>
    <s v="Aprovado"/>
    <d v="2025-09-22T00:00:00"/>
    <s v="R4"/>
    <s v="RJB4"/>
    <s v="SPE SANEAMENTO RIO 4 S.A"/>
    <s v="4006867"/>
    <x v="61"/>
    <x v="2"/>
    <s v="DP98"/>
    <s v="Suprimentos"/>
    <s v="351"/>
    <d v="2025-09-24T00:00:00"/>
    <s v="Sim"/>
    <s v="Spot"/>
    <s v="Não Urgente"/>
    <s v="Material"/>
    <s v="MATERIAIS MECÂNICOS"/>
    <s v="U/46A.23153.A.RD.M.001"/>
    <s v="Rede de Distribuição"/>
    <m/>
    <n v="1141000003"/>
    <s v="6000132917"/>
    <s v="30"/>
    <x v="4"/>
    <n v="4"/>
    <d v="2025-09-24T00:00:00"/>
    <m/>
    <s v="0"/>
    <m/>
    <m/>
    <m/>
    <m/>
    <m/>
    <s v="100011"/>
    <s v="ACRIFLEX IND COM. ACOPLAMENTOS LTDA"/>
    <s v="ARIBACIG"/>
    <s v="Conexão ARIBACIG x S4P"/>
    <s v="PMNB"/>
    <x v="26"/>
    <s v="20"/>
    <s v="Não"/>
    <x v="5"/>
    <d v="2025-10-01T00:00:00"/>
    <s v="Liberado"/>
    <d v="2025-10-02T08:31:48"/>
    <m/>
    <d v="2025-10-06T00:00:00"/>
    <d v="2025-10-06T00:00:00"/>
    <n v="4"/>
    <n v="4"/>
    <n v="0"/>
    <d v="2025-10-21T00:00:00"/>
    <n v="4"/>
    <n v="0"/>
    <d v="2025-10-21T00:00:00"/>
    <m/>
    <m/>
    <x v="2"/>
    <n v="1"/>
  </r>
  <r>
    <x v="11"/>
    <x v="3"/>
    <s v="Q"/>
    <s v="Produção ind.projeto"/>
    <s v="ZMAT"/>
    <s v="ACRUZ10"/>
    <x v="10"/>
    <d v="2025-09-29T00:00:00"/>
    <s v="Aprovado"/>
    <d v="2025-09-22T00:00:00"/>
    <s v="R4"/>
    <s v="RJB4"/>
    <s v="SPE SANEAMENTO RIO 4 S.A"/>
    <s v="4006866"/>
    <x v="62"/>
    <x v="2"/>
    <s v="DP98"/>
    <s v="Suprimentos"/>
    <s v="351"/>
    <d v="2025-09-24T00:00:00"/>
    <s v="Sim"/>
    <s v="Spot"/>
    <s v="Não Urgente"/>
    <s v="Material"/>
    <s v="MATERIAIS MECÂNICOS"/>
    <s v="U/46A.23153.A.RD.M.001"/>
    <s v="Rede de Distribuição"/>
    <m/>
    <n v="1141000003"/>
    <s v="6000132917"/>
    <s v="40"/>
    <x v="4"/>
    <n v="4"/>
    <n v="45924"/>
    <m/>
    <s v="0"/>
    <m/>
    <m/>
    <m/>
    <m/>
    <m/>
    <s v="100011"/>
    <s v="ACRIFLEX IND COM. ACOPLAMENTOS LTDA"/>
    <s v="ARIBACIG"/>
    <s v="Conexão ARIBACIG x S4P"/>
    <s v="PMNB"/>
    <x v="26"/>
    <s v="30"/>
    <s v="Não"/>
    <x v="5"/>
    <d v="2025-10-01T00:00:00"/>
    <s v="Liberado"/>
    <d v="2025-10-02T08:31:48"/>
    <m/>
    <d v="2025-10-06T00:00:00"/>
    <d v="2025-10-06T00:00:00"/>
    <n v="4"/>
    <n v="4"/>
    <n v="0"/>
    <d v="2025-10-21T00:00:00"/>
    <n v="4"/>
    <n v="0"/>
    <d v="2025-10-21T00:00:00"/>
    <m/>
    <m/>
    <x v="2"/>
    <n v="1"/>
  </r>
  <r>
    <x v="3"/>
    <x v="0"/>
    <s v="Q"/>
    <s v="Produção ind.projeto"/>
    <s v="ZMAT"/>
    <s v="PMORAIS"/>
    <x v="3"/>
    <d v="2026-04-16T00:00:00"/>
    <s v="Aprovado"/>
    <d v="2026-03-23T00:00:00"/>
    <s v="R4"/>
    <s v="RJB4"/>
    <s v="SPE SANEAMENTO RIO 4 S.A"/>
    <s v="5006400"/>
    <x v="63"/>
    <x v="8"/>
    <s v="DP98"/>
    <s v="Unidade"/>
    <s v="317"/>
    <d v="2024-11-19T00:00:00"/>
    <s v="Sim"/>
    <s v="Contrato"/>
    <s v="Não Urgente"/>
    <s v="Material"/>
    <s v="LUBRIFICANTES"/>
    <s v="U/46A.23153.A.RD.M.001"/>
    <s v="Rede de Distribuição"/>
    <m/>
    <n v="1141000001"/>
    <m/>
    <m/>
    <x v="0"/>
    <m/>
    <m/>
    <s v="4600081493"/>
    <s v="500"/>
    <s v="Fernando Gonçalo"/>
    <n v="0"/>
    <n v="45615"/>
    <s v="Liberado"/>
    <m/>
    <s v="100231"/>
    <s v="ANHANGUERA COMERCIO DE FERRAMENTASL"/>
    <s v="USERJOBS"/>
    <s v="Usuário Jobs"/>
    <s v="PGLO"/>
    <x v="27"/>
    <s v="20"/>
    <s v="Não"/>
    <x v="1"/>
    <d v="2026-04-14T00:00:00"/>
    <s v="Liberado"/>
    <d v="2026-04-14T14:44:35"/>
    <m/>
    <m/>
    <d v="2026-05-15T00:00:00"/>
    <n v="15"/>
    <n v="15"/>
    <n v="0"/>
    <d v="2026-05-26T00:00:00"/>
    <n v="15"/>
    <n v="0"/>
    <d v="2026-05-26T00:00:00"/>
    <m/>
    <m/>
    <x v="2"/>
    <n v="1"/>
  </r>
  <r>
    <x v="9"/>
    <x v="16"/>
    <s v="Q"/>
    <s v="Produção ind.projeto"/>
    <s v="ZMAT"/>
    <s v="PMORAIS"/>
    <x v="3"/>
    <d v="2026-04-16T00:00:00"/>
    <s v="Aprovado"/>
    <d v="2026-03-23T00:00:00"/>
    <s v="R4"/>
    <s v="RJB4"/>
    <s v="SPE SANEAMENTO RIO 4 S.A"/>
    <s v="2001218"/>
    <x v="64"/>
    <x v="4"/>
    <s v="DP98"/>
    <s v="Unidade"/>
    <s v="37"/>
    <d v="2026-03-24T00:00:00"/>
    <s v="Não"/>
    <s v="Spot"/>
    <s v="Não Urgente"/>
    <s v="Material"/>
    <s v="CONSTRUÇÃO CIVIL"/>
    <s v="U/46A.23153.A.RD.M.001"/>
    <s v="Rede de Distribuição"/>
    <m/>
    <n v="1141000003"/>
    <s v="6000147343"/>
    <s v="60"/>
    <x v="10"/>
    <n v="5"/>
    <d v="2026-03-24T00:00:00"/>
    <m/>
    <s v="0"/>
    <m/>
    <m/>
    <m/>
    <m/>
    <m/>
    <s v="148989"/>
    <s v="MADUREIRA EPI COMERCIO LTDA"/>
    <s v="ARIBACIG"/>
    <s v="Conexão ARIBACIG x S4P"/>
    <s v="PMNB"/>
    <x v="28"/>
    <s v="20"/>
    <s v="Sim"/>
    <x v="9"/>
    <d v="2026-04-02T00:00:00"/>
    <s v="Liberado"/>
    <d v="2026-04-07T09:27:23"/>
    <m/>
    <d v="2026-05-05T00:00:00"/>
    <d v="2026-05-05T00:00:00"/>
    <n v="5"/>
    <n v="5"/>
    <n v="0"/>
    <n v="46156"/>
    <n v="5"/>
    <n v="0"/>
    <d v="2026-05-14T00:00:00"/>
    <m/>
    <m/>
    <x v="2"/>
    <n v="1"/>
  </r>
  <r>
    <x v="9"/>
    <x v="18"/>
    <s v="Q"/>
    <s v="Produção ind.projeto"/>
    <s v="ZMAT"/>
    <s v="PMORAIS"/>
    <x v="3"/>
    <d v="2026-04-16T00:00:00"/>
    <s v="Aprovado"/>
    <d v="2026-03-23T00:00:00"/>
    <s v="R4"/>
    <s v="RJB4"/>
    <s v="SPE SANEAMENTO RIO 4 S.A"/>
    <s v="2001217"/>
    <x v="65"/>
    <x v="4"/>
    <s v="DP98"/>
    <s v="Unidade"/>
    <s v="37"/>
    <d v="2026-03-24T00:00:00"/>
    <s v="Não"/>
    <s v="Spot"/>
    <s v="Não Urgente"/>
    <s v="Material"/>
    <s v="CONSTRUÇÃO CIVIL"/>
    <s v="U/46A.23153.A.RD.M.001"/>
    <s v="Rede de Distribuição"/>
    <m/>
    <n v="1141000003"/>
    <s v="6000147343"/>
    <s v="50"/>
    <x v="10"/>
    <n v="5"/>
    <d v="2026-03-24T00:00:00"/>
    <m/>
    <s v="0"/>
    <m/>
    <m/>
    <m/>
    <m/>
    <m/>
    <s v="131829"/>
    <s v="MAXPLAST PRODUTOS INDUSTRIAIS LTDA"/>
    <s v="ARIBACIG"/>
    <s v="Conexão ARIBACIG x S4P"/>
    <s v="PMNB"/>
    <x v="29"/>
    <s v="10"/>
    <s v="Sim"/>
    <x v="9"/>
    <d v="2026-04-02T00:00:00"/>
    <s v="Liberado"/>
    <d v="2026-04-07T09:27:49"/>
    <m/>
    <d v="2026-06-30T00:00:00"/>
    <d v="2026-05-05T00:00:00"/>
    <n v="5"/>
    <m/>
    <n v="5"/>
    <m/>
    <m/>
    <n v="5"/>
    <m/>
    <m/>
    <m/>
    <x v="3"/>
    <n v="1"/>
  </r>
  <r>
    <x v="9"/>
    <x v="5"/>
    <s v="Q"/>
    <s v="Produção ind.projeto"/>
    <s v="ZMAT"/>
    <s v="PMORAIS"/>
    <x v="3"/>
    <d v="2026-04-16T00:00:00"/>
    <s v="Aprovado"/>
    <d v="2026-03-23T00:00:00"/>
    <s v="R4"/>
    <s v="RJB4"/>
    <s v="SPE SANEAMENTO RIO 4 S.A"/>
    <s v="2001216"/>
    <x v="66"/>
    <x v="1"/>
    <s v="DP98"/>
    <s v="Unidade"/>
    <s v="37"/>
    <d v="2026-03-24T00:00:00"/>
    <s v="Não"/>
    <s v="Spot"/>
    <s v="Não Urgente"/>
    <s v="Material"/>
    <s v="CONSTRUÇÃO CIVIL"/>
    <s v="U/46A.23153.A.RD.M.001"/>
    <s v="Rede de Distribuição"/>
    <m/>
    <n v="1141000003"/>
    <s v="6000147343"/>
    <s v="40"/>
    <x v="10"/>
    <n v="2"/>
    <d v="2026-03-24T00:00:00"/>
    <m/>
    <s v="0"/>
    <m/>
    <m/>
    <m/>
    <m/>
    <m/>
    <s v="148989"/>
    <s v="MADUREIRA EPI COMERCIO LTDA"/>
    <s v="ARIBACIG"/>
    <s v="Conexão ARIBACIG x S4P"/>
    <s v="PMNB"/>
    <x v="28"/>
    <s v="10"/>
    <s v="Sim"/>
    <x v="9"/>
    <d v="2026-04-02T00:00:00"/>
    <s v="Liberado"/>
    <d v="2026-04-07T09:27:23"/>
    <m/>
    <d v="2026-05-05T00:00:00"/>
    <d v="2026-05-05T00:00:00"/>
    <n v="2"/>
    <n v="2"/>
    <n v="0"/>
    <n v="46156"/>
    <n v="2"/>
    <n v="0"/>
    <d v="2026-05-14T00:00:00"/>
    <m/>
    <m/>
    <x v="2"/>
    <n v="1"/>
  </r>
  <r>
    <x v="16"/>
    <x v="4"/>
    <s v="Q"/>
    <s v="Produção ind.projeto"/>
    <s v="ZMAT"/>
    <s v="ACRUZ10"/>
    <x v="6"/>
    <d v="2026-03-06T00:00:00"/>
    <s v="Aprovado"/>
    <d v="2026-03-10T00:00:00"/>
    <s v="R4"/>
    <s v="RJB4"/>
    <s v="SPE SANEAMENTO RIO 4 S.A"/>
    <s v="5540903"/>
    <x v="67"/>
    <x v="1"/>
    <s v="DP96"/>
    <s v="Suprimentos"/>
    <s v="194"/>
    <d v="2026-03-13T00:00:00"/>
    <s v="Sim"/>
    <s v="Spot"/>
    <s v="Não Urgente"/>
    <s v="Material"/>
    <s v="FERRAMENTAS"/>
    <s v="U/46A.23153.A.RD.M.001"/>
    <s v="Rede de Distribuição"/>
    <m/>
    <n v="1141000001"/>
    <s v="6000146533"/>
    <s v="30"/>
    <x v="3"/>
    <n v="2"/>
    <n v="46094"/>
    <m/>
    <s v="0"/>
    <m/>
    <m/>
    <m/>
    <m/>
    <m/>
    <s v="149740"/>
    <s v="BERTOLA  CIA LTDA"/>
    <s v="ARIBACIG"/>
    <s v="Conexão ARIBACIG x S4P"/>
    <s v="PMNB"/>
    <x v="18"/>
    <s v="20"/>
    <s v="Não"/>
    <x v="4"/>
    <d v="2026-03-17T00:00:00"/>
    <s v="Liberado"/>
    <d v="2026-04-07T09:34:44"/>
    <m/>
    <d v="2026-05-04T00:00:00"/>
    <d v="2026-06-01T00:00:00"/>
    <n v="2"/>
    <m/>
    <n v="2"/>
    <m/>
    <m/>
    <n v="2"/>
    <m/>
    <m/>
    <m/>
    <x v="3"/>
    <n v="1"/>
  </r>
  <r>
    <x v="2"/>
    <x v="14"/>
    <s v="Q"/>
    <s v="Produção ind.projeto"/>
    <s v="ZMAT"/>
    <s v="ACRUZ10"/>
    <x v="2"/>
    <d v="2026-03-24T00:00:00"/>
    <s v="Aprovado"/>
    <d v="2026-01-23T00:00:00"/>
    <s v="R4"/>
    <s v="RJB4"/>
    <s v="SPE SANEAMENTO RIO 4 S.A"/>
    <s v="5506551"/>
    <x v="68"/>
    <x v="8"/>
    <s v="DP98"/>
    <s v="Unidade"/>
    <s v="317"/>
    <d v="2024-11-18T00:00:00"/>
    <s v="Sim"/>
    <s v="Contrato"/>
    <s v="Não Urgente"/>
    <s v="Material"/>
    <s v="FERRAMENTAS"/>
    <s v="U/46A.23153.A.RD.M.001"/>
    <s v="Rede de Distribuição"/>
    <m/>
    <n v="1141000001"/>
    <m/>
    <m/>
    <x v="0"/>
    <m/>
    <m/>
    <s v="4600081306"/>
    <s v="390"/>
    <s v="Fernando Gonçalo"/>
    <n v="0"/>
    <n v="45614"/>
    <s v="Liberado"/>
    <m/>
    <s v="117810"/>
    <s v="NORTEL SUPRIMENTOS INDUSTRIAIS LTDA"/>
    <s v="FDGONCALO"/>
    <s v="Fernando Domingues Goncalo"/>
    <s v="PGLO"/>
    <x v="30"/>
    <s v="20"/>
    <s v="Não"/>
    <x v="1"/>
    <n v="46065"/>
    <s v="Liberado"/>
    <d v="2026-02-12T18:07:12"/>
    <m/>
    <m/>
    <n v="46157"/>
    <n v="15"/>
    <n v="15"/>
    <n v="0"/>
    <n v="46105"/>
    <n v="15"/>
    <n v="0"/>
    <d v="2026-03-24T00:00:00"/>
    <m/>
    <m/>
    <x v="2"/>
    <n v="1"/>
  </r>
  <r>
    <x v="20"/>
    <x v="2"/>
    <s v="Q"/>
    <s v="Produção ind.projeto"/>
    <s v="ZMAT"/>
    <s v="ACRUZ10"/>
    <x v="17"/>
    <d v="2026-04-10T00:00:00"/>
    <s v="Aprovado"/>
    <d v="2026-04-07T00:00:00"/>
    <s v="R4"/>
    <s v="RJB4"/>
    <s v="SPE SANEAMENTO RIO 4 S.A"/>
    <s v="5541363"/>
    <x v="69"/>
    <x v="7"/>
    <s v="DP98"/>
    <s v="Suprimentos"/>
    <m/>
    <m/>
    <s v="Sim"/>
    <s v="Spot"/>
    <s v="Não Urgente"/>
    <s v="Material"/>
    <s v="MATERIAIS ELÉTRICOS"/>
    <s v="U/46A.23153.A.RD.M.001"/>
    <s v="Rede de Distribuição"/>
    <m/>
    <n v="1141000003"/>
    <m/>
    <m/>
    <x v="0"/>
    <m/>
    <m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1"/>
    <n v="1"/>
  </r>
  <r>
    <x v="13"/>
    <x v="1"/>
    <s v="Q"/>
    <s v="Produção ind.projeto"/>
    <s v="ZMAT"/>
    <s v="ACRUZ10"/>
    <x v="12"/>
    <d v="2026-02-20T00:00:00"/>
    <s v="Aprovado"/>
    <d v="2026-02-12T00:00:00"/>
    <s v="R4"/>
    <s v="RJB4"/>
    <s v="SPE SANEAMENTO RIO 4 S.A"/>
    <s v="5032516"/>
    <x v="70"/>
    <x v="1"/>
    <s v="DP96"/>
    <s v="Suprimentos"/>
    <s v="63"/>
    <d v="2026-02-16T00:00:00"/>
    <s v=""/>
    <s v="Spot"/>
    <s v="Não Urgente"/>
    <s v="Material"/>
    <s v="FERRAMENTAS"/>
    <s v="U/46A.23153.A.RD.M.001"/>
    <s v="Rede de Distribuição"/>
    <m/>
    <n v="1141000001"/>
    <s v="6000144391"/>
    <s v="380"/>
    <x v="11"/>
    <n v="2"/>
    <d v="2026-02-16T00:00:00"/>
    <m/>
    <s v="0"/>
    <m/>
    <m/>
    <m/>
    <m/>
    <m/>
    <s v="119302"/>
    <s v="FERRAMENTASGERAISCOM.IMPDEFERRAM.EM"/>
    <s v="ARIBACIG"/>
    <s v="Conexão ARIBACIG x S4P"/>
    <s v="PMNB"/>
    <x v="31"/>
    <s v="10"/>
    <s v="Não"/>
    <x v="10"/>
    <d v="2026-02-25T00:00:00"/>
    <s v="Liberado"/>
    <d v="2026-02-25T09:52:53"/>
    <m/>
    <d v="2026-03-02T00:00:00"/>
    <d v="2026-04-17T00:00:00"/>
    <n v="2"/>
    <n v="2"/>
    <n v="0"/>
    <n v="46127"/>
    <n v="2"/>
    <n v="0"/>
    <d v="2026-04-15T00:00:00"/>
    <m/>
    <m/>
    <x v="2"/>
    <n v="1"/>
  </r>
  <r>
    <x v="21"/>
    <x v="0"/>
    <s v="Q"/>
    <s v="Produção ind.projeto"/>
    <s v="ZMAT"/>
    <s v="ACRUZ10"/>
    <x v="13"/>
    <d v="2026-04-24T00:00:00"/>
    <s v="Aprovado"/>
    <d v="2026-05-08T00:00:00"/>
    <s v="R4"/>
    <s v="RJB4"/>
    <s v="SPE SANEAMENTO RIO 4 S.A"/>
    <s v="5540400"/>
    <x v="71"/>
    <x v="4"/>
    <s v="DP98"/>
    <s v="Suprimentos"/>
    <s v="350"/>
    <n v="46157"/>
    <s v="Sim"/>
    <s v="Spot"/>
    <s v="Não Urgente"/>
    <s v="Material"/>
    <s v="MATERIAIS MECÂNICOS"/>
    <s v="U/46A.23153.A.RD.M.001"/>
    <s v="Rede de Distribuição"/>
    <m/>
    <n v="1141000003"/>
    <s v="6000151304"/>
    <s v="30"/>
    <x v="6"/>
    <n v="5"/>
    <n v="46157"/>
    <m/>
    <s v="0"/>
    <m/>
    <m/>
    <m/>
    <m/>
    <m/>
    <s v="133697"/>
    <s v="SOLVED SOLUCOES EM VEDACOES LTDA"/>
    <s v="ARIBACIG"/>
    <s v="Conexão ARIBACIG x S4P"/>
    <s v="PMNB"/>
    <x v="32"/>
    <s v="10"/>
    <s v="Não"/>
    <x v="11"/>
    <n v="46167"/>
    <s v="Liberado"/>
    <d v="2026-05-25T16:55:22"/>
    <m/>
    <d v="2026-06-05T00:00:00"/>
    <n v="46178"/>
    <n v="5"/>
    <m/>
    <n v="5"/>
    <m/>
    <m/>
    <n v="5"/>
    <m/>
    <m/>
    <m/>
    <x v="3"/>
    <n v="1"/>
  </r>
  <r>
    <x v="12"/>
    <x v="4"/>
    <s v="Q"/>
    <s v="Produção ind.projeto"/>
    <s v="ZMAT"/>
    <s v="TTORRES"/>
    <x v="11"/>
    <d v="2026-07-15T00:00:00"/>
    <s v="Aprovado"/>
    <d v="2026-06-17T00:00:00"/>
    <s v="R4"/>
    <s v="RJB4"/>
    <s v="SPE SANEAMENTO RIO 4 S.A"/>
    <s v="5540397"/>
    <x v="72"/>
    <x v="10"/>
    <s v="DP98"/>
    <s v="Suprimentos"/>
    <s v="350"/>
    <d v="2026-06-25T00:00:00"/>
    <s v="Sim"/>
    <s v="Spot"/>
    <s v="Não Urgente"/>
    <s v="Material"/>
    <s v="MATERIAIS MECÂNICOS"/>
    <s v="U/46A.23153.A.RD.M.001"/>
    <s v="Rede de Distribuição"/>
    <m/>
    <n v="1141000003"/>
    <s v="6000154203"/>
    <s v="280"/>
    <x v="6"/>
    <n v="3"/>
    <d v="2026-06-25T00:00:00"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4"/>
    <n v="1"/>
  </r>
  <r>
    <x v="12"/>
    <x v="3"/>
    <s v="Q"/>
    <s v="Produção ind.projeto"/>
    <s v="ZMAT"/>
    <s v="TTORRES"/>
    <x v="11"/>
    <d v="2026-07-15T00:00:00"/>
    <s v="Aprovado"/>
    <d v="2026-06-17T00:00:00"/>
    <s v="R4"/>
    <s v="RJB4"/>
    <s v="SPE SANEAMENTO RIO 4 S.A"/>
    <s v="5540401"/>
    <x v="73"/>
    <x v="10"/>
    <s v="DP98"/>
    <s v="Suprimentos"/>
    <m/>
    <m/>
    <s v="Sim"/>
    <s v="Spot"/>
    <s v="Não Urgente"/>
    <s v="Material"/>
    <s v="MATERIAIS ELÉTRICOS"/>
    <s v="U/46A.23153.A.RD.M.001"/>
    <s v="Rede de Distribuição"/>
    <m/>
    <n v="1141000003"/>
    <m/>
    <m/>
    <x v="0"/>
    <m/>
    <m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6"/>
    <n v="1"/>
  </r>
  <r>
    <x v="12"/>
    <x v="1"/>
    <s v="Q"/>
    <s v="Produção ind.projeto"/>
    <s v="ZMAT"/>
    <s v="TTORRES"/>
    <x v="11"/>
    <d v="2026-07-15T00:00:00"/>
    <s v="Aprovado"/>
    <d v="2026-06-17T00:00:00"/>
    <s v="R4"/>
    <s v="RJB4"/>
    <s v="SPE SANEAMENTO RIO 4 S.A"/>
    <s v="5540399"/>
    <x v="74"/>
    <x v="10"/>
    <s v="DP98"/>
    <s v="Suprimentos"/>
    <s v="350"/>
    <d v="2026-06-25T00:00:00"/>
    <s v="Sim"/>
    <s v="Spot"/>
    <s v="Não Urgente"/>
    <s v="Material"/>
    <s v="MATERIAIS MECÂNICOS"/>
    <s v="U/46A.23153.A.RD.M.001"/>
    <s v="Rede de Distribuição"/>
    <m/>
    <n v="1141000003"/>
    <s v="6000154203"/>
    <s v="270"/>
    <x v="6"/>
    <n v="3"/>
    <d v="2026-06-25T00:00:00"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4"/>
    <n v="1"/>
  </r>
  <r>
    <x v="12"/>
    <x v="0"/>
    <s v="Q"/>
    <s v="Produção ind.projeto"/>
    <s v="ZMAT"/>
    <s v="TTORRES"/>
    <x v="11"/>
    <d v="2026-07-15T00:00:00"/>
    <s v="Aprovado"/>
    <n v="46190"/>
    <s v="R4"/>
    <s v="RJB4"/>
    <s v="SPE SANEAMENTO RIO 4 S.A"/>
    <s v="5540407"/>
    <x v="75"/>
    <x v="10"/>
    <s v="DP98"/>
    <s v="Suprimentos"/>
    <m/>
    <m/>
    <s v="Sim"/>
    <s v="Spot"/>
    <s v="Não Urgente"/>
    <s v="Material"/>
    <s v="MATERIAIS ELÉTRICOS"/>
    <s v="U/46A.23153.A.RD.M.001"/>
    <s v="Rede de Distribuição"/>
    <m/>
    <n v="1141000003"/>
    <m/>
    <m/>
    <x v="0"/>
    <m/>
    <m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6"/>
    <n v="1"/>
  </r>
  <r>
    <x v="12"/>
    <x v="5"/>
    <s v="Q"/>
    <s v="Produção ind.projeto"/>
    <s v="ZMAT"/>
    <s v="TTORRES"/>
    <x v="11"/>
    <d v="2026-07-15T00:00:00"/>
    <s v="Aprovado"/>
    <d v="2026-06-17T00:00:00"/>
    <s v="R4"/>
    <s v="RJB4"/>
    <s v="SPE SANEAMENTO RIO 4 S.A"/>
    <s v="5540408"/>
    <x v="76"/>
    <x v="10"/>
    <s v="DP98"/>
    <s v="Suprimentos"/>
    <m/>
    <m/>
    <s v="Sim"/>
    <s v="Spot"/>
    <s v="Não Urgente"/>
    <s v="Material"/>
    <s v="MATERIAIS ELÉTRICOS"/>
    <s v="U/46A.23153.A.RD.M.001"/>
    <s v="Rede de Distribuição"/>
    <m/>
    <n v="1141000003"/>
    <m/>
    <m/>
    <x v="0"/>
    <m/>
    <m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6"/>
    <n v="1"/>
  </r>
  <r>
    <x v="10"/>
    <x v="5"/>
    <s v="Q"/>
    <s v="Produção ind.projeto"/>
    <s v="ZMAT"/>
    <s v="ACRUZ10"/>
    <x v="9"/>
    <d v="2025-09-12T00:00:00"/>
    <s v="Aprovado"/>
    <d v="2025-09-03T00:00:00"/>
    <s v="R4"/>
    <s v="RJB4"/>
    <s v="SPE SANEAMENTO RIO 4 S.A"/>
    <s v="4001908"/>
    <x v="77"/>
    <x v="7"/>
    <s v="DP98"/>
    <s v="Suprimentos"/>
    <m/>
    <m/>
    <s v="Sim"/>
    <s v="Spot"/>
    <s v="Não Urgente"/>
    <s v="Material"/>
    <s v="MATERIAIS MECÂNICOS"/>
    <s v="U/46A.23153.A.RD.M.001"/>
    <s v="Rede de Distribuição"/>
    <m/>
    <n v="1141000003"/>
    <m/>
    <m/>
    <x v="0"/>
    <m/>
    <m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1"/>
    <n v="1"/>
  </r>
  <r>
    <x v="21"/>
    <x v="4"/>
    <s v="Q"/>
    <s v="Produção ind.projeto"/>
    <s v="ZMAT"/>
    <s v="ACRUZ10"/>
    <x v="13"/>
    <d v="2026-04-20T00:00:00"/>
    <s v="Aprovado"/>
    <d v="2026-05-08T00:00:00"/>
    <s v="R4"/>
    <s v="RJB4"/>
    <s v="SPE SANEAMENTO RIO 4 S.A"/>
    <s v="4001908"/>
    <x v="77"/>
    <x v="4"/>
    <s v="DP98"/>
    <s v="Suprimentos"/>
    <s v="350"/>
    <d v="2026-05-14T00:00:00"/>
    <s v="Sim"/>
    <s v="Spot"/>
    <s v="Não Urgente"/>
    <s v="Material"/>
    <s v="MATERIAIS MECÂNICOS"/>
    <s v="U/46A.23153.A.RD.M.001"/>
    <s v="Rede de Distribuição"/>
    <m/>
    <n v="1141000003"/>
    <s v="6000151180"/>
    <s v="70"/>
    <x v="6"/>
    <n v="5"/>
    <n v="46156"/>
    <m/>
    <s v="0"/>
    <m/>
    <m/>
    <m/>
    <m/>
    <m/>
    <s v="133697"/>
    <s v="SOLVED SOLUCOES EM VEDACOES LTDA"/>
    <s v="ARIBACIG"/>
    <s v="Conexão ARIBACIG x S4P"/>
    <s v="PMNB"/>
    <x v="33"/>
    <s v="20"/>
    <s v="Não"/>
    <x v="11"/>
    <d v="2026-05-25T00:00:00"/>
    <s v="Liberado"/>
    <d v="2026-05-25T16:55:12"/>
    <m/>
    <d v="2026-06-05T00:00:00"/>
    <d v="2026-06-05T00:00:00"/>
    <n v="5"/>
    <m/>
    <n v="5"/>
    <m/>
    <m/>
    <n v="5"/>
    <m/>
    <m/>
    <m/>
    <x v="3"/>
    <n v="1"/>
  </r>
  <r>
    <x v="12"/>
    <x v="18"/>
    <s v="Q"/>
    <s v="Produção ind.projeto"/>
    <s v="ZMAT"/>
    <s v="TTORRES"/>
    <x v="11"/>
    <d v="2026-07-15T00:00:00"/>
    <s v="Aprovado"/>
    <d v="2026-06-17T00:00:00"/>
    <s v="R4"/>
    <s v="RJB4"/>
    <s v="SPE SANEAMENTO RIO 4 S.A"/>
    <s v="3001802"/>
    <x v="78"/>
    <x v="10"/>
    <s v="DP98"/>
    <s v="Suprimentos"/>
    <s v="350"/>
    <d v="2026-06-25T00:00:00"/>
    <s v="Sim"/>
    <s v="Spot"/>
    <s v="Não Urgente"/>
    <s v="Material"/>
    <s v="MATERIAIS MECÂNICOS"/>
    <s v="U/46A.23153.A.RD.M.001"/>
    <s v="Rede de Distribuição"/>
    <m/>
    <n v="1141000003"/>
    <s v="6000154203"/>
    <s v="290"/>
    <x v="6"/>
    <n v="3"/>
    <n v="46198"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4"/>
    <n v="1"/>
  </r>
  <r>
    <x v="10"/>
    <x v="3"/>
    <s v="Q"/>
    <s v="Produção ind.projeto"/>
    <s v="ZMAT"/>
    <s v="ACRUZ10"/>
    <x v="9"/>
    <d v="2025-09-02T00:00:00"/>
    <s v="Aprovado"/>
    <d v="2025-09-03T00:00:00"/>
    <s v="R4"/>
    <s v="RJB4"/>
    <s v="SPE SANEAMENTO RIO 4 S.A"/>
    <s v="3001800"/>
    <x v="79"/>
    <x v="7"/>
    <s v="DP98"/>
    <s v="Suprimentos"/>
    <m/>
    <m/>
    <s v="Sim"/>
    <s v="Spot"/>
    <s v="Não Urgente"/>
    <s v="Material"/>
    <s v="MATERIAIS MECÂNICOS"/>
    <s v="U/46A.23153.A.RD.M.001"/>
    <s v="Rede de Distribuição"/>
    <m/>
    <n v="1141000003"/>
    <m/>
    <m/>
    <x v="0"/>
    <m/>
    <m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1"/>
    <n v="1"/>
  </r>
  <r>
    <x v="21"/>
    <x v="1"/>
    <s v="Q"/>
    <s v="Produção ind.projeto"/>
    <s v="ZMAT"/>
    <s v="ACRUZ10"/>
    <x v="13"/>
    <d v="2026-04-24T00:00:00"/>
    <s v="Aprovado"/>
    <d v="2026-05-08T00:00:00"/>
    <s v="R4"/>
    <s v="RJB4"/>
    <s v="SPE SANEAMENTO RIO 4 S.A"/>
    <s v="3001800"/>
    <x v="79"/>
    <x v="4"/>
    <s v="DP98"/>
    <s v="Suprimentos"/>
    <s v="350"/>
    <n v="46156"/>
    <s v="Sim"/>
    <s v="Spot"/>
    <s v="Não Urgente"/>
    <s v="Material"/>
    <s v="MATERIAIS MECÂNICOS"/>
    <s v="U/46A.23153.A.RD.M.001"/>
    <s v="Rede de Distribuição"/>
    <m/>
    <n v="1141000003"/>
    <s v="6000151180"/>
    <s v="60"/>
    <x v="6"/>
    <n v="5"/>
    <n v="46156"/>
    <m/>
    <s v="0"/>
    <m/>
    <m/>
    <m/>
    <m/>
    <m/>
    <s v="133697"/>
    <s v="SOLVED SOLUCOES EM VEDACOES LTDA"/>
    <s v="ARIBACIG"/>
    <s v="Conexão ARIBACIG x S4P"/>
    <s v="PMNB"/>
    <x v="33"/>
    <s v="10"/>
    <s v="Não"/>
    <x v="11"/>
    <n v="46167"/>
    <s v="Liberado"/>
    <d v="2026-05-25T16:55:12"/>
    <m/>
    <d v="2026-06-05T00:00:00"/>
    <n v="46178"/>
    <n v="5"/>
    <m/>
    <n v="5"/>
    <m/>
    <m/>
    <n v="5"/>
    <m/>
    <m/>
    <m/>
    <x v="3"/>
    <n v="1"/>
  </r>
  <r>
    <x v="22"/>
    <x v="2"/>
    <s v="Q"/>
    <s v="Produção ind.projeto"/>
    <s v="ZMAT"/>
    <s v="ACRUZ10"/>
    <x v="17"/>
    <d v="2026-04-06T00:00:00"/>
    <s v="Não Aprovado"/>
    <m/>
    <s v="R4"/>
    <s v="RJB4"/>
    <s v="SPE SANEAMENTO RIO 4 S.A"/>
    <s v="3001795"/>
    <x v="80"/>
    <x v="7"/>
    <s v="DP96"/>
    <s v="Unidade"/>
    <m/>
    <m/>
    <s v="Não"/>
    <s v="Spot"/>
    <s v="Não Urgente"/>
    <s v="Material"/>
    <s v="MATERIAIS DE USO E CONSUMO"/>
    <s v="U/46A.23153.A.RD.M.001"/>
    <s v="Rede de Distribuição"/>
    <m/>
    <n v="1141000001"/>
    <m/>
    <m/>
    <x v="0"/>
    <m/>
    <m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0"/>
    <n v="1"/>
  </r>
  <r>
    <x v="15"/>
    <x v="4"/>
    <s v="Q"/>
    <s v="Produção ind.projeto"/>
    <s v="ZMAT"/>
    <s v="ACRUZ10"/>
    <x v="13"/>
    <d v="2026-04-17T00:00:00"/>
    <s v="Aprovado"/>
    <d v="2026-05-08T00:00:00"/>
    <s v="R4"/>
    <s v="RJB4"/>
    <s v="SPE SANEAMENTO RIO 4 S.A"/>
    <s v="3001795"/>
    <x v="80"/>
    <x v="0"/>
    <s v="DP98"/>
    <s v="Unidade"/>
    <s v="156"/>
    <d v="2025-10-02T00:00:00"/>
    <s v="Não"/>
    <s v="Contrato"/>
    <s v="Não Urgente"/>
    <s v="Material"/>
    <s v="MATERIAIS DE USO E CONSUMO"/>
    <s v="U/46A.23153.A.RD.M.001"/>
    <s v="Rede de Distribuição"/>
    <m/>
    <n v="1141000001"/>
    <m/>
    <m/>
    <x v="0"/>
    <m/>
    <m/>
    <s v="4600098499"/>
    <s v="50"/>
    <s v="André Queiroz"/>
    <n v="0"/>
    <d v="2025-10-02T00:00:00"/>
    <s v="Liberado"/>
    <m/>
    <s v="148989"/>
    <s v="MADUREIRA EPI COMERCIO LTDA"/>
    <s v="USERJOBS"/>
    <s v="Usuário Jobs"/>
    <s v="PGLO"/>
    <x v="34"/>
    <s v="20"/>
    <s v="Sim"/>
    <x v="12"/>
    <d v="2026-05-08T00:00:00"/>
    <s v="Liberado"/>
    <d v="2026-05-21T10:19:28"/>
    <m/>
    <m/>
    <d v="2026-05-23T00:00:00"/>
    <n v="10"/>
    <n v="10"/>
    <n v="0"/>
    <n v="46188"/>
    <n v="10"/>
    <n v="0"/>
    <d v="2026-06-15T00:00:00"/>
    <m/>
    <m/>
    <x v="2"/>
    <n v="1"/>
  </r>
  <r>
    <x v="23"/>
    <x v="19"/>
    <s v="Q"/>
    <s v="Produção ind.projeto"/>
    <s v="ZMAT"/>
    <s v="ACRUZ10"/>
    <x v="13"/>
    <d v="2026-05-11T00:00:00"/>
    <s v="Aprovado"/>
    <d v="2026-05-08T00:00:00"/>
    <s v="R4"/>
    <s v="RJB4"/>
    <s v="SPE SANEAMENTO RIO 4 S.A"/>
    <s v="5017206"/>
    <x v="81"/>
    <x v="14"/>
    <s v="DP98"/>
    <s v="Suprimentos"/>
    <s v="263"/>
    <n v="45820"/>
    <s v="Sim"/>
    <s v="Contrato"/>
    <s v="Não Urgente"/>
    <s v="Material"/>
    <s v="MATERIAIS ELÉTRICOS"/>
    <s v="U/46A.23153.A.RD.M.001"/>
    <s v="Rede de Distribuição"/>
    <m/>
    <n v="1141000003"/>
    <m/>
    <m/>
    <x v="0"/>
    <m/>
    <m/>
    <s v="4600092950"/>
    <s v="580"/>
    <s v="Natasha Amancio"/>
    <n v="0"/>
    <n v="45820"/>
    <s v="Liberado"/>
    <m/>
    <s v="118269"/>
    <s v="COMERCIAL ELETRICA P J LTDA"/>
    <s v="USERJOBS"/>
    <s v="Usuário Jobs"/>
    <s v="PGLO"/>
    <x v="35"/>
    <s v="20"/>
    <s v="Sim"/>
    <x v="1"/>
    <n v="46150"/>
    <s v="Liberado"/>
    <d v="2026-05-21T10:20:41"/>
    <m/>
    <m/>
    <n v="46185"/>
    <n v="21"/>
    <m/>
    <n v="21"/>
    <m/>
    <m/>
    <n v="21"/>
    <m/>
    <m/>
    <m/>
    <x v="3"/>
    <n v="1"/>
  </r>
  <r>
    <x v="23"/>
    <x v="20"/>
    <s v="Q"/>
    <s v="Produção ind.projeto"/>
    <s v="ZMAT"/>
    <s v="ACRUZ10"/>
    <x v="13"/>
    <d v="2026-05-11T00:00:00"/>
    <s v="Aprovado"/>
    <d v="2026-05-08T00:00:00"/>
    <s v="R4"/>
    <s v="RJB4"/>
    <s v="SPE SANEAMENTO RIO 4 S.A"/>
    <s v="5021161"/>
    <x v="82"/>
    <x v="14"/>
    <s v="DP98"/>
    <s v="Suprimentos"/>
    <s v="263"/>
    <d v="2025-06-12T00:00:00"/>
    <s v="Sim"/>
    <s v="Contrato"/>
    <s v="Não Urgente"/>
    <s v="Material"/>
    <s v="MATERIAIS ELÉTRICOS"/>
    <s v="U/46A.23153.A.RD.M.001"/>
    <s v="Rede de Distribuição"/>
    <m/>
    <n v="1141000003"/>
    <m/>
    <m/>
    <x v="0"/>
    <m/>
    <m/>
    <s v="4600092950"/>
    <s v="770"/>
    <s v="Natasha Amancio"/>
    <n v="0"/>
    <d v="2025-06-12T00:00:00"/>
    <s v="Liberado"/>
    <m/>
    <s v="118269"/>
    <s v="COMERCIAL ELETRICA P J LTDA"/>
    <s v="USERJOBS"/>
    <s v="Usuário Jobs"/>
    <s v="PGLO"/>
    <x v="35"/>
    <s v="10"/>
    <s v="Sim"/>
    <x v="1"/>
    <d v="2026-05-08T00:00:00"/>
    <s v="Liberado"/>
    <d v="2026-05-21T10:20:41"/>
    <m/>
    <m/>
    <d v="2026-07-17T00:00:00"/>
    <n v="21"/>
    <m/>
    <n v="21"/>
    <m/>
    <m/>
    <n v="21"/>
    <m/>
    <m/>
    <m/>
    <x v="3"/>
    <n v="1"/>
  </r>
  <r>
    <x v="23"/>
    <x v="13"/>
    <s v="Q"/>
    <s v="Produção ind.projeto"/>
    <s v="ZMAT"/>
    <s v="ACRUZ10"/>
    <x v="13"/>
    <d v="2026-06-09T00:00:00"/>
    <s v="Aprovado"/>
    <d v="2026-05-08T00:00:00"/>
    <s v="R4"/>
    <s v="RJB4"/>
    <s v="SPE SANEAMENTO RIO 4 S.A"/>
    <s v="5513976"/>
    <x v="83"/>
    <x v="14"/>
    <s v="DP98"/>
    <s v="Suprimentos"/>
    <s v="263"/>
    <n v="45820"/>
    <s v="Sim"/>
    <s v="Contrato"/>
    <s v="Não Urgente"/>
    <s v="Material"/>
    <s v="MATERIAIS ELÉTRICOS"/>
    <s v="U/46A.23153.A.RD.M.001"/>
    <s v="Rede de Distribuição"/>
    <m/>
    <n v="1141000003"/>
    <m/>
    <m/>
    <x v="0"/>
    <m/>
    <m/>
    <s v="4600092924"/>
    <s v="810"/>
    <s v="Natasha Amancio"/>
    <n v="0"/>
    <n v="45820"/>
    <s v="Liberado"/>
    <m/>
    <s v="117810"/>
    <s v="NORTEL SUPRIMENTOS INDUSTRIAIS LTDA"/>
    <s v="USERJOBS"/>
    <s v="Usuário Jobs"/>
    <s v="PGLO"/>
    <x v="36"/>
    <s v="10"/>
    <s v="Não"/>
    <x v="1"/>
    <n v="46150"/>
    <s v="Liberado"/>
    <d v="2026-05-21T10:21:46"/>
    <m/>
    <m/>
    <m/>
    <n v="21"/>
    <m/>
    <n v="21"/>
    <m/>
    <m/>
    <n v="21"/>
    <m/>
    <m/>
    <m/>
    <x v="3"/>
    <n v="1"/>
  </r>
  <r>
    <x v="23"/>
    <x v="14"/>
    <s v="Q"/>
    <s v="Produção ind.projeto"/>
    <s v="ZMAT"/>
    <s v="ACRUZ10"/>
    <x v="13"/>
    <d v="2026-04-24T00:00:00"/>
    <s v="Aprovado"/>
    <d v="2026-05-08T00:00:00"/>
    <s v="R4"/>
    <s v="RJB4"/>
    <s v="SPE SANEAMENTO RIO 4 S.A"/>
    <s v="5030394"/>
    <x v="84"/>
    <x v="14"/>
    <s v="DP98"/>
    <s v="Suprimentos"/>
    <s v="263"/>
    <n v="45820"/>
    <s v="Sim"/>
    <s v="Contrato"/>
    <s v="Não Urgente"/>
    <s v="Material"/>
    <s v="MATERIAIS ELÉTRICOS"/>
    <s v="U/46A.23153.A.RD.M.001"/>
    <s v="Rede de Distribuição"/>
    <m/>
    <n v="1141000003"/>
    <m/>
    <m/>
    <x v="0"/>
    <m/>
    <m/>
    <s v="4600092926"/>
    <s v="1610"/>
    <s v="Natasha Amancio"/>
    <n v="0"/>
    <n v="45820"/>
    <s v="Liberado"/>
    <m/>
    <s v="117810"/>
    <s v="NORTEL SUPRIMENTOS INDUSTRIAIS LTDA"/>
    <s v="USERJOBS"/>
    <s v="Usuário Jobs"/>
    <s v="PGLO"/>
    <x v="37"/>
    <s v="10"/>
    <s v="Não"/>
    <x v="1"/>
    <n v="46150"/>
    <s v="Liberado"/>
    <d v="2026-05-21T10:21:05"/>
    <m/>
    <m/>
    <n v="46185"/>
    <n v="21"/>
    <m/>
    <n v="21"/>
    <m/>
    <m/>
    <n v="21"/>
    <m/>
    <m/>
    <m/>
    <x v="3"/>
    <n v="1"/>
  </r>
  <r>
    <x v="23"/>
    <x v="15"/>
    <s v="Q"/>
    <s v="Produção ind.projeto"/>
    <s v="ZMAT"/>
    <s v="ACRUZ10"/>
    <x v="13"/>
    <d v="2026-04-24T00:00:00"/>
    <s v="Aprovado"/>
    <d v="2026-05-08T00:00:00"/>
    <s v="R4"/>
    <s v="RJB4"/>
    <s v="SPE SANEAMENTO RIO 4 S.A"/>
    <s v="5503224"/>
    <x v="85"/>
    <x v="14"/>
    <s v="DP98"/>
    <s v="Suprimentos"/>
    <s v="73"/>
    <d v="2026-05-29T00:00:00"/>
    <s v="Sim"/>
    <s v="Spot"/>
    <s v="Não Urgente"/>
    <s v="Material"/>
    <s v="MATERIAIS ELÉTRICOS"/>
    <s v="U/46A.23153.A.RD.M.001"/>
    <s v="Rede de Distribuição"/>
    <m/>
    <n v="1141000003"/>
    <s v="6000152408"/>
    <s v="80"/>
    <x v="8"/>
    <n v="21"/>
    <n v="46171"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4"/>
    <n v="1"/>
  </r>
  <r>
    <x v="23"/>
    <x v="16"/>
    <s v="Q"/>
    <s v="Produção ind.projeto"/>
    <s v="ZMAT"/>
    <s v="ACRUZ10"/>
    <x v="13"/>
    <d v="2026-05-11T00:00:00"/>
    <s v="Aprovado"/>
    <d v="2026-05-08T00:00:00"/>
    <s v="R4"/>
    <s v="RJB4"/>
    <s v="SPE SANEAMENTO RIO 4 S.A"/>
    <s v="5503221"/>
    <x v="86"/>
    <x v="15"/>
    <s v="DP98"/>
    <s v="Suprimentos"/>
    <s v="263"/>
    <n v="45820"/>
    <s v="Sim"/>
    <s v="Contrato"/>
    <s v="Não Urgente"/>
    <s v="Material"/>
    <s v="MATERIAIS ELÉTRICOS"/>
    <s v="U/46A.23153.A.RD.M.001"/>
    <s v="Rede de Distribuição"/>
    <m/>
    <n v="1141000003"/>
    <m/>
    <m/>
    <x v="0"/>
    <m/>
    <m/>
    <s v="4600092928"/>
    <s v="420"/>
    <s v="Natasha Amancio"/>
    <n v="0"/>
    <n v="45820"/>
    <s v="Liberado"/>
    <m/>
    <s v="133854"/>
    <s v="FECVA S.A. SOLUCOES INDUSTRIAIS"/>
    <s v="USERJOBS"/>
    <s v="Usuário Jobs"/>
    <s v="PGLO"/>
    <x v="38"/>
    <s v="20"/>
    <s v="Não"/>
    <x v="1"/>
    <n v="46150"/>
    <s v="Liberado"/>
    <d v="2026-05-21T10:20:17"/>
    <m/>
    <m/>
    <n v="46185"/>
    <n v="27"/>
    <m/>
    <n v="27"/>
    <m/>
    <m/>
    <n v="27"/>
    <m/>
    <m/>
    <m/>
    <x v="3"/>
    <n v="1"/>
  </r>
  <r>
    <x v="23"/>
    <x v="18"/>
    <s v="Q"/>
    <s v="Produção ind.projeto"/>
    <s v="ZMAT"/>
    <s v="ACRUZ10"/>
    <x v="13"/>
    <d v="2026-05-11T00:00:00"/>
    <s v="Aprovado"/>
    <d v="2026-05-08T00:00:00"/>
    <s v="R4"/>
    <s v="RJB4"/>
    <s v="SPE SANEAMENTO RIO 4 S.A"/>
    <s v="5503220"/>
    <x v="87"/>
    <x v="15"/>
    <s v="DP98"/>
    <s v="Suprimentos"/>
    <s v="263"/>
    <n v="45820"/>
    <s v="Sim"/>
    <s v="Contrato"/>
    <s v="Não Urgente"/>
    <s v="Material"/>
    <s v="MATERIAIS ELÉTRICOS"/>
    <s v="U/46A.23153.A.RD.M.001"/>
    <s v="Rede de Distribuição"/>
    <m/>
    <n v="1141000003"/>
    <m/>
    <m/>
    <x v="0"/>
    <m/>
    <m/>
    <s v="4600092928"/>
    <s v="410"/>
    <s v="Natasha Amancio"/>
    <n v="0"/>
    <n v="45820"/>
    <s v="Liberado"/>
    <m/>
    <s v="133854"/>
    <s v="FECVA S.A. SOLUCOES INDUSTRIAIS"/>
    <s v="T3NAMANCIO"/>
    <s v="NATASHA DE OLIVEIRA AMANCIO DE OLIVEIRA AMANCIO"/>
    <s v="PGLO"/>
    <x v="39"/>
    <s v="10"/>
    <s v="Não"/>
    <x v="3"/>
    <n v="46161"/>
    <s v="Liberado"/>
    <d v="2026-05-20T10:56:47"/>
    <m/>
    <m/>
    <n v="46196"/>
    <n v="27"/>
    <m/>
    <n v="27"/>
    <m/>
    <m/>
    <n v="27"/>
    <m/>
    <m/>
    <m/>
    <x v="3"/>
    <n v="1"/>
  </r>
  <r>
    <x v="23"/>
    <x v="5"/>
    <s v="Q"/>
    <s v="Produção ind.projeto"/>
    <s v="ZMAT"/>
    <s v="ACRUZ10"/>
    <x v="13"/>
    <d v="2026-04-24T00:00:00"/>
    <s v="Aprovado"/>
    <d v="2026-05-08T00:00:00"/>
    <s v="R4"/>
    <s v="RJB4"/>
    <s v="SPE SANEAMENTO RIO 4 S.A"/>
    <s v="5503301"/>
    <x v="88"/>
    <x v="15"/>
    <s v="DP98"/>
    <s v="Suprimentos"/>
    <s v="73"/>
    <d v="2026-05-29T00:00:00"/>
    <s v="Sim"/>
    <s v="Spot"/>
    <s v="Não Urgente"/>
    <s v="Material"/>
    <s v="MATERIAIS ELÉTRICOS"/>
    <s v="U/46A.23153.A.RD.M.001"/>
    <s v="Rede de Distribuição"/>
    <m/>
    <n v="1141000003"/>
    <s v="6000152408"/>
    <s v="70"/>
    <x v="8"/>
    <n v="27"/>
    <n v="46171"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4"/>
    <n v="1"/>
  </r>
  <r>
    <x v="23"/>
    <x v="3"/>
    <s v="Q"/>
    <s v="Produção ind.projeto"/>
    <s v="ZMAT"/>
    <s v="ACRUZ10"/>
    <x v="13"/>
    <d v="2026-05-11T00:00:00"/>
    <s v="Aprovado"/>
    <d v="2026-05-08T00:00:00"/>
    <s v="R4"/>
    <s v="RJB4"/>
    <s v="SPE SANEAMENTO RIO 4 S.A"/>
    <s v="5025895"/>
    <x v="89"/>
    <x v="14"/>
    <s v="DP98"/>
    <s v="Suprimentos"/>
    <s v="263"/>
    <d v="2025-06-12T00:00:00"/>
    <s v="Sim"/>
    <s v="Contrato"/>
    <s v="Não Urgente"/>
    <s v="Material"/>
    <s v="MATERIAIS ELÉTRICOS"/>
    <s v="U/46A.23153.A.RD.M.001"/>
    <s v="Rede de Distribuição"/>
    <m/>
    <n v="1141000003"/>
    <m/>
    <m/>
    <x v="0"/>
    <m/>
    <m/>
    <s v="4600092936"/>
    <s v="900"/>
    <s v="Natasha Amancio"/>
    <n v="0"/>
    <d v="2025-06-12T00:00:00"/>
    <s v="Liberado"/>
    <m/>
    <s v="133854"/>
    <s v="FECVA S.A. SOLUCOES INDUSTRIAIS"/>
    <s v="USERJOBS"/>
    <s v="Usuário Jobs"/>
    <s v="PGLO"/>
    <x v="40"/>
    <s v="10"/>
    <s v="Não"/>
    <x v="1"/>
    <d v="2026-05-08T00:00:00"/>
    <s v="Liberado"/>
    <d v="2026-05-21T10:20:04"/>
    <m/>
    <m/>
    <d v="2026-06-07T00:00:00"/>
    <n v="21"/>
    <m/>
    <n v="21"/>
    <m/>
    <m/>
    <n v="21"/>
    <m/>
    <m/>
    <m/>
    <x v="3"/>
    <n v="1"/>
  </r>
  <r>
    <x v="23"/>
    <x v="4"/>
    <s v="Q"/>
    <s v="Produção ind.projeto"/>
    <s v="ZMAT"/>
    <s v="ACRUZ10"/>
    <x v="13"/>
    <d v="2026-04-24T00:00:00"/>
    <s v="Aprovado"/>
    <d v="2026-05-08T00:00:00"/>
    <s v="R4"/>
    <s v="RJB4"/>
    <s v="SPE SANEAMENTO RIO 4 S.A"/>
    <s v="5017208"/>
    <x v="90"/>
    <x v="14"/>
    <s v="DP98"/>
    <s v="Suprimentos"/>
    <s v="73"/>
    <d v="2026-05-29T00:00:00"/>
    <s v="Sim"/>
    <s v="Spot"/>
    <s v="Não Urgente"/>
    <s v="Material"/>
    <s v="MATERIAIS ELÉTRICOS"/>
    <s v="U/46A.23153.A.RD.M.001"/>
    <s v="Rede de Distribuição"/>
    <m/>
    <n v="1141000003"/>
    <s v="6000152408"/>
    <s v="60"/>
    <x v="8"/>
    <n v="21"/>
    <n v="46171"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4"/>
    <n v="1"/>
  </r>
  <r>
    <x v="23"/>
    <x v="1"/>
    <s v="Q"/>
    <s v="Produção ind.projeto"/>
    <s v="ZMAT"/>
    <s v="ACRUZ10"/>
    <x v="13"/>
    <d v="2026-04-24T00:00:00"/>
    <s v="Aprovado"/>
    <d v="2026-05-08T00:00:00"/>
    <s v="R4"/>
    <s v="RJB4"/>
    <s v="SPE SANEAMENTO RIO 4 S.A"/>
    <s v="5503222"/>
    <x v="91"/>
    <x v="15"/>
    <s v="DP98"/>
    <s v="Suprimentos"/>
    <s v="73"/>
    <d v="2026-05-29T00:00:00"/>
    <s v="Sim"/>
    <s v="Spot"/>
    <s v="Não Urgente"/>
    <s v="Material"/>
    <s v="MATERIAIS ELÉTRICOS"/>
    <s v="U/46A.23153.A.RD.M.001"/>
    <s v="Rede de Distribuição"/>
    <m/>
    <n v="1141000003"/>
    <s v="6000152408"/>
    <s v="50"/>
    <x v="8"/>
    <n v="27"/>
    <d v="2026-05-29T00:00:00"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4"/>
    <n v="1"/>
  </r>
  <r>
    <x v="23"/>
    <x v="0"/>
    <s v="Q"/>
    <s v="Produção ind.projeto"/>
    <s v="ZMAT"/>
    <s v="ACRUZ10"/>
    <x v="13"/>
    <d v="2026-05-11T00:00:00"/>
    <s v="Aprovado"/>
    <d v="2026-05-08T00:00:00"/>
    <s v="R4"/>
    <s v="RJB4"/>
    <s v="SPE SANEAMENTO RIO 4 S.A"/>
    <s v="5503300"/>
    <x v="92"/>
    <x v="15"/>
    <s v="DP98"/>
    <s v="Suprimentos"/>
    <s v="263"/>
    <d v="2025-06-12T00:00:00"/>
    <s v="Sim"/>
    <s v="Contrato"/>
    <s v="Não Urgente"/>
    <s v="Material"/>
    <s v="MATERIAIS ELÉTRICOS"/>
    <s v="U/46A.23153.A.RD.M.001"/>
    <s v="Rede de Distribuição"/>
    <m/>
    <n v="1141000003"/>
    <m/>
    <m/>
    <x v="0"/>
    <m/>
    <m/>
    <s v="4600092928"/>
    <s v="430"/>
    <s v="Natasha Amancio"/>
    <n v="0"/>
    <n v="45820"/>
    <s v="Liberado"/>
    <m/>
    <s v="133854"/>
    <s v="FECVA S.A. SOLUCOES INDUSTRIAIS"/>
    <s v="USERJOBS"/>
    <s v="Usuário Jobs"/>
    <s v="PGLO"/>
    <x v="38"/>
    <s v="10"/>
    <s v="Não"/>
    <x v="1"/>
    <n v="46150"/>
    <s v="Liberado"/>
    <d v="2026-05-21T10:20:17"/>
    <m/>
    <m/>
    <n v="46185"/>
    <n v="27"/>
    <m/>
    <n v="27"/>
    <m/>
    <m/>
    <n v="27"/>
    <m/>
    <m/>
    <m/>
    <x v="3"/>
    <n v="1"/>
  </r>
  <r>
    <x v="23"/>
    <x v="10"/>
    <s v="Q"/>
    <s v="Produção ind.projeto"/>
    <s v="ZMAT"/>
    <s v="ACRUZ10"/>
    <x v="13"/>
    <d v="2026-04-24T00:00:00"/>
    <s v="Aprovado"/>
    <d v="2026-05-08T00:00:00"/>
    <s v="R4"/>
    <s v="RJB4"/>
    <s v="SPE SANEAMENTO RIO 4 S.A"/>
    <s v="5516236"/>
    <x v="93"/>
    <x v="14"/>
    <s v="DP98"/>
    <s v="Suprimentos"/>
    <s v="73"/>
    <d v="2026-05-29T00:00:00"/>
    <s v="Sim"/>
    <s v="Spot"/>
    <s v="Não Urgente"/>
    <s v="Material"/>
    <s v="MATERIAIS ELÉTRICOS"/>
    <s v="U/46A.23153.A.RD.M.001"/>
    <s v="Rede de Distribuição"/>
    <m/>
    <n v="1141000003"/>
    <s v="6000152408"/>
    <s v="100"/>
    <x v="8"/>
    <n v="21"/>
    <d v="2026-05-29T00:00:00"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4"/>
    <n v="1"/>
  </r>
  <r>
    <x v="23"/>
    <x v="22"/>
    <s v="Q"/>
    <s v="Produção ind.projeto"/>
    <s v="ZMAT"/>
    <s v="ACRUZ10"/>
    <x v="13"/>
    <d v="2026-04-24T00:00:00"/>
    <s v="Aprovado"/>
    <d v="2026-05-08T00:00:00"/>
    <s v="R4"/>
    <s v="RJB4"/>
    <s v="SPE SANEAMENTO RIO 4 S.A"/>
    <s v="5516234"/>
    <x v="94"/>
    <x v="14"/>
    <s v="DP98"/>
    <s v="Suprimentos"/>
    <s v="73"/>
    <d v="2026-05-29T00:00:00"/>
    <s v="Sim"/>
    <s v="Spot"/>
    <s v="Não Urgente"/>
    <s v="Material"/>
    <s v="MATERIAIS ELÉTRICOS"/>
    <s v="U/46A.23153.A.RD.M.001"/>
    <s v="Rede de Distribuição"/>
    <m/>
    <n v="1141000003"/>
    <s v="6000152408"/>
    <s v="90"/>
    <x v="8"/>
    <n v="21"/>
    <n v="46171"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4"/>
    <n v="1"/>
  </r>
  <r>
    <x v="23"/>
    <x v="17"/>
    <s v="Q"/>
    <s v="Produção ind.projeto"/>
    <s v="ZMAT"/>
    <s v="ACRUZ10"/>
    <x v="13"/>
    <d v="2026-04-30T00:00:00"/>
    <s v="Aprovado"/>
    <d v="2026-05-08T00:00:00"/>
    <s v="R4"/>
    <s v="RJB4"/>
    <s v="SPE SANEAMENTO RIO 4 S.A"/>
    <s v="5516235"/>
    <x v="95"/>
    <x v="14"/>
    <s v="DP98"/>
    <s v="Suprimentos"/>
    <s v="263"/>
    <d v="2025-06-12T00:00:00"/>
    <s v="Sim"/>
    <s v="Contrato"/>
    <s v="Não Urgente"/>
    <s v="Material"/>
    <s v="MATERIAIS ELÉTRICOS"/>
    <s v="U/46A.23153.A.RD.M.001"/>
    <s v="Rede de Distribuição"/>
    <m/>
    <n v="1141000003"/>
    <m/>
    <m/>
    <x v="0"/>
    <m/>
    <m/>
    <s v="4600092944"/>
    <s v="540"/>
    <s v="Natasha Amancio"/>
    <n v="0"/>
    <d v="2025-06-12T00:00:00"/>
    <s v="Liberado"/>
    <m/>
    <s v="133519"/>
    <s v="DIMENSIONAL BRASIL SOLUCOES LTDA"/>
    <s v="T3NAMANCIO"/>
    <s v="NATASHA DE OLIVEIRA AMANCIO DE OLIVEIRA AMANCIO"/>
    <s v="PGLO"/>
    <x v="41"/>
    <s v="10"/>
    <s v="Não"/>
    <x v="3"/>
    <d v="2026-05-18T00:00:00"/>
    <s v="Liberado"/>
    <d v="2026-05-20T10:57:17"/>
    <m/>
    <m/>
    <d v="2026-06-17T00:00:00"/>
    <n v="21"/>
    <m/>
    <n v="21"/>
    <m/>
    <m/>
    <n v="21"/>
    <m/>
    <m/>
    <m/>
    <x v="3"/>
    <n v="1"/>
  </r>
  <r>
    <x v="6"/>
    <x v="13"/>
    <s v="Q"/>
    <s v="Produção ind.projeto"/>
    <s v="ZMAT"/>
    <s v="ACRUZ10"/>
    <x v="6"/>
    <d v="2026-03-23T00:00:00"/>
    <s v="Aprovado"/>
    <d v="2026-03-10T00:00:00"/>
    <s v="R4"/>
    <s v="RJB4"/>
    <s v="SPE SANEAMENTO RIO 4 S.A"/>
    <s v="5022386"/>
    <x v="96"/>
    <x v="0"/>
    <s v="DP98"/>
    <s v="Suprimentos"/>
    <s v="263"/>
    <n v="45820"/>
    <s v="Sim"/>
    <s v="Contrato"/>
    <s v="Não Urgente"/>
    <s v="Material"/>
    <s v="MATERIAIS ELÉTRICOS"/>
    <s v="U/46A.23153.A.RD.M.001"/>
    <s v="Rede de Distribuição"/>
    <m/>
    <n v="1141000003"/>
    <m/>
    <m/>
    <x v="0"/>
    <m/>
    <m/>
    <s v="4600092950"/>
    <s v="890"/>
    <s v="Natasha Amancio"/>
    <n v="0"/>
    <n v="45820"/>
    <s v="Liberado"/>
    <m/>
    <s v="118269"/>
    <s v="COMERCIAL ELETRICA P J LTDA"/>
    <s v="USERJOBS"/>
    <s v="Usuário Jobs"/>
    <s v="PGLO"/>
    <x v="42"/>
    <s v="10"/>
    <s v="Sim"/>
    <x v="1"/>
    <n v="46091"/>
    <s v="Liberado"/>
    <d v="2026-04-07T09:40:05"/>
    <m/>
    <m/>
    <n v="46142"/>
    <n v="10"/>
    <m/>
    <n v="10"/>
    <m/>
    <m/>
    <n v="10"/>
    <m/>
    <m/>
    <m/>
    <x v="3"/>
    <n v="1"/>
  </r>
  <r>
    <x v="6"/>
    <x v="15"/>
    <s v="Q"/>
    <s v="Produção ind.projeto"/>
    <s v="ZMAT"/>
    <s v="ACRUZ10"/>
    <x v="6"/>
    <d v="2026-04-01T00:00:00"/>
    <s v="Aprovado"/>
    <d v="2026-03-10T00:00:00"/>
    <s v="R4"/>
    <s v="RJB4"/>
    <s v="SPE SANEAMENTO RIO 4 S.A"/>
    <s v="5005579"/>
    <x v="97"/>
    <x v="0"/>
    <s v="DP98"/>
    <s v="Suprimentos"/>
    <s v="263"/>
    <d v="2025-06-12T00:00:00"/>
    <s v="Sim"/>
    <s v="Contrato"/>
    <s v="Não Urgente"/>
    <s v="Material"/>
    <s v="MATERIAIS ELÉTRICOS"/>
    <s v="U/46A.23153.A.RD.M.001"/>
    <s v="Rede de Distribuição"/>
    <m/>
    <n v="1141000003"/>
    <m/>
    <m/>
    <x v="0"/>
    <m/>
    <m/>
    <s v="4600092935"/>
    <s v="830"/>
    <s v="Natasha Amancio"/>
    <n v="0"/>
    <n v="45820"/>
    <s v="Liberado"/>
    <m/>
    <s v="133854"/>
    <s v="FECVA S.A. SOLUCOES INDUSTRIAIS"/>
    <s v="USERJOBS"/>
    <s v="Usuário Jobs"/>
    <s v="PGLO"/>
    <x v="43"/>
    <s v="20"/>
    <s v="Não"/>
    <x v="1"/>
    <d v="2026-03-10T00:00:00"/>
    <s v="Liberado"/>
    <d v="2026-04-07T09:39:03"/>
    <m/>
    <m/>
    <n v="46163"/>
    <n v="10"/>
    <n v="10"/>
    <n v="0"/>
    <d v="2026-05-14T00:00:00"/>
    <n v="10"/>
    <n v="0"/>
    <d v="2026-05-14T00:00:00"/>
    <m/>
    <m/>
    <x v="2"/>
    <n v="1"/>
  </r>
  <r>
    <x v="6"/>
    <x v="14"/>
    <s v="Q"/>
    <s v="Produção ind.projeto"/>
    <s v="ZMAT"/>
    <s v="ACRUZ10"/>
    <x v="6"/>
    <d v="2026-03-06T00:00:00"/>
    <s v="Aprovado"/>
    <d v="2026-03-10T00:00:00"/>
    <s v="R4"/>
    <s v="RJB4"/>
    <s v="SPE SANEAMENTO RIO 4 S.A"/>
    <s v="5005568"/>
    <x v="98"/>
    <x v="0"/>
    <s v="DP98"/>
    <s v="Suprimentos"/>
    <s v="73"/>
    <d v="2026-04-06T00:00:00"/>
    <s v="Sim"/>
    <s v="Spot"/>
    <s v="Não Urgente"/>
    <s v="Material"/>
    <s v="MATERIAIS ELÉTRICOS"/>
    <s v="U/46A.23153.A.RD.M.001"/>
    <s v="Rede de Distribuição"/>
    <m/>
    <n v="1141000003"/>
    <s v="6000148270"/>
    <s v="50"/>
    <x v="8"/>
    <n v="10"/>
    <d v="2026-04-06T00:00:00"/>
    <m/>
    <s v="0"/>
    <m/>
    <m/>
    <m/>
    <m/>
    <m/>
    <s v="152899"/>
    <s v="MULTFER SOLUCOES PARA INDUSTRIA E C"/>
    <s v="ARIBACIG"/>
    <s v="Conexão ARIBACIG x S4P"/>
    <s v="PMNB"/>
    <x v="44"/>
    <s v="30"/>
    <s v="Não"/>
    <x v="13"/>
    <n v="46153"/>
    <s v="Liberado"/>
    <d v="2026-06-18T13:46:42"/>
    <m/>
    <d v="2026-07-06T00:00:00"/>
    <n v="46188"/>
    <n v="10"/>
    <m/>
    <n v="10"/>
    <m/>
    <m/>
    <n v="10"/>
    <m/>
    <m/>
    <m/>
    <x v="3"/>
    <n v="1"/>
  </r>
  <r>
    <x v="16"/>
    <x v="1"/>
    <s v="Q"/>
    <s v="Produção ind.projeto"/>
    <s v="ZMAT"/>
    <s v="ACRUZ10"/>
    <x v="6"/>
    <d v="2026-03-06T00:00:00"/>
    <s v="Aprovado"/>
    <d v="2026-03-10T00:00:00"/>
    <s v="R4"/>
    <s v="RJB4"/>
    <s v="SPE SANEAMENTO RIO 4 S.A"/>
    <s v="5529551"/>
    <x v="99"/>
    <x v="7"/>
    <s v="DP96"/>
    <s v="Unidade"/>
    <s v="349"/>
    <d v="2026-04-09T00:00:00"/>
    <s v="Sim"/>
    <s v="Spot"/>
    <s v="Não Urgente"/>
    <s v="Material"/>
    <s v="FERRAMENTAS"/>
    <s v="U/46A.23153.A.RD.M.001"/>
    <s v="Rede de Distribuição"/>
    <m/>
    <n v="1141000001"/>
    <s v="6000148656"/>
    <s v="10"/>
    <x v="2"/>
    <n v="1"/>
    <n v="46121"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4"/>
    <n v="1"/>
  </r>
  <r>
    <x v="8"/>
    <x v="0"/>
    <s v="Q"/>
    <s v="Produção ind.projeto"/>
    <s v="ZMAT"/>
    <s v="ACRUZ10"/>
    <x v="8"/>
    <d v="2025-10-08T00:00:00"/>
    <s v="Aprovado"/>
    <d v="2025-10-02T00:00:00"/>
    <s v="R4"/>
    <s v="RJB4"/>
    <s v="SPE SANEAMENTO RIO 4 S.A"/>
    <s v="3008275"/>
    <x v="100"/>
    <x v="4"/>
    <s v="DP98"/>
    <s v="Unidade"/>
    <s v="226"/>
    <d v="2025-10-06T00:00:00"/>
    <s v="Não"/>
    <s v="Spot"/>
    <s v="Não Urgente"/>
    <s v="Material"/>
    <s v="MATERIAIS DE USO E CONSUMO"/>
    <s v="U/46A.23153.A.RD.M.001"/>
    <s v="Rede de Distribuição"/>
    <m/>
    <n v="1141000001"/>
    <s v="6000133778"/>
    <s v="50"/>
    <x v="12"/>
    <n v="5"/>
    <d v="2025-10-06T00:00:00"/>
    <m/>
    <s v="0"/>
    <m/>
    <m/>
    <m/>
    <m/>
    <m/>
    <s v="132832"/>
    <s v="ANUBIS INFORMATICA LTDA"/>
    <s v="ARIBACIG"/>
    <s v="Conexão ARIBACIG x S4P"/>
    <s v="PMNB"/>
    <x v="45"/>
    <s v="10"/>
    <s v="Sim"/>
    <x v="12"/>
    <d v="2025-10-13T00:00:00"/>
    <s v="Liberado"/>
    <d v="2025-12-09T14:31:55"/>
    <m/>
    <d v="2025-10-28T00:00:00"/>
    <d v="2025-10-28T00:00:00"/>
    <n v="5"/>
    <n v="5"/>
    <n v="0"/>
    <n v="46007"/>
    <n v="5"/>
    <n v="0"/>
    <d v="2025-12-16T00:00:00"/>
    <m/>
    <m/>
    <x v="2"/>
    <n v="1"/>
  </r>
  <r>
    <x v="2"/>
    <x v="0"/>
    <s v="Q"/>
    <s v="Produção ind.projeto"/>
    <s v="ZMAT"/>
    <s v="ACRUZ10"/>
    <x v="2"/>
    <d v="2026-01-23T00:00:00"/>
    <s v="Aprovado"/>
    <d v="2026-01-23T00:00:00"/>
    <s v="R4"/>
    <s v="RJB4"/>
    <s v="SPE SANEAMENTO RIO 4 S.A"/>
    <s v="5025447"/>
    <x v="101"/>
    <x v="12"/>
    <s v="DP98"/>
    <s v="Suprimentos"/>
    <s v="263"/>
    <d v="2025-06-12T00:00:00"/>
    <s v="Sim"/>
    <s v="Contrato"/>
    <s v="Não Urgente"/>
    <s v="Material"/>
    <s v="MATERIAIS ELÉTRICOS"/>
    <s v="U/46A.23153.A.RD.M.001"/>
    <s v="Rede de Distribuição"/>
    <m/>
    <n v="1141000001"/>
    <m/>
    <m/>
    <x v="0"/>
    <m/>
    <m/>
    <s v="4600092936"/>
    <s v="880"/>
    <s v="Natasha Amancio"/>
    <n v="0"/>
    <n v="45820"/>
    <s v="Liberado"/>
    <m/>
    <s v="133854"/>
    <s v="FECVA S.A. SOLUCOES INDUSTRIAIS"/>
    <s v="USERJOBS"/>
    <s v="Usuário Jobs"/>
    <s v="PGLO"/>
    <x v="46"/>
    <s v="20"/>
    <s v="Não"/>
    <x v="1"/>
    <d v="2026-01-23T00:00:00"/>
    <s v="Liberado"/>
    <d v="2026-01-26T11:33:46"/>
    <m/>
    <m/>
    <n v="46065"/>
    <n v="100"/>
    <n v="100"/>
    <n v="0"/>
    <n v="46091"/>
    <n v="100"/>
    <n v="0"/>
    <d v="2026-03-10T00:00:00"/>
    <m/>
    <m/>
    <x v="2"/>
    <n v="1"/>
  </r>
  <r>
    <x v="2"/>
    <x v="2"/>
    <s v="Q"/>
    <s v="Produção ind.projeto"/>
    <s v="ZMAT"/>
    <s v="ACRUZ10"/>
    <x v="2"/>
    <d v="2026-01-23T00:00:00"/>
    <s v="Aprovado"/>
    <d v="2026-01-23T00:00:00"/>
    <s v="R4"/>
    <s v="RJB4"/>
    <s v="SPE SANEAMENTO RIO 4 S.A"/>
    <s v="5024527"/>
    <x v="102"/>
    <x v="16"/>
    <s v="DP98"/>
    <s v="Suprimentos"/>
    <s v="263"/>
    <d v="2025-06-12T00:00:00"/>
    <s v="Sim"/>
    <s v="Contrato"/>
    <s v="Não Urgente"/>
    <s v="Material"/>
    <s v="MATERIAIS ELÉTRICOS"/>
    <s v="U/46A.23153.A.RD.M.001"/>
    <s v="Rede de Distribuição"/>
    <m/>
    <n v="1141000001"/>
    <m/>
    <m/>
    <x v="0"/>
    <m/>
    <m/>
    <s v="4600092936"/>
    <s v="730"/>
    <s v="Natasha Amancio"/>
    <n v="0"/>
    <n v="45820"/>
    <s v="Liberado"/>
    <m/>
    <s v="133854"/>
    <s v="FECVA S.A. SOLUCOES INDUSTRIAIS"/>
    <s v="USERJOBS"/>
    <s v="Usuário Jobs"/>
    <s v="PGLO"/>
    <x v="46"/>
    <s v="10"/>
    <s v="Não"/>
    <x v="1"/>
    <d v="2026-01-23T00:00:00"/>
    <s v="Liberado"/>
    <d v="2026-01-26T11:33:46"/>
    <m/>
    <m/>
    <n v="46075"/>
    <n v="150"/>
    <n v="150"/>
    <n v="0"/>
    <n v="46091"/>
    <n v="150"/>
    <n v="0"/>
    <d v="2026-03-10T00:00:00"/>
    <m/>
    <m/>
    <x v="2"/>
    <n v="1"/>
  </r>
  <r>
    <x v="16"/>
    <x v="3"/>
    <s v="Q"/>
    <s v="Produção ind.projeto"/>
    <s v="ZMAT"/>
    <s v="ACRUZ10"/>
    <x v="6"/>
    <d v="2026-03-06T00:00:00"/>
    <s v="Aprovado"/>
    <d v="2026-03-10T00:00:00"/>
    <s v="R4"/>
    <s v="RJB4"/>
    <s v="SPE SANEAMENTO RIO 4 S.A"/>
    <s v="5508837"/>
    <x v="103"/>
    <x v="7"/>
    <s v="DP96"/>
    <s v="Unidade"/>
    <m/>
    <m/>
    <s v="Não"/>
    <s v="Spot"/>
    <s v="Não Urgente"/>
    <s v="Material"/>
    <s v="CONSTRUÇÃO CIVIL"/>
    <s v="U/46A.23153.A.RD.M.001"/>
    <s v="Rede de Distribuição"/>
    <m/>
    <n v="1141000003"/>
    <m/>
    <m/>
    <x v="0"/>
    <m/>
    <m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0"/>
    <n v="1"/>
  </r>
  <r>
    <x v="24"/>
    <x v="2"/>
    <s v="Q"/>
    <s v="Produção ind.projeto"/>
    <s v="ZMAT"/>
    <s v="ACRUZ10"/>
    <x v="18"/>
    <d v="2025-07-28T00:00:00"/>
    <s v="Aprovado"/>
    <d v="2025-07-18T00:00:00"/>
    <s v="R4"/>
    <s v="RJB4"/>
    <s v="SPE SANEAMENTO RIO 4 S.A"/>
    <s v="5506818"/>
    <x v="104"/>
    <x v="1"/>
    <s v="DP98"/>
    <s v="Suprimentos"/>
    <s v="332"/>
    <d v="2025-07-21T00:00:00"/>
    <s v="Sim"/>
    <s v="Spot"/>
    <s v="Não Urgente"/>
    <s v="Material"/>
    <s v="FERRAMENTAS"/>
    <s v="U/46A.23153.A.RD.M.001"/>
    <s v="Rede de Distribuição"/>
    <m/>
    <n v="1141000001"/>
    <s v="6000127261"/>
    <s v="140"/>
    <x v="13"/>
    <n v="2"/>
    <n v="45859"/>
    <m/>
    <s v="0"/>
    <m/>
    <m/>
    <m/>
    <m/>
    <m/>
    <s v="116824"/>
    <s v="PLANAC MAQUINAS E FERRAMENTAS LTDA"/>
    <s v="ARIBACIG"/>
    <s v="Conexão ARIBACIG x S4P"/>
    <s v="PMNB"/>
    <x v="47"/>
    <s v="80"/>
    <s v="Sim"/>
    <x v="14"/>
    <d v="2025-07-28T00:00:00"/>
    <s v="Liberado"/>
    <d v="2025-12-11T16:18:08"/>
    <m/>
    <d v="2025-12-22T00:00:00"/>
    <m/>
    <n v="2"/>
    <n v="2"/>
    <n v="0"/>
    <d v="2025-08-26T00:00:00"/>
    <n v="2"/>
    <n v="0"/>
    <d v="2025-08-26T00:00:00"/>
    <m/>
    <m/>
    <x v="2"/>
    <n v="1"/>
  </r>
  <r>
    <x v="15"/>
    <x v="18"/>
    <s v="Q"/>
    <s v="Produção ind.projeto"/>
    <s v="ZMAT"/>
    <s v="ACRUZ10"/>
    <x v="13"/>
    <d v="2026-04-20T00:00:00"/>
    <s v="Aprovado"/>
    <d v="2026-05-08T00:00:00"/>
    <s v="R4"/>
    <s v="RJB4"/>
    <s v="SPE SANEAMENTO RIO 4 S.A"/>
    <s v="5506818"/>
    <x v="104"/>
    <x v="1"/>
    <s v="DP98"/>
    <s v="Suprimentos"/>
    <s v="349"/>
    <d v="2026-05-19T00:00:00"/>
    <s v="Sim"/>
    <s v="Spot"/>
    <s v="Não Urgente"/>
    <s v="Material"/>
    <s v="FERRAMENTAS"/>
    <s v="U/46A.23153.A.RD.M.001"/>
    <s v="Rede de Distribuição"/>
    <m/>
    <n v="1141000001"/>
    <s v="6000151573"/>
    <s v="30"/>
    <x v="2"/>
    <n v="2"/>
    <n v="46161"/>
    <m/>
    <s v="0"/>
    <m/>
    <m/>
    <m/>
    <m/>
    <m/>
    <s v="119302"/>
    <s v="FERRAMENTASGERAISCOM.IMPDEFERRAM.EM"/>
    <s v="ARIBACIG"/>
    <s v="Conexão ARIBACIG x S4P"/>
    <s v="PMNB"/>
    <x v="48"/>
    <s v="30"/>
    <s v="Não"/>
    <x v="15"/>
    <d v="2026-06-19T00:00:00"/>
    <s v="Liberado"/>
    <d v="2026-06-22T15:44:26"/>
    <m/>
    <d v="2026-06-26T00:00:00"/>
    <d v="2026-07-31T00:00:00"/>
    <n v="2"/>
    <m/>
    <n v="2"/>
    <m/>
    <m/>
    <n v="2"/>
    <m/>
    <m/>
    <m/>
    <x v="3"/>
    <n v="1"/>
  </r>
  <r>
    <x v="5"/>
    <x v="1"/>
    <s v="Q"/>
    <s v="Produção ind.projeto"/>
    <s v="ZMAT"/>
    <s v="ACRUZ10"/>
    <x v="5"/>
    <d v="2025-10-06T00:00:00"/>
    <s v="Aprovado"/>
    <d v="2025-09-04T00:00:00"/>
    <s v="R4"/>
    <s v="RJB4"/>
    <s v="SPE SANEAMENTO RIO 4 S.A"/>
    <s v="5504835"/>
    <x v="105"/>
    <x v="17"/>
    <s v="DP98"/>
    <s v="Suprimentos"/>
    <s v="263"/>
    <d v="2025-06-12T00:00:00"/>
    <s v="Sim"/>
    <s v="Contrato"/>
    <s v="Não Urgente"/>
    <s v="Material"/>
    <s v="MATERIAIS ELÉTRICOS"/>
    <s v="U/46A.23153.A.RD.M.001"/>
    <s v="Rede de Distribuição"/>
    <m/>
    <n v="1141000001"/>
    <m/>
    <m/>
    <x v="0"/>
    <m/>
    <m/>
    <s v="4600092928"/>
    <s v="900"/>
    <s v="Natasha Amancio"/>
    <n v="0"/>
    <n v="45820"/>
    <s v="Liberado"/>
    <m/>
    <s v="133854"/>
    <s v="FECVA S.A. SOLUCOES INDUSTRIAIS"/>
    <s v="T3ENASCIMENT"/>
    <s v="Edson Lourenço do Nascimento Lourenço do Nascimento"/>
    <s v="PGLO"/>
    <x v="49"/>
    <s v="10"/>
    <s v="Não"/>
    <x v="1"/>
    <n v="45904"/>
    <s v="Liberado"/>
    <d v="2025-09-08T07:45:58"/>
    <m/>
    <m/>
    <n v="45939"/>
    <n v="30"/>
    <n v="30"/>
    <n v="0"/>
    <n v="45939"/>
    <n v="30"/>
    <n v="0"/>
    <d v="2025-10-09T00:00:00"/>
    <m/>
    <m/>
    <x v="2"/>
    <n v="1"/>
  </r>
  <r>
    <x v="11"/>
    <x v="15"/>
    <s v="Q"/>
    <s v="Produção ind.projeto"/>
    <s v="ZMAT"/>
    <s v="ACRUZ10"/>
    <x v="10"/>
    <d v="2025-09-29T00:00:00"/>
    <s v="Aprovado"/>
    <d v="2025-09-22T00:00:00"/>
    <s v="R4"/>
    <s v="RJB4"/>
    <s v="SPE SANEAMENTO RIO 4 S.A"/>
    <s v="4009120"/>
    <x v="106"/>
    <x v="5"/>
    <s v="DP98"/>
    <s v="Suprimentos"/>
    <s v="332"/>
    <d v="2025-09-22T00:00:00"/>
    <s v="Sim"/>
    <s v="Spot"/>
    <s v="Não Urgente"/>
    <s v="Material"/>
    <s v="FERRAMENTAS"/>
    <s v="U/46A.23153.A.RD.M.001"/>
    <s v="Rede de Distribuição"/>
    <m/>
    <n v="1141000003"/>
    <s v="6000132696"/>
    <s v="40"/>
    <x v="13"/>
    <n v="20"/>
    <d v="2025-09-22T00:00:00"/>
    <m/>
    <s v="0"/>
    <m/>
    <m/>
    <m/>
    <m/>
    <m/>
    <s v="106191"/>
    <s v="PEU ELETRICIDADE LTDA."/>
    <s v="ARIBACIG"/>
    <s v="Conexão ARIBACIG x S4P"/>
    <s v="PMNB"/>
    <x v="50"/>
    <s v="10"/>
    <s v="Não"/>
    <x v="14"/>
    <d v="2025-12-12T00:00:00"/>
    <s v="Liberado"/>
    <d v="2025-12-18T15:38:23"/>
    <m/>
    <d v="2026-01-23T00:00:00"/>
    <d v="2026-02-09T00:00:00"/>
    <n v="20"/>
    <n v="5"/>
    <n v="15"/>
    <n v="46190"/>
    <n v="5"/>
    <n v="15"/>
    <d v="2026-06-17T00:00:00"/>
    <m/>
    <m/>
    <x v="7"/>
    <n v="1"/>
  </r>
  <r>
    <x v="11"/>
    <x v="18"/>
    <s v="Q"/>
    <s v="Produção ind.projeto"/>
    <s v="ZMAT"/>
    <s v="ACRUZ10"/>
    <x v="10"/>
    <d v="2025-09-29T00:00:00"/>
    <s v="Aprovado"/>
    <d v="2025-09-22T00:00:00"/>
    <s v="R4"/>
    <s v="RJB4"/>
    <s v="SPE SANEAMENTO RIO 4 S.A"/>
    <s v="4009350"/>
    <x v="107"/>
    <x v="1"/>
    <s v="DP98"/>
    <s v="Suprimentos"/>
    <s v="351"/>
    <d v="2025-09-24T00:00:00"/>
    <s v="Sim"/>
    <s v="Spot"/>
    <s v="Não Urgente"/>
    <s v="Material"/>
    <s v="MATERIAIS MECÂNICOS"/>
    <s v="U/46A.23153.A.RD.M.001"/>
    <s v="Rede de Distribuição"/>
    <m/>
    <n v="1141000001"/>
    <s v="6000132921"/>
    <s v="20"/>
    <x v="4"/>
    <n v="2"/>
    <n v="45924"/>
    <m/>
    <s v="0"/>
    <m/>
    <m/>
    <m/>
    <m/>
    <m/>
    <s v="100011"/>
    <s v="ACRIFLEX IND COM. ACOPLAMENTOS LTDA"/>
    <s v="ARIBACIG"/>
    <s v="Conexão ARIBACIG x S4P"/>
    <s v="PMNB"/>
    <x v="51"/>
    <s v="20"/>
    <s v="Não"/>
    <x v="5"/>
    <d v="2025-10-03T00:00:00"/>
    <s v="Liberado"/>
    <d v="2025-10-17T16:46:06"/>
    <m/>
    <d v="2025-10-20T00:00:00"/>
    <m/>
    <n v="2"/>
    <m/>
    <n v="2"/>
    <m/>
    <m/>
    <n v="2"/>
    <m/>
    <m/>
    <m/>
    <x v="3"/>
    <n v="1"/>
  </r>
  <r>
    <x v="11"/>
    <x v="16"/>
    <s v="Q"/>
    <s v="Produção ind.projeto"/>
    <s v="ZMAT"/>
    <s v="ACRUZ10"/>
    <x v="10"/>
    <d v="2025-09-29T00:00:00"/>
    <s v="Aprovado"/>
    <d v="2025-09-22T00:00:00"/>
    <s v="R4"/>
    <s v="RJB4"/>
    <s v="SPE SANEAMENTO RIO 4 S.A"/>
    <s v="4009169"/>
    <x v="108"/>
    <x v="1"/>
    <s v="DP98"/>
    <s v="Suprimentos"/>
    <s v="351"/>
    <d v="2025-09-24T00:00:00"/>
    <s v="Sim"/>
    <s v="Spot"/>
    <s v="Não Urgente"/>
    <s v="Material"/>
    <s v="MATERIAIS MECÂNICOS"/>
    <s v="U/46A.23153.A.RD.M.001"/>
    <s v="Rede de Distribuição"/>
    <m/>
    <n v="1141000001"/>
    <s v="6000132921"/>
    <s v="30"/>
    <x v="4"/>
    <n v="2"/>
    <n v="45924"/>
    <m/>
    <s v="0"/>
    <m/>
    <m/>
    <m/>
    <m/>
    <m/>
    <s v="100011"/>
    <s v="ACRIFLEX IND COM. ACOPLAMENTOS LTDA"/>
    <s v="ARIBACIG"/>
    <s v="Conexão ARIBACIG x S4P"/>
    <s v="PMNB"/>
    <x v="51"/>
    <s v="30"/>
    <s v="Não"/>
    <x v="5"/>
    <d v="2025-10-03T00:00:00"/>
    <s v="Liberado"/>
    <d v="2025-10-17T16:46:06"/>
    <m/>
    <d v="2025-10-20T00:00:00"/>
    <m/>
    <n v="2"/>
    <m/>
    <n v="2"/>
    <m/>
    <m/>
    <n v="2"/>
    <m/>
    <m/>
    <m/>
    <x v="3"/>
    <n v="1"/>
  </r>
  <r>
    <x v="11"/>
    <x v="5"/>
    <s v="Q"/>
    <s v="Produção ind.projeto"/>
    <s v="ZMAT"/>
    <s v="ACRUZ10"/>
    <x v="10"/>
    <d v="2025-09-29T00:00:00"/>
    <s v="Aprovado"/>
    <d v="2025-09-22T00:00:00"/>
    <s v="R4"/>
    <s v="RJB4"/>
    <s v="SPE SANEAMENTO RIO 4 S.A"/>
    <s v="4008097"/>
    <x v="109"/>
    <x v="2"/>
    <s v="DP98"/>
    <s v="Suprimentos"/>
    <s v="351"/>
    <d v="2025-09-24T00:00:00"/>
    <s v="Sim"/>
    <s v="Spot"/>
    <s v="Não Urgente"/>
    <s v="Material"/>
    <s v="MATERIAIS MECÂNICOS"/>
    <s v="U/46A.23153.A.RD.M.001"/>
    <s v="Rede de Distribuição"/>
    <m/>
    <n v="1141000001"/>
    <s v="6000132921"/>
    <s v="10"/>
    <x v="4"/>
    <n v="4"/>
    <d v="2025-09-24T00:00:00"/>
    <m/>
    <s v="0"/>
    <m/>
    <m/>
    <m/>
    <m/>
    <m/>
    <s v="100011"/>
    <s v="ACRIFLEX IND COM. ACOPLAMENTOS LTDA"/>
    <s v="ARIBACIG"/>
    <s v="Conexão ARIBACIG x S4P"/>
    <s v="PMNB"/>
    <x v="51"/>
    <s v="10"/>
    <s v="Não"/>
    <x v="5"/>
    <n v="45933"/>
    <s v="Liberado"/>
    <d v="2025-10-17T16:46:06"/>
    <m/>
    <d v="2025-10-20T00:00:00"/>
    <m/>
    <n v="4"/>
    <m/>
    <n v="4"/>
    <m/>
    <m/>
    <n v="4"/>
    <m/>
    <m/>
    <m/>
    <x v="3"/>
    <n v="1"/>
  </r>
  <r>
    <x v="6"/>
    <x v="17"/>
    <s v="Q"/>
    <s v="Produção ind.projeto"/>
    <s v="ZMAT"/>
    <s v="ACRUZ10"/>
    <x v="6"/>
    <d v="2026-04-01T00:00:00"/>
    <s v="Aprovado"/>
    <d v="2026-03-10T00:00:00"/>
    <s v="R4"/>
    <s v="RJB4"/>
    <s v="SPE SANEAMENTO RIO 4 S.A"/>
    <s v="5004549"/>
    <x v="110"/>
    <x v="0"/>
    <s v="DP98"/>
    <s v="Suprimentos"/>
    <s v="263"/>
    <d v="2025-06-12T00:00:00"/>
    <s v="Sim"/>
    <s v="Contrato"/>
    <s v="Não Urgente"/>
    <s v="Material"/>
    <s v="MATERIAIS ELÉTRICOS"/>
    <s v="U/46A.23153.A.RD.M.001"/>
    <s v="Rede de Distribuição"/>
    <m/>
    <n v="1141000003"/>
    <m/>
    <m/>
    <x v="0"/>
    <m/>
    <m/>
    <s v="4600092935"/>
    <s v="670"/>
    <s v="Natasha Amancio"/>
    <n v="0"/>
    <n v="45820"/>
    <s v="Liberado"/>
    <m/>
    <s v="133854"/>
    <s v="FECVA S.A. SOLUCOES INDUSTRIAIS"/>
    <s v="USERJOBS"/>
    <s v="Usuário Jobs"/>
    <s v="PGLO"/>
    <x v="43"/>
    <s v="30"/>
    <s v="Não"/>
    <x v="1"/>
    <n v="46091"/>
    <s v="Liberado"/>
    <d v="2026-04-07T09:39:03"/>
    <m/>
    <m/>
    <n v="46163"/>
    <n v="10"/>
    <n v="10"/>
    <n v="0"/>
    <n v="46156"/>
    <n v="10"/>
    <n v="0"/>
    <d v="2026-05-14T00:00:00"/>
    <m/>
    <m/>
    <x v="2"/>
    <n v="1"/>
  </r>
  <r>
    <x v="6"/>
    <x v="4"/>
    <s v="Q"/>
    <s v="Produção ind.projeto"/>
    <s v="ZMAT"/>
    <s v="ACRUZ10"/>
    <x v="6"/>
    <d v="2026-04-01T00:00:00"/>
    <s v="Aprovado"/>
    <d v="2026-03-10T00:00:00"/>
    <s v="R4"/>
    <s v="RJB4"/>
    <s v="SPE SANEAMENTO RIO 4 S.A"/>
    <s v="5004524"/>
    <x v="111"/>
    <x v="8"/>
    <s v="DP98"/>
    <s v="Suprimentos"/>
    <s v="263"/>
    <d v="2025-06-12T00:00:00"/>
    <s v="Sim"/>
    <s v="Contrato"/>
    <s v="Não Urgente"/>
    <s v="Material"/>
    <s v="MATERIAIS ELÉTRICOS"/>
    <s v="U/46A.23153.A.RD.M.001"/>
    <s v="Rede de Distribuição"/>
    <m/>
    <n v="1141000003"/>
    <m/>
    <m/>
    <x v="0"/>
    <m/>
    <m/>
    <s v="4600092935"/>
    <s v="630"/>
    <s v="Natasha Amancio"/>
    <n v="0"/>
    <d v="2025-06-12T00:00:00"/>
    <s v="Liberado"/>
    <m/>
    <s v="133854"/>
    <s v="FECVA S.A. SOLUCOES INDUSTRIAIS"/>
    <s v="USERJOBS"/>
    <s v="Usuário Jobs"/>
    <s v="PGLO"/>
    <x v="43"/>
    <s v="10"/>
    <s v="Não"/>
    <x v="1"/>
    <d v="2026-03-10T00:00:00"/>
    <s v="Liberado"/>
    <d v="2026-04-07T09:39:03"/>
    <m/>
    <m/>
    <d v="2026-05-21T00:00:00"/>
    <n v="15"/>
    <n v="15"/>
    <n v="0"/>
    <d v="2026-05-14T00:00:00"/>
    <n v="15"/>
    <n v="0"/>
    <d v="2026-05-14T00:00:00"/>
    <m/>
    <m/>
    <x v="2"/>
    <n v="1"/>
  </r>
  <r>
    <x v="6"/>
    <x v="0"/>
    <s v="Q"/>
    <s v="Produção ind.projeto"/>
    <s v="ZMAT"/>
    <s v="ACRUZ10"/>
    <x v="6"/>
    <d v="2026-04-22T00:00:00"/>
    <s v="Aprovado"/>
    <d v="2026-03-10T00:00:00"/>
    <s v="R4"/>
    <s v="RJB4"/>
    <s v="SPE SANEAMENTO RIO 4 S.A"/>
    <s v="5004516"/>
    <x v="112"/>
    <x v="0"/>
    <s v="DP98"/>
    <s v="Suprimentos"/>
    <s v="55"/>
    <d v="2026-05-07T00:00:00"/>
    <s v="Sim"/>
    <s v="Spot"/>
    <s v="Não Urgente"/>
    <s v="Material"/>
    <s v="MATERIAIS ELÉTRICOS"/>
    <s v="U/46A.23153.A.RD.M.001"/>
    <s v="Rede de Distribuição"/>
    <m/>
    <n v="1141000003"/>
    <s v="6000150531"/>
    <s v="360"/>
    <x v="14"/>
    <n v="10"/>
    <n v="46149"/>
    <m/>
    <s v="0"/>
    <m/>
    <m/>
    <m/>
    <m/>
    <m/>
    <s v="103556"/>
    <s v="ELETROMAX 25 DE AGOSTO LTDA"/>
    <s v="ARIBACIG"/>
    <s v="Conexão ARIBACIG x S4P"/>
    <s v="PMNB"/>
    <x v="52"/>
    <s v="10"/>
    <s v="Sim"/>
    <x v="16"/>
    <d v="2026-06-22T00:00:00"/>
    <s v="Liberado"/>
    <d v="2026-06-22T13:57:14"/>
    <m/>
    <d v="2026-07-03T00:00:00"/>
    <n v="46206"/>
    <n v="10"/>
    <m/>
    <n v="10"/>
    <m/>
    <m/>
    <n v="10"/>
    <m/>
    <m/>
    <m/>
    <x v="3"/>
    <n v="1"/>
  </r>
  <r>
    <x v="6"/>
    <x v="1"/>
    <s v="Q"/>
    <s v="Produção ind.projeto"/>
    <s v="ZMAT"/>
    <s v="ACRUZ10"/>
    <x v="6"/>
    <d v="2026-03-23T00:00:00"/>
    <s v="Aprovado"/>
    <d v="2026-03-10T00:00:00"/>
    <s v="R4"/>
    <s v="RJB4"/>
    <s v="SPE SANEAMENTO RIO 4 S.A"/>
    <s v="5004523"/>
    <x v="113"/>
    <x v="0"/>
    <s v="DP98"/>
    <s v="Suprimentos"/>
    <s v="73"/>
    <n v="46118"/>
    <s v="Sim"/>
    <s v="Spot"/>
    <s v="Não Urgente"/>
    <s v="Material"/>
    <s v="MATERIAIS ELÉTRICOS"/>
    <s v="U/46A.23153.A.RD.M.001"/>
    <s v="Rede de Distribuição"/>
    <m/>
    <n v="1141000003"/>
    <s v="6000148270"/>
    <s v="40"/>
    <x v="8"/>
    <n v="10"/>
    <n v="46118"/>
    <m/>
    <s v="0"/>
    <m/>
    <m/>
    <m/>
    <m/>
    <m/>
    <s v="152899"/>
    <s v="MULTFER SOLUCOES PARA INDUSTRIA E C"/>
    <s v="ARIBACIG"/>
    <s v="Conexão ARIBACIG x S4P"/>
    <s v="PMNB"/>
    <x v="44"/>
    <s v="20"/>
    <s v="Não"/>
    <x v="13"/>
    <n v="46153"/>
    <s v="Liberado"/>
    <d v="2026-06-18T13:46:42"/>
    <m/>
    <d v="2026-07-06T00:00:00"/>
    <n v="46188"/>
    <n v="10"/>
    <m/>
    <n v="10"/>
    <m/>
    <m/>
    <n v="10"/>
    <m/>
    <m/>
    <m/>
    <x v="3"/>
    <n v="1"/>
  </r>
  <r>
    <x v="6"/>
    <x v="2"/>
    <s v="Q"/>
    <s v="Produção ind.projeto"/>
    <s v="ZMAT"/>
    <s v="ACRUZ10"/>
    <x v="6"/>
    <d v="2026-03-24T00:00:00"/>
    <s v="Aprovado"/>
    <d v="2026-03-10T00:00:00"/>
    <s v="R4"/>
    <s v="RJB4"/>
    <s v="SPE SANEAMENTO RIO 4 S.A"/>
    <s v="5004514"/>
    <x v="114"/>
    <x v="0"/>
    <s v="DP98"/>
    <s v="Suprimentos"/>
    <s v="263"/>
    <n v="45820"/>
    <s v="Sim"/>
    <s v="Contrato"/>
    <s v="Não Urgente"/>
    <s v="Material"/>
    <s v="MATERIAIS ELÉTRICOS"/>
    <s v="U/46A.23153.A.RD.M.001"/>
    <s v="Rede de Distribuição"/>
    <m/>
    <n v="1141000003"/>
    <m/>
    <m/>
    <x v="0"/>
    <m/>
    <m/>
    <s v="4600092951"/>
    <s v="1790"/>
    <s v="Natasha Amancio"/>
    <n v="0"/>
    <n v="45820"/>
    <s v="Liberado"/>
    <m/>
    <s v="118269"/>
    <s v="COMERCIAL ELETRICA P J LTDA"/>
    <s v="USERJOBS"/>
    <s v="Usuário Jobs"/>
    <s v="PGLO"/>
    <x v="53"/>
    <s v="10"/>
    <s v="Sim"/>
    <x v="1"/>
    <n v="46091"/>
    <s v="Liberado"/>
    <d v="2026-04-07T09:39:15"/>
    <m/>
    <m/>
    <n v="46142"/>
    <n v="10"/>
    <n v="10"/>
    <n v="0"/>
    <n v="46181"/>
    <n v="10"/>
    <n v="0"/>
    <d v="2026-06-08T00:00:00"/>
    <m/>
    <m/>
    <x v="2"/>
    <n v="1"/>
  </r>
  <r>
    <x v="6"/>
    <x v="22"/>
    <s v="Q"/>
    <s v="Produção ind.projeto"/>
    <s v="ZMAT"/>
    <s v="ACRUZ10"/>
    <x v="6"/>
    <d v="2026-04-22T00:00:00"/>
    <s v="Aprovado"/>
    <d v="2026-03-10T00:00:00"/>
    <s v="R4"/>
    <s v="RJB4"/>
    <s v="SPE SANEAMENTO RIO 4 S.A"/>
    <s v="5004475"/>
    <x v="115"/>
    <x v="0"/>
    <s v="DP98"/>
    <s v="Suprimentos"/>
    <s v="263"/>
    <n v="45820"/>
    <s v="Sim"/>
    <s v="Contrato"/>
    <s v="Não Urgente"/>
    <s v="Material"/>
    <s v="MATERIAIS ELÉTRICOS"/>
    <s v="U/46A.23153.A.RD.M.001"/>
    <s v="Rede de Distribuição"/>
    <m/>
    <n v="1141000003"/>
    <m/>
    <m/>
    <x v="0"/>
    <m/>
    <m/>
    <s v="4600092925"/>
    <s v="830"/>
    <s v="Natasha Amancio"/>
    <n v="0"/>
    <n v="45820"/>
    <s v="Liberado"/>
    <m/>
    <s v="117810"/>
    <s v="NORTEL SUPRIMENTOS INDUSTRIAIS LTDA"/>
    <s v="USERJOBS"/>
    <s v="Usuário Jobs"/>
    <s v="PGLO"/>
    <x v="54"/>
    <s v="20"/>
    <s v="Não"/>
    <x v="1"/>
    <n v="46091"/>
    <s v="Liberado"/>
    <d v="2026-04-07T09:40:26"/>
    <m/>
    <m/>
    <n v="46142"/>
    <n v="10"/>
    <n v="10"/>
    <n v="0"/>
    <n v="46161"/>
    <n v="10"/>
    <n v="0"/>
    <d v="2026-05-19T00:00:00"/>
    <m/>
    <m/>
    <x v="2"/>
    <n v="1"/>
  </r>
  <r>
    <x v="6"/>
    <x v="3"/>
    <s v="Q"/>
    <s v="Produção ind.projeto"/>
    <s v="ZMAT"/>
    <s v="ACRUZ10"/>
    <x v="6"/>
    <d v="2026-04-22T00:00:00"/>
    <s v="Aprovado"/>
    <d v="2026-03-10T00:00:00"/>
    <s v="R4"/>
    <s v="RJB4"/>
    <s v="SPE SANEAMENTO RIO 4 S.A"/>
    <s v="5004372"/>
    <x v="116"/>
    <x v="5"/>
    <s v="DP98"/>
    <s v="Suprimentos"/>
    <s v="55"/>
    <d v="2026-05-07T00:00:00"/>
    <s v="Sim"/>
    <s v="Spot"/>
    <s v="Não Urgente"/>
    <s v="Material"/>
    <s v="MATERIAIS ELÉTRICOS"/>
    <s v="U/46A.23153.A.RD.M.001"/>
    <s v="Rede de Distribuição"/>
    <m/>
    <n v="1141000003"/>
    <s v="6000150531"/>
    <s v="370"/>
    <x v="14"/>
    <n v="20"/>
    <d v="2026-05-07T00:00:00"/>
    <m/>
    <s v="0"/>
    <m/>
    <m/>
    <m/>
    <m/>
    <m/>
    <s v="131287"/>
    <s v="CABINE RIO COMERCIAL ELETRICA LTDA"/>
    <s v="ARIBACIG"/>
    <s v="Conexão ARIBACIG x S4P"/>
    <s v="PMNB"/>
    <x v="55"/>
    <s v="10"/>
    <s v="Sim"/>
    <x v="16"/>
    <d v="2026-06-22T00:00:00"/>
    <s v="Liberado"/>
    <d v="2026-06-22T13:57:13"/>
    <m/>
    <d v="2026-06-25T00:00:00"/>
    <n v="46198"/>
    <n v="20"/>
    <m/>
    <n v="20"/>
    <m/>
    <m/>
    <n v="20"/>
    <m/>
    <m/>
    <m/>
    <x v="3"/>
    <n v="1"/>
  </r>
  <r>
    <x v="6"/>
    <x v="5"/>
    <s v="Q"/>
    <s v="Produção ind.projeto"/>
    <s v="ZMAT"/>
    <s v="ACRUZ10"/>
    <x v="6"/>
    <d v="2026-04-22T00:00:00"/>
    <s v="Aprovado"/>
    <d v="2026-03-10T00:00:00"/>
    <s v="R4"/>
    <s v="RJB4"/>
    <s v="SPE SANEAMENTO RIO 4 S.A"/>
    <s v="5004509"/>
    <x v="117"/>
    <x v="4"/>
    <s v="DP98"/>
    <s v="Suprimentos"/>
    <s v="55"/>
    <d v="2026-05-07T00:00:00"/>
    <s v="Sim"/>
    <s v="Spot"/>
    <s v="Não Urgente"/>
    <s v="Material"/>
    <s v="MATERIAIS ELÉTRICOS"/>
    <s v="U/46A.23153.A.RD.M.001"/>
    <s v="Rede de Distribuição"/>
    <m/>
    <n v="1141000003"/>
    <s v="6000150531"/>
    <s v="380"/>
    <x v="14"/>
    <n v="5"/>
    <n v="46149"/>
    <m/>
    <s v="0"/>
    <m/>
    <m/>
    <m/>
    <m/>
    <m/>
    <s v="140972"/>
    <s v="CIGAME COMERCIO DE MATERIAL ELETRIC"/>
    <s v="ARIBACIG"/>
    <s v="Conexão ARIBACIG x S4P"/>
    <s v="PMNB"/>
    <x v="56"/>
    <s v="10"/>
    <s v="Não"/>
    <x v="16"/>
    <d v="2026-06-22T00:00:00"/>
    <s v="Liberado"/>
    <d v="2026-06-22T14:12:15"/>
    <m/>
    <d v="2026-06-29T00:00:00"/>
    <d v="2026-06-29T00:00:00"/>
    <n v="5"/>
    <m/>
    <n v="5"/>
    <m/>
    <m/>
    <n v="5"/>
    <m/>
    <m/>
    <m/>
    <x v="3"/>
    <n v="1"/>
  </r>
  <r>
    <x v="6"/>
    <x v="19"/>
    <s v="Q"/>
    <s v="Produção ind.projeto"/>
    <s v="ZMAT"/>
    <s v="ACRUZ10"/>
    <x v="6"/>
    <d v="2026-04-22T00:00:00"/>
    <s v="Aprovado"/>
    <d v="2026-03-10T00:00:00"/>
    <s v="R4"/>
    <s v="RJB4"/>
    <s v="SPE SANEAMENTO RIO 4 S.A"/>
    <s v="5004508"/>
    <x v="118"/>
    <x v="0"/>
    <s v="DP98"/>
    <s v="Suprimentos"/>
    <s v="263"/>
    <d v="2025-06-12T00:00:00"/>
    <s v="Sim"/>
    <s v="Contrato"/>
    <s v="Não Urgente"/>
    <s v="Material"/>
    <s v="MATERIAIS ELÉTRICOS"/>
    <s v="U/46A.23153.A.RD.M.001"/>
    <s v="Rede de Distribuição"/>
    <m/>
    <n v="1141000003"/>
    <m/>
    <m/>
    <x v="0"/>
    <m/>
    <m/>
    <s v="4600092920"/>
    <s v="40"/>
    <s v="Natasha Amancio"/>
    <n v="0"/>
    <n v="45820"/>
    <s v="Liberado"/>
    <m/>
    <s v="117810"/>
    <s v="NORTEL SUPRIMENTOS INDUSTRIAIS LTDA"/>
    <s v="USERJOBS"/>
    <s v="Usuário Jobs"/>
    <s v="PGLO"/>
    <x v="57"/>
    <s v="30"/>
    <s v="Não"/>
    <x v="1"/>
    <d v="2026-03-10T00:00:00"/>
    <s v="Liberado"/>
    <d v="2026-04-07T09:40:59"/>
    <m/>
    <m/>
    <d v="2026-04-30T00:00:00"/>
    <n v="10"/>
    <n v="10"/>
    <n v="0"/>
    <n v="46161"/>
    <n v="10"/>
    <n v="0"/>
    <d v="2026-05-19T00:00:00"/>
    <m/>
    <m/>
    <x v="2"/>
    <n v="1"/>
  </r>
  <r>
    <x v="4"/>
    <x v="26"/>
    <s v="Q"/>
    <s v="Produção ind.projeto"/>
    <s v="ZMAT"/>
    <s v="ACRUZ10"/>
    <x v="4"/>
    <d v="2026-02-13T00:00:00"/>
    <s v="Aprovado"/>
    <d v="2026-02-12T00:00:00"/>
    <s v="R4"/>
    <s v="RJB4"/>
    <s v="SPE SANEAMENTO RIO 4 S.A"/>
    <s v="5023084"/>
    <x v="119"/>
    <x v="11"/>
    <s v="DP98"/>
    <s v="Unidade"/>
    <s v="317"/>
    <d v="2024-11-19T00:00:00"/>
    <s v="Sim"/>
    <s v="Contrato"/>
    <s v="Não Urgente"/>
    <s v="Material"/>
    <s v="FERRAMENTAS"/>
    <s v="U/46A.23153.A.RD.M.001"/>
    <s v="Rede de Distribuição"/>
    <m/>
    <n v="1141000001"/>
    <m/>
    <m/>
    <x v="0"/>
    <m/>
    <m/>
    <s v="4600081496"/>
    <s v="720"/>
    <s v="Fernando Gonçalo"/>
    <n v="0"/>
    <d v="2024-11-19T00:00:00"/>
    <s v="Liberado"/>
    <m/>
    <s v="100231"/>
    <s v="ANHANGUERA COMERCIO DE FERRAMENTASL"/>
    <s v="USERJOBS"/>
    <s v="Usuário Jobs"/>
    <s v="PGLO"/>
    <x v="58"/>
    <s v="20"/>
    <s v="Não"/>
    <x v="1"/>
    <d v="2026-02-12T00:00:00"/>
    <s v="Liberado"/>
    <d v="2026-06-25T15:30:50"/>
    <m/>
    <m/>
    <d v="2026-07-24T00:00:00"/>
    <n v="50"/>
    <m/>
    <n v="50"/>
    <m/>
    <m/>
    <n v="50"/>
    <m/>
    <m/>
    <m/>
    <x v="3"/>
    <n v="1"/>
  </r>
  <r>
    <x v="12"/>
    <x v="15"/>
    <s v="Q"/>
    <s v="Produção ind.projeto"/>
    <s v="ZMAT"/>
    <s v="TTORRES"/>
    <x v="11"/>
    <d v="2026-07-15T00:00:00"/>
    <s v="Aprovado"/>
    <d v="2026-06-17T00:00:00"/>
    <s v="R4"/>
    <s v="RJB4"/>
    <s v="SPE SANEAMENTO RIO 4 S.A"/>
    <s v="5506344"/>
    <x v="120"/>
    <x v="4"/>
    <s v="DP98"/>
    <s v="Unidade"/>
    <s v="274"/>
    <d v="2026-06-19T00:00:00"/>
    <s v="Não"/>
    <s v="Spot"/>
    <s v="Não Urgente"/>
    <s v="Material"/>
    <s v="CONSTRUÇÃO CIVIL"/>
    <s v="U/46A.23153.A.RD.M.001"/>
    <s v="Rede de Distribuição"/>
    <m/>
    <n v="1141000001"/>
    <s v="6000153788"/>
    <s v="20"/>
    <x v="9"/>
    <n v="5"/>
    <n v="46192"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4"/>
    <n v="1"/>
  </r>
  <r>
    <x v="10"/>
    <x v="0"/>
    <s v="Q"/>
    <s v="Produção ind.projeto"/>
    <s v="ZMAT"/>
    <s v="ACRUZ10"/>
    <x v="9"/>
    <d v="2025-09-05T00:00:00"/>
    <s v="Aprovado"/>
    <d v="2025-09-03T00:00:00"/>
    <s v="R4"/>
    <s v="RJB4"/>
    <s v="SPE SANEAMENTO RIO 4 S.A"/>
    <s v="5506946"/>
    <x v="121"/>
    <x v="17"/>
    <s v="DP98"/>
    <s v="Unidade"/>
    <m/>
    <m/>
    <s v="Não"/>
    <s v="Spot"/>
    <s v="Não Urgente"/>
    <s v="Material"/>
    <s v="CONSTRUÇÃO CIVIL"/>
    <s v="U/46A.23153.A.RD.M.001"/>
    <s v="Rede de Distribuição"/>
    <m/>
    <n v="1141000001"/>
    <m/>
    <m/>
    <x v="0"/>
    <m/>
    <m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1"/>
    <n v="1"/>
  </r>
  <r>
    <x v="12"/>
    <x v="16"/>
    <s v="Q"/>
    <s v="Produção ind.projeto"/>
    <s v="ZMAT"/>
    <s v="TTORRES"/>
    <x v="11"/>
    <d v="2026-07-15T00:00:00"/>
    <s v="Aprovado"/>
    <d v="2026-06-17T00:00:00"/>
    <s v="R4"/>
    <s v="RJB4"/>
    <s v="SPE SANEAMENTO RIO 4 S.A"/>
    <s v="5506946"/>
    <x v="121"/>
    <x v="0"/>
    <s v="DP98"/>
    <s v="Unidade"/>
    <s v="274"/>
    <d v="2026-06-19T00:00:00"/>
    <s v="Não"/>
    <s v="Spot"/>
    <s v="Não Urgente"/>
    <s v="Material"/>
    <s v="CONSTRUÇÃO CIVIL"/>
    <s v="U/46A.23153.A.RD.M.001"/>
    <s v="Rede de Distribuição"/>
    <m/>
    <n v="1141000001"/>
    <s v="6000153788"/>
    <s v="10"/>
    <x v="9"/>
    <n v="10"/>
    <d v="2026-06-19T00:00:00"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4"/>
    <n v="1"/>
  </r>
  <r>
    <x v="25"/>
    <x v="2"/>
    <s v="Q"/>
    <s v="Produção ind.projeto"/>
    <s v="ZMAT"/>
    <s v="CSIQUEIRA04"/>
    <x v="16"/>
    <d v="2026-06-11T00:00:00"/>
    <s v="Aprovado"/>
    <d v="2026-05-28T00:00:00"/>
    <s v="R4"/>
    <s v="RJB4"/>
    <s v="SPE SANEAMENTO RIO 4 S.A"/>
    <s v="4005795"/>
    <x v="122"/>
    <x v="18"/>
    <s v="DP96"/>
    <s v="Suprimentos"/>
    <s v="349"/>
    <d v="2026-06-10T00:00:00"/>
    <s v="Sim"/>
    <s v="Spot"/>
    <s v="Não Urgente"/>
    <s v="Material"/>
    <s v="LUBRIFICANTES"/>
    <s v="U/46A.23153.A.RD.M.001"/>
    <s v="Rede de Distribuição"/>
    <m/>
    <n v="1141000001"/>
    <s v="6000153068"/>
    <s v="20"/>
    <x v="2"/>
    <n v="25"/>
    <d v="2026-06-10T00:00:00"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4"/>
    <n v="1"/>
  </r>
  <r>
    <x v="2"/>
    <x v="16"/>
    <s v="Q"/>
    <s v="Produção ind.projeto"/>
    <s v="ZMAT"/>
    <s v="ACRUZ10"/>
    <x v="2"/>
    <d v="2026-01-26T00:00:00"/>
    <s v="Aprovado"/>
    <d v="2026-01-23T00:00:00"/>
    <s v="R4"/>
    <s v="RJB4"/>
    <s v="SPE SANEAMENTO RIO 4 S.A"/>
    <s v="5542635"/>
    <x v="123"/>
    <x v="19"/>
    <s v="DP98"/>
    <s v="Suprimentos"/>
    <m/>
    <m/>
    <s v="Sim"/>
    <s v="Spot"/>
    <s v="Não Urgente"/>
    <s v="Material"/>
    <s v="MATERIAIS MECÂNICOS"/>
    <s v="U/46A.23153.A.RD.M.001"/>
    <s v="Rede de Distribuição"/>
    <m/>
    <n v="1141000003"/>
    <m/>
    <m/>
    <x v="0"/>
    <m/>
    <m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1"/>
    <n v="1"/>
  </r>
  <r>
    <x v="21"/>
    <x v="2"/>
    <s v="Q"/>
    <s v="Produção ind.projeto"/>
    <s v="ZMAT"/>
    <s v="ACRUZ10"/>
    <x v="13"/>
    <d v="2026-04-24T00:00:00"/>
    <s v="Aprovado"/>
    <d v="2026-05-08T00:00:00"/>
    <s v="R4"/>
    <s v="RJB4"/>
    <s v="SPE SANEAMENTO RIO 4 S.A"/>
    <s v="5542635"/>
    <x v="123"/>
    <x v="19"/>
    <s v="DP98"/>
    <s v="Suprimentos"/>
    <s v="350"/>
    <d v="2026-05-15T00:00:00"/>
    <s v="Sim"/>
    <s v="Spot"/>
    <s v="Não Urgente"/>
    <s v="Material"/>
    <s v="MATERIAIS MECÂNICOS"/>
    <s v="U/46A.23153.A.RD.M.001"/>
    <s v="Rede de Distribuição"/>
    <m/>
    <n v="1141000003"/>
    <s v="6000151304"/>
    <s v="20"/>
    <x v="6"/>
    <n v="40"/>
    <d v="2026-05-15T00:00:00"/>
    <m/>
    <s v="0"/>
    <m/>
    <m/>
    <m/>
    <m/>
    <m/>
    <s v="154455"/>
    <s v="AVAL SUPRIMENTOS INDUSTRIAIS LTDA"/>
    <s v="ARIBACIG"/>
    <s v="Conexão ARIBACIG x S4P"/>
    <s v="PMNB"/>
    <x v="59"/>
    <s v="10"/>
    <s v="Não"/>
    <x v="11"/>
    <n v="46167"/>
    <s v="Liberado"/>
    <d v="2026-05-25T16:55:42"/>
    <m/>
    <d v="2026-06-15T00:00:00"/>
    <n v="46188"/>
    <n v="40"/>
    <m/>
    <n v="40"/>
    <m/>
    <m/>
    <n v="40"/>
    <m/>
    <m/>
    <m/>
    <x v="3"/>
    <n v="1"/>
  </r>
  <r>
    <x v="2"/>
    <x v="15"/>
    <s v="Q"/>
    <s v="Produção ind.projeto"/>
    <s v="ZMAT"/>
    <s v="ACRUZ10"/>
    <x v="2"/>
    <d v="2026-02-23T00:00:00"/>
    <s v="Aprovado"/>
    <d v="2026-01-23T00:00:00"/>
    <s v="R4"/>
    <s v="RJB4"/>
    <s v="SPE SANEAMENTO RIO 4 S.A"/>
    <s v="5504202"/>
    <x v="124"/>
    <x v="19"/>
    <s v="DP98"/>
    <s v="Suprimentos"/>
    <s v="263"/>
    <d v="2025-06-12T00:00:00"/>
    <s v="Sim"/>
    <s v="Contrato"/>
    <s v="Não Urgente"/>
    <s v="Material"/>
    <s v="MATERIAIS ELÉTRICOS"/>
    <s v="U/46A.23153.A.RD.M.001"/>
    <s v="Rede de Distribuição"/>
    <m/>
    <n v="1141000003"/>
    <m/>
    <m/>
    <x v="0"/>
    <m/>
    <m/>
    <s v="4600092951"/>
    <s v="880"/>
    <s v="Natasha Amancio"/>
    <n v="0"/>
    <n v="45820"/>
    <s v="Liberado"/>
    <m/>
    <s v="118269"/>
    <s v="COMERCIAL ELETRICA P J LTDA"/>
    <s v="USERJOBS"/>
    <s v="Usuário Jobs"/>
    <s v="PGLO"/>
    <x v="60"/>
    <s v="10"/>
    <s v="Sim"/>
    <x v="1"/>
    <n v="46045"/>
    <s v="Liberado"/>
    <d v="2026-01-26T11:40:07"/>
    <m/>
    <m/>
    <n v="46080"/>
    <n v="40"/>
    <m/>
    <n v="40"/>
    <m/>
    <m/>
    <n v="40"/>
    <m/>
    <m/>
    <m/>
    <x v="3"/>
    <n v="1"/>
  </r>
  <r>
    <x v="7"/>
    <x v="2"/>
    <s v="Q"/>
    <s v="Produção ind.projeto"/>
    <s v="ZMAT"/>
    <s v="ACRUZ10"/>
    <x v="7"/>
    <d v="2026-05-08T00:00:00"/>
    <s v="Aprovado"/>
    <d v="2026-05-08T00:00:00"/>
    <s v="R4"/>
    <s v="RJB4"/>
    <s v="SPE SANEAMENTO RIO 4 S.A"/>
    <s v="3009592"/>
    <x v="125"/>
    <x v="13"/>
    <s v="DP98"/>
    <s v="Unidade"/>
    <s v="37"/>
    <d v="2026-05-08T00:00:00"/>
    <s v="Não"/>
    <s v="Spot"/>
    <s v="Não Urgente"/>
    <s v="Material"/>
    <s v="MATERIAIS DE USO E CONSUMO"/>
    <s v="U/46A.23153.A.RD.M.001"/>
    <s v="Rede de Distribuição"/>
    <m/>
    <n v="1141000001"/>
    <s v="6000150706"/>
    <s v="20"/>
    <x v="10"/>
    <n v="16"/>
    <d v="2026-05-08T00:00:00"/>
    <m/>
    <s v="0"/>
    <m/>
    <m/>
    <m/>
    <m/>
    <m/>
    <s v="153151"/>
    <s v="EPI LIMP DISTRIBUIDORA COMERCIAL LT"/>
    <s v="ARIBACIG"/>
    <s v="Conexão ARIBACIG x S4P"/>
    <s v="PMNB"/>
    <x v="61"/>
    <s v="10"/>
    <s v="Sim"/>
    <x v="9"/>
    <n v="46160"/>
    <s v="Liberado"/>
    <d v="2026-05-18T16:44:19"/>
    <m/>
    <d v="2026-06-10T00:00:00"/>
    <n v="46161"/>
    <n v="16"/>
    <n v="16"/>
    <n v="0"/>
    <n v="46197"/>
    <n v="16"/>
    <n v="0"/>
    <d v="2026-06-24T00:00:00"/>
    <m/>
    <m/>
    <x v="2"/>
    <n v="1"/>
  </r>
  <r>
    <x v="9"/>
    <x v="2"/>
    <s v="Q"/>
    <s v="Produção ind.projeto"/>
    <s v="ZMAT"/>
    <s v="PMORAIS"/>
    <x v="3"/>
    <d v="2026-05-08T00:00:00"/>
    <s v="Aprovado"/>
    <d v="2026-03-23T00:00:00"/>
    <s v="R4"/>
    <s v="RJB4"/>
    <s v="SPE SANEAMENTO RIO 4 S.A"/>
    <s v="5508724"/>
    <x v="126"/>
    <x v="0"/>
    <s v="DP98"/>
    <s v="Unidade"/>
    <s v="317"/>
    <d v="2024-11-18T00:00:00"/>
    <s v="Sim"/>
    <s v="Contrato"/>
    <s v="Não Urgente"/>
    <s v="Material"/>
    <s v="FERRAMENTAS"/>
    <s v="U/46A.23153.A.RD.M.001"/>
    <s v="Rede de Distribuição"/>
    <m/>
    <n v="1141000003"/>
    <m/>
    <m/>
    <x v="0"/>
    <m/>
    <m/>
    <s v="4600081322"/>
    <s v="100"/>
    <s v="Fernando Gonçalo"/>
    <n v="0"/>
    <n v="45614"/>
    <s v="Liberado"/>
    <m/>
    <s v="117810"/>
    <s v="NORTEL SUPRIMENTOS INDUSTRIAIS LTDA"/>
    <s v="USERJOBS"/>
    <s v="Usuário Jobs"/>
    <s v="PGLO"/>
    <x v="62"/>
    <s v="10"/>
    <s v="Não"/>
    <x v="1"/>
    <n v="46104"/>
    <s v="Liberado"/>
    <d v="2026-04-07T09:33:47"/>
    <m/>
    <m/>
    <n v="46199"/>
    <n v="10"/>
    <n v="10"/>
    <n v="0"/>
    <n v="46184"/>
    <n v="10"/>
    <n v="0"/>
    <d v="2026-06-11T00:00:00"/>
    <m/>
    <m/>
    <x v="2"/>
    <n v="1"/>
  </r>
  <r>
    <x v="7"/>
    <x v="0"/>
    <s v="Q"/>
    <s v="Produção ind.projeto"/>
    <s v="ZMAT"/>
    <s v="ACRUZ10"/>
    <x v="7"/>
    <d v="2026-05-08T00:00:00"/>
    <s v="Aprovado"/>
    <d v="2026-05-08T00:00:00"/>
    <s v="R4"/>
    <s v="RJB4"/>
    <s v="SPE SANEAMENTO RIO 4 S.A"/>
    <s v="5002291"/>
    <x v="127"/>
    <x v="0"/>
    <s v="DP98"/>
    <s v="Unidade"/>
    <s v="317"/>
    <d v="2024-11-19T00:00:00"/>
    <s v="Sim"/>
    <s v="Contrato"/>
    <s v="Não Urgente"/>
    <s v="Material"/>
    <s v="FERRAMENTAS"/>
    <s v="U/46A.23153.A.RD.M.001"/>
    <s v="Rede de Distribuição"/>
    <m/>
    <n v="1141000001"/>
    <m/>
    <m/>
    <x v="0"/>
    <m/>
    <m/>
    <s v="4600081474"/>
    <s v="900"/>
    <s v="Fernando Gonçalo"/>
    <n v="0"/>
    <n v="45615"/>
    <s v="Liberado"/>
    <m/>
    <s v="119302"/>
    <s v="FERRAMENTASGERAISCOM.IMPDEFERRAM.EM"/>
    <s v="USERJOBS"/>
    <s v="Usuário Jobs"/>
    <s v="PGLO"/>
    <x v="63"/>
    <s v="10"/>
    <s v="Não"/>
    <x v="1"/>
    <n v="46150"/>
    <s v="Liberado"/>
    <d v="2026-05-21T10:19:41"/>
    <m/>
    <m/>
    <n v="46203"/>
    <n v="10"/>
    <n v="10"/>
    <n v="0"/>
    <n v="46189"/>
    <n v="10"/>
    <n v="0"/>
    <d v="2026-06-16T00:00:00"/>
    <m/>
    <m/>
    <x v="2"/>
    <n v="1"/>
  </r>
  <r>
    <x v="10"/>
    <x v="2"/>
    <s v="Q"/>
    <s v="Produção ind.projeto"/>
    <s v="ZMAT"/>
    <s v="ACRUZ10"/>
    <x v="9"/>
    <d v="2025-09-02T00:00:00"/>
    <s v="Aprovado"/>
    <d v="2025-09-03T00:00:00"/>
    <s v="R4"/>
    <s v="RJB4"/>
    <s v="SPE SANEAMENTO RIO 4 S.A"/>
    <s v="5002242"/>
    <x v="128"/>
    <x v="10"/>
    <s v="DP98"/>
    <s v="Suprimentos"/>
    <s v="332"/>
    <d v="2025-09-03T00:00:00"/>
    <s v="Sim"/>
    <s v="Spot"/>
    <s v="Não Urgente"/>
    <s v="Material"/>
    <s v="FERRAMENTAS"/>
    <s v="U/46A.23153.A.RD.M.001"/>
    <s v="Rede de Distribuição"/>
    <m/>
    <n v="1141000001"/>
    <s v="6000131108"/>
    <s v="130"/>
    <x v="13"/>
    <n v="3"/>
    <d v="2025-09-03T00:00:00"/>
    <m/>
    <s v="0"/>
    <m/>
    <m/>
    <m/>
    <m/>
    <m/>
    <s v="129738"/>
    <s v="CORDEIRO MAQUINAS E FERRAMENTASLTDA"/>
    <s v="ARIBACIG"/>
    <s v="Conexão ARIBACIG x S4P"/>
    <s v="PMNB"/>
    <x v="64"/>
    <s v="10"/>
    <s v="Não"/>
    <x v="14"/>
    <d v="2025-09-05T00:00:00"/>
    <s v="Liberado"/>
    <d v="2025-09-08T07:46:12"/>
    <m/>
    <d v="2025-09-29T00:00:00"/>
    <n v="45942"/>
    <n v="3"/>
    <m/>
    <n v="3"/>
    <m/>
    <m/>
    <n v="3"/>
    <m/>
    <m/>
    <m/>
    <x v="3"/>
    <n v="1"/>
  </r>
  <r>
    <x v="4"/>
    <x v="27"/>
    <s v="Q"/>
    <s v="Produção ind.projeto"/>
    <s v="ZMAT"/>
    <s v="ACRUZ10"/>
    <x v="4"/>
    <d v="2026-02-03T00:00:00"/>
    <s v="Aprovado"/>
    <d v="2026-02-12T00:00:00"/>
    <s v="R4"/>
    <s v="RJB4"/>
    <s v="SPE SANEAMENTO RIO 4 S.A"/>
    <s v="5002241"/>
    <x v="129"/>
    <x v="10"/>
    <s v="DP98"/>
    <s v="Suprimentos"/>
    <s v="63"/>
    <d v="2026-02-16T00:00:00"/>
    <s v="Sim"/>
    <s v="Spot"/>
    <s v="Não Urgente"/>
    <s v="Material"/>
    <s v="FERRAMENTAS"/>
    <s v="U/46A.23153.A.RD.M.001"/>
    <s v="Rede de Distribuição"/>
    <m/>
    <n v="1141000001"/>
    <s v="6000144391"/>
    <s v="360"/>
    <x v="11"/>
    <n v="3"/>
    <d v="2026-02-16T00:00:00"/>
    <m/>
    <s v="0"/>
    <m/>
    <m/>
    <m/>
    <m/>
    <m/>
    <s v="119302"/>
    <s v="FERRAMENTASGERAISCOM.IMPDEFERRAM.EM"/>
    <s v="ARIBACIG"/>
    <s v="Conexão ARIBACIG x S4P"/>
    <s v="PMNB"/>
    <x v="65"/>
    <s v="10"/>
    <s v="Não"/>
    <x v="10"/>
    <d v="2026-02-25T00:00:00"/>
    <s v="Liberado"/>
    <d v="2026-04-07T09:43:36"/>
    <m/>
    <d v="2026-04-10T00:00:00"/>
    <n v="46171"/>
    <n v="3"/>
    <n v="3"/>
    <n v="0"/>
    <n v="46147"/>
    <n v="3"/>
    <n v="0"/>
    <d v="2026-05-06T00:00:00"/>
    <m/>
    <m/>
    <x v="2"/>
    <n v="1"/>
  </r>
  <r>
    <x v="9"/>
    <x v="1"/>
    <s v="Q"/>
    <s v="Produção ind.projeto"/>
    <s v="ZMAT"/>
    <s v="PMORAIS"/>
    <x v="3"/>
    <d v="2026-04-16T00:00:00"/>
    <s v="Aprovado"/>
    <d v="2026-03-23T00:00:00"/>
    <s v="R4"/>
    <s v="RJB4"/>
    <s v="SPE SANEAMENTO RIO 4 S.A"/>
    <s v="5542384"/>
    <x v="130"/>
    <x v="1"/>
    <s v="DP96"/>
    <s v="Unidade"/>
    <s v="274"/>
    <d v="2026-03-25T00:00:00"/>
    <s v="Não"/>
    <s v="Spot"/>
    <s v="Não Urgente"/>
    <s v="Material"/>
    <s v="MATERIAIS ELÉTRICOS"/>
    <s v="U/46A.23153.A.RD.M.001"/>
    <s v="Rede de Distribuição"/>
    <m/>
    <n v="1141000003"/>
    <s v="6000147390"/>
    <s v="30"/>
    <x v="9"/>
    <n v="2"/>
    <d v="2026-03-25T00:00:00"/>
    <m/>
    <s v="0"/>
    <m/>
    <m/>
    <m/>
    <m/>
    <m/>
    <s v="155505"/>
    <s v="MIX FULL COMERCIO ATACADISTA LTDA"/>
    <s v="ARIBACIG"/>
    <s v="Conexão ARIBACIG x S4P"/>
    <s v="PMNB"/>
    <x v="16"/>
    <s v="20"/>
    <s v="Sim"/>
    <x v="8"/>
    <d v="2026-03-30T00:00:00"/>
    <s v="Liberado"/>
    <d v="2026-04-07T09:29:58"/>
    <m/>
    <d v="2026-04-15T00:00:00"/>
    <n v="46127"/>
    <n v="2"/>
    <n v="2"/>
    <n v="0"/>
    <n v="46128"/>
    <n v="2"/>
    <n v="0"/>
    <d v="2026-04-16T00:00:00"/>
    <m/>
    <m/>
    <x v="2"/>
    <n v="1"/>
  </r>
  <r>
    <x v="26"/>
    <x v="28"/>
    <s v="Q"/>
    <s v="Produção ind.projeto"/>
    <s v="ZMAT"/>
    <s v="ACRUZ10"/>
    <x v="19"/>
    <d v="2026-04-30T00:00:00"/>
    <s v="Aprovado"/>
    <d v="2026-04-20T00:00:00"/>
    <s v="R4"/>
    <s v="RJB4"/>
    <s v="SPE SANEAMENTO RIO 4 S.A"/>
    <s v="7502425"/>
    <x v="131"/>
    <x v="20"/>
    <s v="DP98"/>
    <s v="Unidade"/>
    <m/>
    <m/>
    <s v=""/>
    <s v="Spot"/>
    <s v="Não Urgente"/>
    <s v="Material"/>
    <s v="ÁGUA ENCANADA"/>
    <s v="U/46A.23153.A.RD.M.001"/>
    <s v="Rede de Distribuição"/>
    <m/>
    <n v="1141000003"/>
    <m/>
    <m/>
    <x v="0"/>
    <m/>
    <m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6"/>
    <n v="1"/>
  </r>
  <r>
    <x v="26"/>
    <x v="29"/>
    <s v="Q"/>
    <s v="Produção ind.projeto"/>
    <s v="ZMAT"/>
    <s v="ACRUZ10"/>
    <x v="19"/>
    <d v="2026-04-30T00:00:00"/>
    <s v="Aprovado"/>
    <d v="2026-04-20T00:00:00"/>
    <s v="R4"/>
    <s v="RJB4"/>
    <s v="SPE SANEAMENTO RIO 4 S.A"/>
    <s v="7502426"/>
    <x v="132"/>
    <x v="8"/>
    <s v="DP98"/>
    <s v="Suprimentos"/>
    <s v="264"/>
    <d v="2026-04-27T00:00:00"/>
    <s v=""/>
    <s v="Spot"/>
    <s v="Não Urgente"/>
    <s v="Material"/>
    <s v="EPI E EPC"/>
    <s v="U/46A.23153.A.RD.M.001"/>
    <s v="Rede de Distribuição"/>
    <m/>
    <n v="1141000003"/>
    <s v="6000149674"/>
    <s v="380"/>
    <x v="7"/>
    <n v="15"/>
    <d v="2026-04-27T00:00:00"/>
    <m/>
    <s v="0"/>
    <m/>
    <m/>
    <m/>
    <m/>
    <m/>
    <s v="147039"/>
    <s v="ARBEITMIT UNIFORMES CORPORATIVOS"/>
    <s v="ARIBACIG"/>
    <s v="Conexão ARIBACIG x S4P"/>
    <s v="PMNB"/>
    <x v="66"/>
    <s v="300"/>
    <s v="Sim"/>
    <x v="7"/>
    <d v="2026-05-29T00:00:00"/>
    <s v="Bloqueado, modificável c/valor"/>
    <m/>
    <m/>
    <m/>
    <m/>
    <n v="15"/>
    <m/>
    <n v="15"/>
    <m/>
    <m/>
    <n v="15"/>
    <m/>
    <m/>
    <m/>
    <x v="8"/>
    <n v="1"/>
  </r>
  <r>
    <x v="26"/>
    <x v="30"/>
    <s v="Q"/>
    <s v="Produção ind.projeto"/>
    <s v="ZMAT"/>
    <s v="ACRUZ10"/>
    <x v="19"/>
    <d v="2026-04-30T00:00:00"/>
    <s v="Aprovado"/>
    <d v="2026-04-20T00:00:00"/>
    <s v="R4"/>
    <s v="RJB4"/>
    <s v="SPE SANEAMENTO RIO 4 S.A"/>
    <s v="7502409"/>
    <x v="133"/>
    <x v="21"/>
    <s v="DP98"/>
    <s v="Suprimentos"/>
    <s v="264"/>
    <d v="2026-04-27T00:00:00"/>
    <s v=""/>
    <s v="Spot"/>
    <s v="Não Urgente"/>
    <s v="Material"/>
    <s v="EPI E EPC"/>
    <s v="U/46A.23153.A.RD.M.001"/>
    <s v="Rede de Distribuição"/>
    <m/>
    <n v="1141000003"/>
    <s v="6000149674"/>
    <s v="370"/>
    <x v="7"/>
    <n v="9"/>
    <d v="2026-04-27T00:00:00"/>
    <m/>
    <s v="0"/>
    <m/>
    <m/>
    <m/>
    <m/>
    <m/>
    <s v="147039"/>
    <s v="ARBEITMIT UNIFORMES CORPORATIVOS"/>
    <s v="ARIBACIG"/>
    <s v="Conexão ARIBACIG x S4P"/>
    <s v="PMNB"/>
    <x v="66"/>
    <s v="290"/>
    <s v="Sim"/>
    <x v="7"/>
    <d v="2026-05-29T00:00:00"/>
    <s v="Bloqueado, modificável c/valor"/>
    <m/>
    <m/>
    <m/>
    <m/>
    <n v="9"/>
    <m/>
    <n v="9"/>
    <m/>
    <m/>
    <n v="9"/>
    <m/>
    <m/>
    <m/>
    <x v="8"/>
    <n v="1"/>
  </r>
  <r>
    <x v="26"/>
    <x v="31"/>
    <s v="Q"/>
    <s v="Produção ind.projeto"/>
    <s v="ZMAT"/>
    <s v="ACRUZ10"/>
    <x v="19"/>
    <d v="2026-04-30T00:00:00"/>
    <s v="Aprovado"/>
    <d v="2026-04-20T00:00:00"/>
    <s v="R4"/>
    <s v="RJB4"/>
    <s v="SPE SANEAMENTO RIO 4 S.A"/>
    <s v="7502423"/>
    <x v="134"/>
    <x v="20"/>
    <s v="DP98"/>
    <s v="Suprimentos"/>
    <s v="264"/>
    <d v="2026-04-27T00:00:00"/>
    <s v=""/>
    <s v="Spot"/>
    <s v="Não Urgente"/>
    <s v="Material"/>
    <s v="EPI E EPC"/>
    <s v="U/46A.23153.A.RD.M.001"/>
    <s v="Rede de Distribuição"/>
    <m/>
    <n v="1141000003"/>
    <s v="6000149674"/>
    <s v="360"/>
    <x v="7"/>
    <n v="11"/>
    <d v="2026-04-27T00:00:00"/>
    <m/>
    <s v="0"/>
    <m/>
    <m/>
    <m/>
    <m/>
    <m/>
    <s v="147039"/>
    <s v="ARBEITMIT UNIFORMES CORPORATIVOS"/>
    <s v="ARIBACIG"/>
    <s v="Conexão ARIBACIG x S4P"/>
    <s v="PMNB"/>
    <x v="66"/>
    <s v="280"/>
    <s v="Sim"/>
    <x v="7"/>
    <d v="2026-05-29T00:00:00"/>
    <s v="Bloqueado, modificável c/valor"/>
    <m/>
    <m/>
    <m/>
    <m/>
    <n v="11"/>
    <m/>
    <n v="11"/>
    <m/>
    <m/>
    <n v="11"/>
    <m/>
    <m/>
    <m/>
    <x v="8"/>
    <n v="1"/>
  </r>
  <r>
    <x v="26"/>
    <x v="32"/>
    <s v="Q"/>
    <s v="Produção ind.projeto"/>
    <s v="ZMAT"/>
    <s v="ACRUZ10"/>
    <x v="19"/>
    <d v="2026-04-30T00:00:00"/>
    <s v="Aprovado"/>
    <d v="2026-04-20T00:00:00"/>
    <s v="R4"/>
    <s v="RJB4"/>
    <s v="SPE SANEAMENTO RIO 4 S.A"/>
    <s v="7502401"/>
    <x v="135"/>
    <x v="22"/>
    <s v="DP98"/>
    <s v="Suprimentos"/>
    <s v="264"/>
    <d v="2026-04-27T00:00:00"/>
    <s v=""/>
    <s v="Spot"/>
    <s v="Não Urgente"/>
    <s v="Material"/>
    <s v="EPI E EPC"/>
    <s v="U/46A.23153.A.RD.M.001"/>
    <s v="Rede de Distribuição"/>
    <m/>
    <n v="1141000003"/>
    <s v="6000149674"/>
    <s v="350"/>
    <x v="7"/>
    <n v="18"/>
    <d v="2026-04-27T00:00:00"/>
    <m/>
    <s v="0"/>
    <m/>
    <m/>
    <m/>
    <m/>
    <m/>
    <s v="147039"/>
    <s v="ARBEITMIT UNIFORMES CORPORATIVOS"/>
    <s v="ARIBACIG"/>
    <s v="Conexão ARIBACIG x S4P"/>
    <s v="PMNB"/>
    <x v="66"/>
    <s v="270"/>
    <s v="Sim"/>
    <x v="7"/>
    <d v="2026-05-29T00:00:00"/>
    <s v="Bloqueado, modificável c/valor"/>
    <m/>
    <m/>
    <m/>
    <m/>
    <n v="18"/>
    <m/>
    <n v="18"/>
    <m/>
    <m/>
    <n v="18"/>
    <m/>
    <m/>
    <m/>
    <x v="8"/>
    <n v="1"/>
  </r>
  <r>
    <x v="26"/>
    <x v="33"/>
    <s v="Q"/>
    <s v="Produção ind.projeto"/>
    <s v="ZMAT"/>
    <s v="ACRUZ10"/>
    <x v="19"/>
    <d v="2026-04-30T00:00:00"/>
    <s v="Aprovado"/>
    <d v="2026-04-20T00:00:00"/>
    <s v="R4"/>
    <s v="RJB4"/>
    <s v="SPE SANEAMENTO RIO 4 S.A"/>
    <s v="7502427"/>
    <x v="136"/>
    <x v="22"/>
    <s v="DP98"/>
    <s v="Suprimentos"/>
    <s v="264"/>
    <d v="2026-04-27T00:00:00"/>
    <s v=""/>
    <s v="Spot"/>
    <s v="Não Urgente"/>
    <s v="Material"/>
    <s v="EPI E EPC"/>
    <s v="U/46A.23153.A.RD.M.001"/>
    <s v="Rede de Distribuição"/>
    <m/>
    <n v="1141000003"/>
    <s v="6000149674"/>
    <s v="340"/>
    <x v="7"/>
    <n v="18"/>
    <d v="2026-04-27T00:00:00"/>
    <m/>
    <s v="0"/>
    <m/>
    <m/>
    <m/>
    <m/>
    <m/>
    <s v="147039"/>
    <s v="ARBEITMIT UNIFORMES CORPORATIVOS"/>
    <s v="ARIBACIG"/>
    <s v="Conexão ARIBACIG x S4P"/>
    <s v="PMNB"/>
    <x v="66"/>
    <s v="260"/>
    <s v="Sim"/>
    <x v="7"/>
    <n v="46171"/>
    <s v="Bloqueado, modificável c/valor"/>
    <m/>
    <m/>
    <m/>
    <m/>
    <n v="18"/>
    <m/>
    <n v="18"/>
    <m/>
    <m/>
    <n v="18"/>
    <m/>
    <m/>
    <m/>
    <x v="8"/>
    <n v="1"/>
  </r>
  <r>
    <x v="26"/>
    <x v="34"/>
    <s v="Q"/>
    <s v="Produção ind.projeto"/>
    <s v="ZMAT"/>
    <s v="ACRUZ10"/>
    <x v="19"/>
    <d v="2026-04-30T00:00:00"/>
    <s v="Aprovado"/>
    <d v="2026-04-20T00:00:00"/>
    <s v="R4"/>
    <s v="RJB4"/>
    <s v="SPE SANEAMENTO RIO 4 S.A"/>
    <s v="7502505"/>
    <x v="137"/>
    <x v="20"/>
    <s v="DP98"/>
    <s v="Suprimentos"/>
    <s v="264"/>
    <d v="2026-04-27T00:00:00"/>
    <s v=""/>
    <s v="Spot"/>
    <s v="Não Urgente"/>
    <s v="Material"/>
    <s v="UNIFORMES"/>
    <s v="U/46A.23153.A.RD.M.001"/>
    <s v="Rede de Distribuição"/>
    <m/>
    <n v="1141000003"/>
    <s v="6000149685"/>
    <s v="370"/>
    <x v="7"/>
    <n v="11"/>
    <n v="46139"/>
    <m/>
    <s v="0"/>
    <m/>
    <m/>
    <m/>
    <m/>
    <m/>
    <s v="147039"/>
    <s v="ARBEITMIT UNIFORMES CORPORATIVOS"/>
    <s v="ARIBACIG"/>
    <s v="Conexão ARIBACIG x S4P"/>
    <s v="PMNB"/>
    <x v="67"/>
    <s v="360"/>
    <s v="Sim"/>
    <x v="7"/>
    <d v="2026-06-02T00:00:00"/>
    <s v="Bloqueado, modificável c/valor"/>
    <m/>
    <m/>
    <m/>
    <m/>
    <n v="11"/>
    <m/>
    <n v="11"/>
    <m/>
    <m/>
    <n v="11"/>
    <m/>
    <m/>
    <m/>
    <x v="8"/>
    <n v="1"/>
  </r>
  <r>
    <x v="26"/>
    <x v="35"/>
    <s v="Q"/>
    <s v="Produção ind.projeto"/>
    <s v="ZMAT"/>
    <s v="ACRUZ10"/>
    <x v="19"/>
    <d v="2026-04-30T00:00:00"/>
    <s v="Aprovado"/>
    <d v="2026-04-20T00:00:00"/>
    <s v="R4"/>
    <s v="RJB4"/>
    <s v="SPE SANEAMENTO RIO 4 S.A"/>
    <s v="7502488"/>
    <x v="138"/>
    <x v="21"/>
    <s v="DP98"/>
    <s v="Suprimentos"/>
    <s v="264"/>
    <d v="2026-04-27T00:00:00"/>
    <s v=""/>
    <s v="Spot"/>
    <s v="Não Urgente"/>
    <s v="Material"/>
    <s v="UNIFORMES"/>
    <s v="U/46A.23153.A.RD.M.001"/>
    <s v="Rede de Distribuição"/>
    <m/>
    <n v="1141000003"/>
    <s v="6000149685"/>
    <s v="360"/>
    <x v="7"/>
    <n v="9"/>
    <n v="46139"/>
    <m/>
    <s v="0"/>
    <m/>
    <m/>
    <m/>
    <m/>
    <m/>
    <s v="147039"/>
    <s v="ARBEITMIT UNIFORMES CORPORATIVOS"/>
    <s v="ARIBACIG"/>
    <s v="Conexão ARIBACIG x S4P"/>
    <s v="PMNB"/>
    <x v="67"/>
    <s v="350"/>
    <s v="Sim"/>
    <x v="7"/>
    <d v="2026-06-02T00:00:00"/>
    <s v="Bloqueado, modificável c/valor"/>
    <m/>
    <m/>
    <m/>
    <m/>
    <n v="9"/>
    <m/>
    <n v="9"/>
    <m/>
    <m/>
    <n v="9"/>
    <m/>
    <m/>
    <m/>
    <x v="8"/>
    <n v="1"/>
  </r>
  <r>
    <x v="26"/>
    <x v="36"/>
    <s v="Q"/>
    <s v="Produção ind.projeto"/>
    <s v="ZMAT"/>
    <s v="ACRUZ10"/>
    <x v="19"/>
    <d v="2026-04-30T00:00:00"/>
    <s v="Aprovado"/>
    <d v="2026-04-20T00:00:00"/>
    <s v="R4"/>
    <s v="RJB4"/>
    <s v="SPE SANEAMENTO RIO 4 S.A"/>
    <s v="7502507"/>
    <x v="139"/>
    <x v="20"/>
    <s v="DP98"/>
    <s v="Suprimentos"/>
    <s v="264"/>
    <n v="46139"/>
    <s v=""/>
    <s v="Spot"/>
    <s v="Não Urgente"/>
    <s v="Material"/>
    <s v="UNIFORMES"/>
    <s v="U/46A.23153.A.RD.M.001"/>
    <s v="Rede de Distribuição"/>
    <m/>
    <n v="1141000003"/>
    <s v="6000149685"/>
    <s v="350"/>
    <x v="7"/>
    <n v="11"/>
    <n v="46139"/>
    <m/>
    <s v="0"/>
    <m/>
    <m/>
    <m/>
    <m/>
    <m/>
    <s v="147039"/>
    <s v="ARBEITMIT UNIFORMES CORPORATIVOS"/>
    <s v="ARIBACIG"/>
    <s v="Conexão ARIBACIG x S4P"/>
    <s v="PMNB"/>
    <x v="67"/>
    <s v="340"/>
    <s v="Sim"/>
    <x v="7"/>
    <n v="46175"/>
    <s v="Bloqueado, modificável c/valor"/>
    <m/>
    <m/>
    <m/>
    <m/>
    <n v="11"/>
    <m/>
    <n v="11"/>
    <m/>
    <m/>
    <n v="11"/>
    <m/>
    <m/>
    <m/>
    <x v="8"/>
    <n v="1"/>
  </r>
  <r>
    <x v="26"/>
    <x v="37"/>
    <s v="Q"/>
    <s v="Produção ind.projeto"/>
    <s v="ZMAT"/>
    <s v="ACRUZ10"/>
    <x v="19"/>
    <d v="2026-04-30T00:00:00"/>
    <s v="Aprovado"/>
    <d v="2026-04-20T00:00:00"/>
    <s v="R4"/>
    <s v="RJB4"/>
    <s v="SPE SANEAMENTO RIO 4 S.A"/>
    <s v="7502506"/>
    <x v="140"/>
    <x v="22"/>
    <s v="DP98"/>
    <s v="Suprimentos"/>
    <s v="264"/>
    <n v="46139"/>
    <s v=""/>
    <s v="Spot"/>
    <s v="Não Urgente"/>
    <s v="Material"/>
    <s v="UNIFORMES"/>
    <s v="U/46A.23153.A.RD.M.001"/>
    <s v="Rede de Distribuição"/>
    <m/>
    <n v="1141000003"/>
    <s v="6000149685"/>
    <s v="340"/>
    <x v="7"/>
    <n v="18"/>
    <n v="46139"/>
    <m/>
    <s v="0"/>
    <m/>
    <m/>
    <m/>
    <m/>
    <m/>
    <s v="147039"/>
    <s v="ARBEITMIT UNIFORMES CORPORATIVOS"/>
    <s v="ARIBACIG"/>
    <s v="Conexão ARIBACIG x S4P"/>
    <s v="PMNB"/>
    <x v="67"/>
    <s v="330"/>
    <s v="Sim"/>
    <x v="7"/>
    <n v="46175"/>
    <s v="Bloqueado, modificável c/valor"/>
    <m/>
    <m/>
    <m/>
    <m/>
    <n v="18"/>
    <m/>
    <n v="18"/>
    <m/>
    <m/>
    <n v="18"/>
    <m/>
    <m/>
    <m/>
    <x v="8"/>
    <n v="1"/>
  </r>
  <r>
    <x v="26"/>
    <x v="38"/>
    <s v="Q"/>
    <s v="Produção ind.projeto"/>
    <s v="ZMAT"/>
    <s v="ACRUZ10"/>
    <x v="19"/>
    <d v="2026-04-30T00:00:00"/>
    <s v="Aprovado"/>
    <d v="2026-04-20T00:00:00"/>
    <s v="R4"/>
    <s v="RJB4"/>
    <s v="SPE SANEAMENTO RIO 4 S.A"/>
    <s v="7502498"/>
    <x v="141"/>
    <x v="8"/>
    <s v="DP98"/>
    <s v="Suprimentos"/>
    <s v="264"/>
    <n v="46139"/>
    <s v=""/>
    <s v="Spot"/>
    <s v="Não Urgente"/>
    <s v="Material"/>
    <s v="UNIFORMES"/>
    <s v="U/46A.23153.A.RD.M.001"/>
    <s v="Rede de Distribuição"/>
    <m/>
    <n v="1141000003"/>
    <s v="6000149685"/>
    <s v="330"/>
    <x v="7"/>
    <n v="15"/>
    <n v="46139"/>
    <m/>
    <s v="0"/>
    <m/>
    <m/>
    <m/>
    <m/>
    <m/>
    <s v="147039"/>
    <s v="ARBEITMIT UNIFORMES CORPORATIVOS"/>
    <s v="ARIBACIG"/>
    <s v="Conexão ARIBACIG x S4P"/>
    <s v="PMNB"/>
    <x v="67"/>
    <s v="320"/>
    <s v="Sim"/>
    <x v="7"/>
    <n v="46175"/>
    <s v="Bloqueado, modificável c/valor"/>
    <m/>
    <m/>
    <m/>
    <m/>
    <n v="15"/>
    <m/>
    <n v="15"/>
    <m/>
    <m/>
    <n v="15"/>
    <m/>
    <m/>
    <m/>
    <x v="8"/>
    <n v="1"/>
  </r>
  <r>
    <x v="26"/>
    <x v="39"/>
    <s v="Q"/>
    <s v="Produção ind.projeto"/>
    <s v="ZMAT"/>
    <s v="ACRUZ10"/>
    <x v="19"/>
    <d v="2026-04-30T00:00:00"/>
    <s v="Aprovado"/>
    <d v="2026-04-20T00:00:00"/>
    <s v="R4"/>
    <s v="RJB4"/>
    <s v="SPE SANEAMENTO RIO 4 S.A"/>
    <s v="7502499"/>
    <x v="142"/>
    <x v="22"/>
    <s v="DP98"/>
    <s v="Suprimentos"/>
    <s v="264"/>
    <n v="46139"/>
    <s v=""/>
    <s v="Spot"/>
    <s v="Não Urgente"/>
    <s v="Material"/>
    <s v="UNIFORMES"/>
    <s v="U/46A.23153.A.RD.M.001"/>
    <s v="Rede de Distribuição"/>
    <m/>
    <n v="1141000003"/>
    <s v="6000149685"/>
    <s v="320"/>
    <x v="7"/>
    <n v="18"/>
    <n v="46139"/>
    <m/>
    <s v="0"/>
    <m/>
    <m/>
    <m/>
    <m/>
    <m/>
    <s v="147039"/>
    <s v="ARBEITMIT UNIFORMES CORPORATIVOS"/>
    <s v="ARIBACIG"/>
    <s v="Conexão ARIBACIG x S4P"/>
    <s v="PMNB"/>
    <x v="67"/>
    <s v="310"/>
    <s v="Sim"/>
    <x v="7"/>
    <n v="46175"/>
    <s v="Bloqueado, modificável c/valor"/>
    <m/>
    <m/>
    <m/>
    <m/>
    <n v="18"/>
    <m/>
    <n v="18"/>
    <m/>
    <m/>
    <n v="18"/>
    <m/>
    <m/>
    <m/>
    <x v="8"/>
    <n v="1"/>
  </r>
  <r>
    <x v="4"/>
    <x v="40"/>
    <s v="Q"/>
    <s v="Produção ind.projeto"/>
    <s v="ZMAT"/>
    <s v="ACRUZ10"/>
    <x v="4"/>
    <d v="2026-03-25T00:00:00"/>
    <s v="Aprovado"/>
    <d v="2026-02-12T00:00:00"/>
    <s v="R4"/>
    <s v="RJB4"/>
    <s v="SPE SANEAMENTO RIO 4 S.A"/>
    <s v="5001155"/>
    <x v="143"/>
    <x v="12"/>
    <s v="DP98"/>
    <s v="Suprimentos"/>
    <s v="73"/>
    <n v="46070"/>
    <s v="Sim"/>
    <s v="Spot"/>
    <s v="Não Urgente"/>
    <s v="Material"/>
    <s v="MATERIAIS ELÉTRICOS"/>
    <s v="U/46A.23153.A.RD.M.001"/>
    <s v="Rede de Distribuição"/>
    <m/>
    <n v="1141000003"/>
    <s v="6000144464"/>
    <s v="10"/>
    <x v="8"/>
    <n v="100"/>
    <n v="46070"/>
    <m/>
    <s v="0"/>
    <m/>
    <m/>
    <m/>
    <m/>
    <m/>
    <s v="152899"/>
    <s v="MULTFER SOLUCOES PARA INDUSTRIA E C"/>
    <s v="ARIBACIG"/>
    <s v="Conexão ARIBACIG x S4P"/>
    <s v="PMNB"/>
    <x v="68"/>
    <s v="10"/>
    <s v="Não"/>
    <x v="13"/>
    <n v="46114"/>
    <s v="Liberado"/>
    <d v="2026-04-07T09:25:32"/>
    <m/>
    <d v="2026-04-23T00:00:00"/>
    <n v="46135"/>
    <n v="100"/>
    <n v="100"/>
    <n v="0"/>
    <n v="46191"/>
    <n v="100"/>
    <n v="0"/>
    <d v="2026-06-18T00:00:00"/>
    <m/>
    <m/>
    <x v="2"/>
    <n v="1"/>
  </r>
  <r>
    <x v="4"/>
    <x v="41"/>
    <s v="Q"/>
    <s v="Produção ind.projeto"/>
    <s v="ZMAT"/>
    <s v="ACRUZ10"/>
    <x v="4"/>
    <d v="2026-03-25T00:00:00"/>
    <s v="Aprovado"/>
    <d v="2026-02-12T00:00:00"/>
    <s v="R4"/>
    <s v="RJB4"/>
    <s v="SPE SANEAMENTO RIO 4 S.A"/>
    <s v="5001074"/>
    <x v="144"/>
    <x v="12"/>
    <s v="DP98"/>
    <s v="Suprimentos"/>
    <s v="73"/>
    <d v="2026-02-17T00:00:00"/>
    <s v="Sim"/>
    <s v="Spot"/>
    <s v="Não Urgente"/>
    <s v="Material"/>
    <s v="MATERIAIS ELÉTRICOS"/>
    <s v="U/46A.23153.A.RD.M.001"/>
    <s v="Rede de Distribuição"/>
    <m/>
    <n v="1141000003"/>
    <s v="6000144464"/>
    <s v="20"/>
    <x v="8"/>
    <n v="100"/>
    <d v="2026-02-17T00:00:00"/>
    <m/>
    <s v="0"/>
    <m/>
    <m/>
    <m/>
    <m/>
    <m/>
    <s v="152899"/>
    <s v="MULTFER SOLUCOES PARA INDUSTRIA E C"/>
    <s v="ARIBACIG"/>
    <s v="Conexão ARIBACIG x S4P"/>
    <s v="PMNB"/>
    <x v="68"/>
    <s v="20"/>
    <s v="Não"/>
    <x v="13"/>
    <n v="46114"/>
    <s v="Liberado"/>
    <d v="2026-04-07T09:25:32"/>
    <m/>
    <d v="2026-04-23T00:00:00"/>
    <n v="46135"/>
    <n v="100"/>
    <n v="100"/>
    <n v="0"/>
    <n v="46191"/>
    <n v="100"/>
    <n v="0"/>
    <d v="2026-06-18T00:00:00"/>
    <m/>
    <m/>
    <x v="2"/>
    <n v="1"/>
  </r>
  <r>
    <x v="27"/>
    <x v="2"/>
    <s v="Q"/>
    <s v="Produção ind.projeto"/>
    <s v="ZMAT"/>
    <s v="ACRUZ10"/>
    <x v="20"/>
    <d v="2026-04-14T00:00:00"/>
    <s v="Aprovado"/>
    <d v="2026-04-07T00:00:00"/>
    <s v="R4"/>
    <s v="RJB4"/>
    <s v="SPE SANEAMENTO RIO 4 S.A"/>
    <s v="5001074"/>
    <x v="144"/>
    <x v="12"/>
    <s v="DP98"/>
    <s v="Suprimentos"/>
    <s v="55"/>
    <d v="2026-05-07T00:00:00"/>
    <s v="Sim"/>
    <s v="Spot"/>
    <s v="Não Urgente"/>
    <s v="Material"/>
    <s v="MATERIAIS ELÉTRICOS"/>
    <s v="U/46A.23153.A.RD.M.001"/>
    <s v="Rede de Distribuição"/>
    <m/>
    <n v="1141000003"/>
    <s v="6000150531"/>
    <s v="440"/>
    <x v="14"/>
    <n v="100"/>
    <n v="46149"/>
    <m/>
    <s v="0"/>
    <m/>
    <m/>
    <m/>
    <m/>
    <m/>
    <s v="131287"/>
    <s v="CABINE RIO COMERCIAL ELETRICA LTDA"/>
    <s v="ARIBACIG"/>
    <s v="Conexão ARIBACIG x S4P"/>
    <s v="PMNB"/>
    <x v="55"/>
    <s v="30"/>
    <s v="Sim"/>
    <x v="16"/>
    <d v="2026-06-22T00:00:00"/>
    <s v="Liberado"/>
    <d v="2026-06-22T13:57:13"/>
    <m/>
    <d v="2026-06-25T00:00:00"/>
    <d v="2026-06-25T00:00:00"/>
    <n v="100"/>
    <m/>
    <n v="100"/>
    <m/>
    <m/>
    <n v="100"/>
    <m/>
    <m/>
    <m/>
    <x v="3"/>
    <n v="1"/>
  </r>
  <r>
    <x v="11"/>
    <x v="22"/>
    <s v="Q"/>
    <s v="Produção ind.projeto"/>
    <s v="ZMAT"/>
    <s v="ACRUZ10"/>
    <x v="10"/>
    <d v="2025-11-11T00:00:00"/>
    <s v="Aprovado"/>
    <d v="2025-09-22T00:00:00"/>
    <s v="R4"/>
    <s v="RJB4"/>
    <s v="SPE SANEAMENTO RIO 4 S.A"/>
    <s v="5019701"/>
    <x v="145"/>
    <x v="23"/>
    <s v="DP98"/>
    <s v="Suprimentos"/>
    <s v="263"/>
    <d v="2025-05-14T00:00:00"/>
    <s v="Sim"/>
    <s v="Contrato"/>
    <s v="Não Urgente"/>
    <s v="Material"/>
    <s v="MATERIAIS ELÉTRICOS"/>
    <s v="U/46A.23153.A.RD.M.001"/>
    <s v="Rede de Distribuição"/>
    <m/>
    <n v="1141000001"/>
    <m/>
    <m/>
    <x v="0"/>
    <m/>
    <m/>
    <s v="4600091373"/>
    <s v="800"/>
    <s v="Natasha Amancio"/>
    <n v="0"/>
    <n v="45791"/>
    <s v="Liberado"/>
    <m/>
    <s v="117810"/>
    <s v="NORTEL SUPRIMENTOS INDUSTRIAIS LTDA"/>
    <s v="USERJOBS"/>
    <s v="Usuário Jobs"/>
    <s v="PGLO"/>
    <x v="69"/>
    <s v="10"/>
    <s v="Não"/>
    <x v="1"/>
    <d v="2025-09-22T00:00:00"/>
    <s v="Liberado"/>
    <d v="2025-09-22T16:45:23"/>
    <m/>
    <m/>
    <n v="46012"/>
    <n v="600"/>
    <n v="600"/>
    <n v="0"/>
    <n v="46008"/>
    <n v="600"/>
    <n v="0"/>
    <d v="2025-12-17T00:00:00"/>
    <m/>
    <m/>
    <x v="2"/>
    <n v="1"/>
  </r>
  <r>
    <x v="11"/>
    <x v="10"/>
    <s v="Q"/>
    <s v="Produção ind.projeto"/>
    <s v="ZMAT"/>
    <s v="ACRUZ10"/>
    <x v="10"/>
    <d v="2025-11-11T00:00:00"/>
    <s v="Aprovado"/>
    <d v="2025-09-22T00:00:00"/>
    <s v="R4"/>
    <s v="RJB4"/>
    <s v="SPE SANEAMENTO RIO 4 S.A"/>
    <s v="5019778"/>
    <x v="146"/>
    <x v="23"/>
    <s v="DP98"/>
    <s v="Suprimentos"/>
    <s v="263"/>
    <d v="2025-05-14T00:00:00"/>
    <s v="Sim"/>
    <s v="Contrato"/>
    <s v="Não Urgente"/>
    <s v="Material"/>
    <s v="MATERIAIS ELÉTRICOS"/>
    <s v="U/46A.23153.A.RD.M.001"/>
    <s v="Rede de Distribuição"/>
    <m/>
    <n v="1141000001"/>
    <m/>
    <m/>
    <x v="0"/>
    <m/>
    <m/>
    <s v="4600091373"/>
    <s v="810"/>
    <s v="Natasha Amancio"/>
    <n v="0"/>
    <n v="45791"/>
    <s v="Liberado"/>
    <m/>
    <s v="117810"/>
    <s v="NORTEL SUPRIMENTOS INDUSTRIAIS LTDA"/>
    <s v="USERJOBS"/>
    <s v="Usuário Jobs"/>
    <s v="PGLO"/>
    <x v="69"/>
    <s v="20"/>
    <s v="Não"/>
    <x v="1"/>
    <d v="2025-09-22T00:00:00"/>
    <s v="Liberado"/>
    <d v="2025-09-22T16:45:23"/>
    <m/>
    <m/>
    <n v="46012"/>
    <n v="600"/>
    <n v="600"/>
    <n v="0"/>
    <d v="2025-12-17T00:00:00"/>
    <n v="600"/>
    <n v="0"/>
    <d v="2025-12-17T00:00:00"/>
    <m/>
    <m/>
    <x v="2"/>
    <n v="1"/>
  </r>
  <r>
    <x v="27"/>
    <x v="4"/>
    <s v="Q"/>
    <s v="Produção ind.projeto"/>
    <s v="ZMAT"/>
    <s v="ACRUZ10"/>
    <x v="20"/>
    <d v="2026-04-14T00:00:00"/>
    <s v="Aprovado"/>
    <d v="2026-04-07T00:00:00"/>
    <s v="R4"/>
    <s v="RJB4"/>
    <s v="SPE SANEAMENTO RIO 4 S.A"/>
    <s v="5000942"/>
    <x v="147"/>
    <x v="24"/>
    <s v="DP98"/>
    <s v="Suprimentos"/>
    <s v="73"/>
    <d v="2026-05-29T00:00:00"/>
    <s v="Sim"/>
    <s v="Spot"/>
    <s v="Não Urgente"/>
    <s v="Material"/>
    <s v="MATERIAIS ELÉTRICOS"/>
    <s v="U/46A.23153.A.RD.M.001"/>
    <s v="Rede de Distribuição"/>
    <m/>
    <n v="1141000003"/>
    <s v="6000152408"/>
    <s v="40"/>
    <x v="8"/>
    <n v="200"/>
    <d v="2026-05-29T00:00:00"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4"/>
    <n v="1"/>
  </r>
  <r>
    <x v="27"/>
    <x v="1"/>
    <s v="Q"/>
    <s v="Produção ind.projeto"/>
    <s v="ZMAT"/>
    <s v="ACRUZ10"/>
    <x v="20"/>
    <d v="2026-04-14T00:00:00"/>
    <s v="Aprovado"/>
    <d v="2026-04-07T00:00:00"/>
    <s v="R4"/>
    <s v="RJB4"/>
    <s v="SPE SANEAMENTO RIO 4 S.A"/>
    <s v="5022831"/>
    <x v="148"/>
    <x v="12"/>
    <s v="DP98"/>
    <s v="Suprimentos"/>
    <s v="73"/>
    <d v="2026-05-29T00:00:00"/>
    <s v="Sim"/>
    <s v="Spot"/>
    <s v="Não Urgente"/>
    <s v="Material"/>
    <s v="MATERIAIS ELÉTRICOS"/>
    <s v="U/46A.23153.A.RD.M.001"/>
    <s v="Rede de Distribuição"/>
    <m/>
    <n v="1141000003"/>
    <s v="6000152408"/>
    <s v="30"/>
    <x v="8"/>
    <n v="100"/>
    <d v="2026-05-29T00:00:00"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4"/>
    <n v="1"/>
  </r>
  <r>
    <x v="27"/>
    <x v="0"/>
    <s v="Q"/>
    <s v="Produção ind.projeto"/>
    <s v="ZMAT"/>
    <s v="ACRUZ10"/>
    <x v="20"/>
    <d v="2026-04-14T00:00:00"/>
    <s v="Aprovado"/>
    <d v="2026-04-07T00:00:00"/>
    <s v="R4"/>
    <s v="RJB4"/>
    <s v="SPE SANEAMENTO RIO 4 S.A"/>
    <s v="5021809"/>
    <x v="149"/>
    <x v="12"/>
    <s v="DP98"/>
    <s v="Suprimentos"/>
    <s v="73"/>
    <d v="2026-05-29T00:00:00"/>
    <s v="Sim"/>
    <s v="Spot"/>
    <s v="Não Urgente"/>
    <s v="Material"/>
    <s v="MATERIAIS ELÉTRICOS"/>
    <s v="U/46A.23153.A.RD.M.001"/>
    <s v="Rede de Distribuição"/>
    <m/>
    <n v="1141000003"/>
    <s v="6000152408"/>
    <s v="20"/>
    <x v="8"/>
    <n v="100"/>
    <n v="46171"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4"/>
    <n v="1"/>
  </r>
  <r>
    <x v="28"/>
    <x v="2"/>
    <s v="Q"/>
    <s v="Produção ind.projeto"/>
    <s v="ZMAT"/>
    <s v="CSIQUEIRA04"/>
    <x v="21"/>
    <d v="2026-05-26T00:00:00"/>
    <s v="Aprovado"/>
    <d v="2026-05-27T00:00:00"/>
    <s v="R4"/>
    <s v="RJB4"/>
    <s v="SPE SANEAMENTO RIO 4 S.A"/>
    <s v="4009756"/>
    <x v="150"/>
    <x v="0"/>
    <s v="DP96"/>
    <s v="Suprimentos"/>
    <m/>
    <m/>
    <s v="Sim"/>
    <s v="Spot"/>
    <s v="Não Urgente"/>
    <s v="Material"/>
    <s v="TUBOS E CONEXÕES DE AÇO"/>
    <s v="U/46A.23153.A.RD.M.001"/>
    <s v="Rede de Distribuição"/>
    <m/>
    <n v="1141000003"/>
    <m/>
    <m/>
    <x v="0"/>
    <m/>
    <m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6"/>
    <n v="1"/>
  </r>
  <r>
    <x v="29"/>
    <x v="2"/>
    <s v="Q"/>
    <s v="Produção ind.projeto"/>
    <s v="ZMAT"/>
    <s v="ACRUZ10"/>
    <x v="18"/>
    <d v="2025-07-17T00:00:00"/>
    <s v="Aprovado"/>
    <d v="2025-07-18T00:00:00"/>
    <s v="R4"/>
    <s v="RJB4"/>
    <s v="SPE SANEAMENTO RIO 4 S.A"/>
    <s v="5502622"/>
    <x v="151"/>
    <x v="0"/>
    <s v="DP98"/>
    <s v="Suprimentos"/>
    <m/>
    <m/>
    <s v="Sim"/>
    <s v="Spot"/>
    <s v="Não Urgente"/>
    <s v="Material"/>
    <s v="FERRAMENTAS"/>
    <s v="U/46A.23153.A.RD.M.001"/>
    <s v="Rede de Distribuição"/>
    <m/>
    <n v="1141000001"/>
    <m/>
    <m/>
    <x v="0"/>
    <m/>
    <m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1"/>
    <n v="1"/>
  </r>
  <r>
    <x v="3"/>
    <x v="4"/>
    <s v="Q"/>
    <s v="Produção ind.projeto"/>
    <s v="ZMAT"/>
    <s v="PMORAIS"/>
    <x v="22"/>
    <n v="46128"/>
    <s v="Aprovado"/>
    <n v="46104"/>
    <s v="R4"/>
    <s v="RJB4"/>
    <s v="SPE SANEAMENTO RIO 4 S.A"/>
    <s v="5502622"/>
    <x v="151"/>
    <x v="0"/>
    <s v="DP98"/>
    <s v="Suprimentos"/>
    <s v="349"/>
    <n v="46178"/>
    <s v="Sim"/>
    <s v="Spot"/>
    <s v="Não Urgente"/>
    <s v="Material"/>
    <s v="FERRAMENTAS"/>
    <s v="U/46A.23153.A.RD.M.001"/>
    <s v="Rede de Distribuição"/>
    <m/>
    <n v="1141000003"/>
    <s v="6000152844"/>
    <s v="10"/>
    <x v="2"/>
    <n v="10"/>
    <n v="46178"/>
    <m/>
    <m/>
    <m/>
    <m/>
    <m/>
    <m/>
    <m/>
    <m/>
    <m/>
    <m/>
    <m/>
    <m/>
    <x v="0"/>
    <m/>
    <s v=""/>
    <x v="0"/>
    <m/>
    <m/>
    <m/>
    <m/>
    <m/>
    <m/>
    <m/>
    <m/>
    <m/>
    <m/>
    <m/>
    <m/>
    <m/>
    <m/>
    <m/>
    <x v="4"/>
    <n v="1"/>
  </r>
  <r>
    <x v="30"/>
    <x v="0"/>
    <s v="Q"/>
    <s v="Produção ind.projeto"/>
    <s v="ZMAT"/>
    <s v="ACRUZ10"/>
    <x v="23"/>
    <n v="45999"/>
    <s v="Aprovado"/>
    <n v="45964"/>
    <s v="R4"/>
    <s v="RJB4"/>
    <s v="SPE SANEAMENTO RIO 4 S.A"/>
    <s v="4007463"/>
    <x v="152"/>
    <x v="5"/>
    <s v="DP98"/>
    <s v="Unidade"/>
    <s v="156"/>
    <n v="45897"/>
    <s v="Não"/>
    <s v="Contrato"/>
    <s v="Não Urgente"/>
    <s v="Material"/>
    <s v="MATERIAIS DE USO E CONSUMO"/>
    <s v="U/46A.23153.A.RD.M.001"/>
    <s v="Rede de Distribuição"/>
    <m/>
    <n v="1141000003"/>
    <m/>
    <m/>
    <x v="0"/>
    <m/>
    <m/>
    <s v="4600096651"/>
    <s v="1000"/>
    <s v="André Queiroz"/>
    <n v="0"/>
    <n v="45897"/>
    <s v="Liberado"/>
    <m/>
    <s v="106205"/>
    <s v="SUPRICORP SUPRIMENTOS LTDA"/>
    <s v="USERJOBS"/>
    <s v="Usuário Jobs"/>
    <s v="PGLO"/>
    <x v="70"/>
    <s v="10"/>
    <s v="Não"/>
    <x v="12"/>
    <n v="45964"/>
    <s v="Liberado"/>
    <n v="45972.373981481483"/>
    <m/>
    <m/>
    <n v="46007"/>
    <n v="20"/>
    <n v="20"/>
    <n v="0"/>
    <n v="45995"/>
    <n v="20"/>
    <n v="0"/>
    <n v="45995"/>
    <m/>
    <m/>
    <x v="2"/>
    <n v="1"/>
  </r>
  <r>
    <x v="31"/>
    <x v="2"/>
    <s v="Q"/>
    <s v="Produção ind.projeto"/>
    <s v="ZMAT"/>
    <s v="ACRUZ10"/>
    <x v="24"/>
    <n v="45754"/>
    <s v="Aprovado"/>
    <n v="45785"/>
    <s v="R4"/>
    <s v="RJB4"/>
    <s v="SPE SANEAMENTO RIO 4 S.A"/>
    <s v="7502036"/>
    <x v="153"/>
    <x v="2"/>
    <s v="DP96"/>
    <s v="Suprimentos"/>
    <s v="264"/>
    <n v="45789"/>
    <s v="Sim"/>
    <s v="Spot"/>
    <s v="Não Urgente"/>
    <s v="Material"/>
    <s v="EPI E EPC"/>
    <s v="U/46A.23153.A.RD.M.001"/>
    <s v="Rede de Distribuição"/>
    <m/>
    <n v="1141000003"/>
    <s v="6000121460"/>
    <s v="10"/>
    <x v="7"/>
    <n v="4"/>
    <n v="45789"/>
    <m/>
    <s v="0"/>
    <m/>
    <m/>
    <m/>
    <m/>
    <m/>
    <s v="102933"/>
    <s v="MULTISEG COMERCIO DE EQUIPAMENTOSDE"/>
    <s v="ARIBACIG"/>
    <s v="Conexão ARIBACIG x S4P"/>
    <s v="PMNB"/>
    <x v="71"/>
    <s v="10"/>
    <s v="Não"/>
    <x v="7"/>
    <n v="45793"/>
    <s v="Bloqueado, modificável c/valor"/>
    <m/>
    <m/>
    <m/>
    <m/>
    <n v="4"/>
    <m/>
    <n v="4"/>
    <m/>
    <m/>
    <n v="4"/>
    <m/>
    <m/>
    <m/>
    <x v="8"/>
    <n v="1"/>
  </r>
  <r>
    <x v="11"/>
    <x v="14"/>
    <s v="Q"/>
    <s v="Produção ind.projeto"/>
    <s v="ZMAT"/>
    <s v="ACRUZ10"/>
    <x v="25"/>
    <n v="45929"/>
    <s v="Aprovado"/>
    <n v="45922"/>
    <s v="R4"/>
    <s v="RJB4"/>
    <s v="SPE SANEAMENTO RIO 4 S.A"/>
    <s v="5024700"/>
    <x v="154"/>
    <x v="0"/>
    <s v="DP98"/>
    <s v="Suprimentos"/>
    <s v="63"/>
    <n v="45925"/>
    <s v="Sim"/>
    <s v="Spot"/>
    <s v="Não Urgente"/>
    <s v="Material"/>
    <s v="TUBOS E CONEXÕES DE AÇO"/>
    <s v="U/46A.23153.A.RD.M.001"/>
    <s v="Rede de Distribuição"/>
    <m/>
    <n v="1141000001"/>
    <s v="6000132989"/>
    <s v="190"/>
    <x v="11"/>
    <n v="10"/>
    <n v="45925"/>
    <m/>
    <s v="0"/>
    <m/>
    <m/>
    <m/>
    <m/>
    <m/>
    <s v="106344"/>
    <s v="CENTERVAL INDUSTRIAL LTDA"/>
    <s v="ARIBACIG"/>
    <s v="Conexão ARIBACIG x S4P"/>
    <s v="PMNB"/>
    <x v="72"/>
    <s v="10"/>
    <s v="Não"/>
    <x v="10"/>
    <n v="45932"/>
    <s v="Liberado"/>
    <n v="45932.353900462964"/>
    <m/>
    <n v="45953"/>
    <m/>
    <n v="10"/>
    <n v="10"/>
    <n v="0"/>
    <n v="45996"/>
    <n v="10"/>
    <n v="0"/>
    <n v="45996"/>
    <m/>
    <m/>
    <x v="2"/>
    <n v="1"/>
  </r>
  <r>
    <x v="32"/>
    <x v="42"/>
    <s v="Q"/>
    <s v="Produção ind.projeto"/>
    <s v="ZMAT"/>
    <s v="LSOUZA03"/>
    <x v="26"/>
    <n v="45713"/>
    <s v="Aprovado"/>
    <n v="45663"/>
    <s v="R4"/>
    <s v="RJB4"/>
    <s v="SPE SANEAMENTO RIO 4 S.A"/>
    <s v="5024637"/>
    <x v="155"/>
    <x v="1"/>
    <s v="DP98"/>
    <s v="Suprimentos"/>
    <s v="63"/>
    <n v="45686"/>
    <s v="Sim"/>
    <s v="Spot"/>
    <s v="Não Urgente"/>
    <s v="Material"/>
    <s v="FERRO FUNDIDO"/>
    <s v="U/46A.23153.A.RD.M.001"/>
    <s v="Rede de Distribuição"/>
    <m/>
    <n v="1141000003"/>
    <s v="6000112064"/>
    <s v="400"/>
    <x v="11"/>
    <n v="2"/>
    <n v="45686"/>
    <m/>
    <s v="0"/>
    <m/>
    <m/>
    <m/>
    <m/>
    <m/>
    <s v="133697"/>
    <s v="SOLVED SOLUCOES EM VEDACOES LTDA"/>
    <s v="ARIBACIG"/>
    <s v="Conexão ARIBACIG x S4P"/>
    <s v="PMNB"/>
    <x v="73"/>
    <s v="70"/>
    <s v="Não"/>
    <x v="10"/>
    <n v="45699"/>
    <s v="Liberado"/>
    <n v="45700.952997685185"/>
    <m/>
    <n v="45716"/>
    <n v="45716"/>
    <n v="2"/>
    <n v="2"/>
    <n v="0"/>
    <n v="45783"/>
    <n v="2"/>
    <n v="0"/>
    <n v="45783"/>
    <m/>
    <m/>
    <x v="2"/>
    <n v="1"/>
  </r>
  <r>
    <x v="32"/>
    <x v="43"/>
    <s v="Q"/>
    <s v="Produção ind.projeto"/>
    <s v="ZMAT"/>
    <s v="LSOUZA03"/>
    <x v="26"/>
    <n v="45682"/>
    <s v="Aprovado"/>
    <n v="45663"/>
    <s v="R4"/>
    <s v="RJB4"/>
    <s v="SPE SANEAMENTO RIO 4 S.A"/>
    <s v="5024637"/>
    <x v="155"/>
    <x v="1"/>
    <s v="DP98"/>
    <s v="Suprimentos"/>
    <s v="63"/>
    <n v="45686"/>
    <s v="Sim"/>
    <s v="Spot"/>
    <s v="Não Urgente"/>
    <s v="Material"/>
    <s v="FERRO FUNDIDO"/>
    <s v="U/46A.23153.A.RD.M.001"/>
    <s v="Rede de Distribuição"/>
    <m/>
    <n v="1141000003"/>
    <s v="6000112064"/>
    <s v="360"/>
    <x v="11"/>
    <n v="2"/>
    <n v="45686"/>
    <m/>
    <s v="0"/>
    <m/>
    <m/>
    <m/>
    <m/>
    <m/>
    <s v="133697"/>
    <s v="SOLVED SOLUCOES EM VEDACOES LTDA"/>
    <s v="ARIBACIG"/>
    <s v="Conexão ARIBACIG x S4P"/>
    <s v="PMNB"/>
    <x v="73"/>
    <s v="30"/>
    <s v="Não"/>
    <x v="10"/>
    <n v="45699"/>
    <s v="Liberado"/>
    <n v="45700.952997685185"/>
    <m/>
    <n v="45716"/>
    <n v="45716"/>
    <n v="2"/>
    <n v="2"/>
    <n v="0"/>
    <n v="45783"/>
    <n v="2"/>
    <n v="0"/>
    <n v="45783"/>
    <m/>
    <m/>
    <x v="2"/>
    <n v="1"/>
  </r>
  <r>
    <x v="30"/>
    <x v="2"/>
    <s v="Q"/>
    <s v="Produção ind.projeto"/>
    <s v="ZMAT"/>
    <s v="ACRUZ10"/>
    <x v="23"/>
    <n v="45999"/>
    <s v="Aprovado"/>
    <n v="45964"/>
    <s v="R4"/>
    <s v="RJB4"/>
    <s v="SPE SANEAMENTO RIO 4 S.A"/>
    <s v="5506313"/>
    <x v="156"/>
    <x v="6"/>
    <s v="DP98"/>
    <s v="Unidade"/>
    <s v="317"/>
    <n v="45615"/>
    <s v="Sim"/>
    <s v="Contrato"/>
    <s v="Não Urgente"/>
    <s v="Material"/>
    <s v="FERRAMENTAS"/>
    <s v="U/46A.23153.A.RD.M.001"/>
    <s v="Rede de Distribuição"/>
    <m/>
    <n v="1141000001"/>
    <m/>
    <m/>
    <x v="0"/>
    <m/>
    <m/>
    <s v="4600081497"/>
    <s v="350"/>
    <s v="Fernando Gonçalo"/>
    <n v="0"/>
    <n v="45615"/>
    <s v="Liberado"/>
    <m/>
    <s v="100231"/>
    <s v="ANHANGUERA COMERCIO DE FERRAMENTASL"/>
    <s v="USERJOBS"/>
    <s v="Usuário Jobs"/>
    <s v="PGLO"/>
    <x v="74"/>
    <s v="10"/>
    <s v="Não"/>
    <x v="1"/>
    <n v="45964"/>
    <s v="Liberado"/>
    <n v="45964.654710648145"/>
    <m/>
    <m/>
    <n v="46052"/>
    <n v="7"/>
    <n v="7"/>
    <n v="0"/>
    <n v="46023"/>
    <n v="7"/>
    <n v="0"/>
    <n v="46023"/>
    <m/>
    <m/>
    <x v="2"/>
    <n v="1"/>
  </r>
  <r>
    <x v="18"/>
    <x v="0"/>
    <s v="Q"/>
    <s v="Produção ind.projeto"/>
    <s v="ZMAT"/>
    <s v="ACRUZ10"/>
    <x v="27"/>
    <n v="46038"/>
    <s v="Aprovado"/>
    <n v="46027"/>
    <s v="R4"/>
    <s v="RJB4"/>
    <s v="SPE SANEAMENTO RIO 4 S.A"/>
    <s v="3009240"/>
    <x v="157"/>
    <x v="0"/>
    <s v="DP96"/>
    <s v="Unidade"/>
    <s v="37"/>
    <n v="46029"/>
    <s v="Não"/>
    <s v="Spot"/>
    <s v="Não Urgente"/>
    <s v="Material"/>
    <s v="CONSTRUÇÃO CIVIL"/>
    <s v="U/46A.23153.A.RD.M.001"/>
    <s v="Rede de Distribuição"/>
    <m/>
    <n v="1141000001"/>
    <s v="6000140916"/>
    <s v="170"/>
    <x v="10"/>
    <n v="10"/>
    <n v="46029"/>
    <m/>
    <s v="0"/>
    <m/>
    <m/>
    <m/>
    <m/>
    <m/>
    <s v="131829"/>
    <s v="MAXPLAST PRODUTOS INDUSTRIAIS LTDA"/>
    <s v="ARIBACIG"/>
    <s v="Conexão ARIBACIG x S4P"/>
    <s v="PMNB"/>
    <x v="21"/>
    <s v="20"/>
    <s v="Sim"/>
    <x v="9"/>
    <n v="46038"/>
    <s v="Liberado"/>
    <n v="46041.315520833334"/>
    <m/>
    <n v="46073"/>
    <n v="46073"/>
    <n v="10"/>
    <n v="10"/>
    <n v="0"/>
    <n v="46044"/>
    <n v="10"/>
    <n v="0"/>
    <n v="46044"/>
    <m/>
    <m/>
    <x v="2"/>
    <n v="1"/>
  </r>
  <r>
    <x v="14"/>
    <x v="0"/>
    <s v="Q"/>
    <s v="Produção ind.projeto"/>
    <s v="ZMAT"/>
    <s v="ACRUZ10"/>
    <x v="28"/>
    <n v="46134"/>
    <s v="Aprovado"/>
    <n v="46076"/>
    <s v="R4"/>
    <s v="RJB4"/>
    <s v="SPE SANEAMENTO RIO 4 S.A"/>
    <s v="3009240"/>
    <x v="157"/>
    <x v="0"/>
    <s v="DP96"/>
    <s v="Unidade"/>
    <s v="156"/>
    <n v="46078"/>
    <s v="Não"/>
    <s v="Spot"/>
    <s v="Não Urgente"/>
    <s v="Material"/>
    <s v="CONSTRUÇÃO CIVIL"/>
    <s v="U/46A.23153.A.RD.M.001"/>
    <s v="Rede de Distribuição"/>
    <m/>
    <n v="1141000001"/>
    <s v="6000145134"/>
    <s v="190"/>
    <x v="1"/>
    <n v="10"/>
    <n v="46078"/>
    <m/>
    <s v="0"/>
    <m/>
    <m/>
    <m/>
    <m/>
    <m/>
    <s v="152800"/>
    <s v="F.F. LIMA PARAFUSOS E FERRAMENTAS L"/>
    <s v="ARIBACIG"/>
    <s v="Conexão ARIBACIG x S4P"/>
    <s v="PMNB"/>
    <x v="75"/>
    <s v="10"/>
    <s v="Sim"/>
    <x v="2"/>
    <n v="46084"/>
    <s v="Liberado"/>
    <n v="46119.404733796298"/>
    <m/>
    <n v="46140"/>
    <n v="46140"/>
    <n v="10"/>
    <n v="10"/>
    <n v="0"/>
    <n v="46128"/>
    <n v="10"/>
    <n v="0"/>
    <n v="46128"/>
    <m/>
    <m/>
    <x v="2"/>
    <n v="1"/>
  </r>
  <r>
    <x v="33"/>
    <x v="44"/>
    <m/>
    <m/>
    <m/>
    <m/>
    <x v="29"/>
    <m/>
    <m/>
    <m/>
    <m/>
    <m/>
    <m/>
    <m/>
    <x v="158"/>
    <x v="25"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x v="0"/>
    <m/>
    <m/>
    <x v="0"/>
    <m/>
    <m/>
    <m/>
    <m/>
    <m/>
    <m/>
    <m/>
    <m/>
    <m/>
    <m/>
    <m/>
    <m/>
    <m/>
    <m/>
    <m/>
    <x v="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1E923B-1C08-459C-BB30-90EBA554911B}" name="Tabela dinâmica3" cacheId="1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1:I182" firstHeaderRow="1" firstDataRow="1" firstDataCol="9"/>
  <pivotFields count="67">
    <pivotField axis="axisRow" outline="0" showAll="0" defaultSubtotal="0">
      <items count="34">
        <item x="32"/>
        <item x="31"/>
        <item x="24"/>
        <item x="29"/>
        <item x="10"/>
        <item x="5"/>
        <item x="11"/>
        <item x="8"/>
        <item x="0"/>
        <item x="30"/>
        <item x="18"/>
        <item x="2"/>
        <item x="4"/>
        <item x="13"/>
        <item x="16"/>
        <item x="6"/>
        <item x="14"/>
        <item x="3"/>
        <item x="9"/>
        <item x="15"/>
        <item x="17"/>
        <item x="20"/>
        <item x="21"/>
        <item x="22"/>
        <item x="23"/>
        <item x="26"/>
        <item x="27"/>
        <item x="33"/>
        <item x="1"/>
        <item x="7"/>
        <item x="19"/>
        <item x="25"/>
        <item x="28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45">
        <item x="2"/>
        <item x="14"/>
        <item x="13"/>
        <item x="20"/>
        <item x="19"/>
        <item x="17"/>
        <item x="22"/>
        <item x="10"/>
        <item x="8"/>
        <item x="12"/>
        <item x="21"/>
        <item x="0"/>
        <item x="24"/>
        <item x="25"/>
        <item x="42"/>
        <item x="23"/>
        <item x="9"/>
        <item x="7"/>
        <item x="11"/>
        <item x="6"/>
        <item x="40"/>
        <item x="26"/>
        <item x="1"/>
        <item x="41"/>
        <item x="27"/>
        <item x="4"/>
        <item x="3"/>
        <item x="43"/>
        <item x="5"/>
        <item x="18"/>
        <item x="16"/>
        <item x="15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4"/>
      </items>
    </pivotField>
    <pivotField showAll="0"/>
    <pivotField showAll="0"/>
    <pivotField showAll="0"/>
    <pivotField showAll="0"/>
    <pivotField axis="axisRow" numFmtId="14" outline="0" showAll="0" defaultSubtotal="0">
      <items count="30">
        <item x="18"/>
        <item x="9"/>
        <item x="5"/>
        <item x="10"/>
        <item x="8"/>
        <item x="0"/>
        <item x="15"/>
        <item x="2"/>
        <item x="4"/>
        <item x="12"/>
        <item x="6"/>
        <item x="3"/>
        <item x="13"/>
        <item x="14"/>
        <item x="17"/>
        <item x="19"/>
        <item x="20"/>
        <item x="29"/>
        <item x="1"/>
        <item x="7"/>
        <item x="16"/>
        <item x="21"/>
        <item x="11"/>
        <item x="22"/>
        <item x="23"/>
        <item x="24"/>
        <item x="25"/>
        <item x="26"/>
        <item x="27"/>
        <item x="28"/>
      </items>
    </pivotField>
    <pivotField numFmtId="14" showAll="0"/>
    <pivotField showAll="0"/>
    <pivotField numFmtId="14" showAll="0"/>
    <pivotField showAll="0"/>
    <pivotField showAll="0"/>
    <pivotField showAll="0"/>
    <pivotField showAll="0"/>
    <pivotField axis="axisRow" outline="0" showAll="0" sortType="ascending" defaultSubtotal="0">
      <items count="159"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58"/>
      </items>
    </pivotField>
    <pivotField axis="axisRow" showAll="0">
      <items count="27">
        <item x="7"/>
        <item x="1"/>
        <item x="10"/>
        <item x="2"/>
        <item x="4"/>
        <item x="3"/>
        <item x="6"/>
        <item x="9"/>
        <item x="0"/>
        <item x="8"/>
        <item x="5"/>
        <item x="17"/>
        <item x="19"/>
        <item x="11"/>
        <item x="12"/>
        <item x="16"/>
        <item x="23"/>
        <item x="14"/>
        <item x="15"/>
        <item x="20"/>
        <item x="21"/>
        <item x="22"/>
        <item x="24"/>
        <item x="25"/>
        <item x="13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axis="axisRow" outline="0" showAll="0" defaultSubtotal="0">
      <items count="16">
        <item x="12"/>
        <item x="1"/>
        <item x="10"/>
        <item x="8"/>
        <item m="1" x="15"/>
        <item x="5"/>
        <item x="3"/>
        <item x="9"/>
        <item x="11"/>
        <item x="4"/>
        <item x="13"/>
        <item x="7"/>
        <item x="0"/>
        <item x="2"/>
        <item x="1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outline="0" showAll="0" defaultSubtotal="0">
      <items count="77">
        <item x="47"/>
        <item x="49"/>
        <item m="1" x="76"/>
        <item x="5"/>
        <item x="26"/>
        <item x="11"/>
        <item x="51"/>
        <item x="15"/>
        <item x="45"/>
        <item x="7"/>
        <item x="1"/>
        <item x="50"/>
        <item x="21"/>
        <item x="46"/>
        <item x="3"/>
        <item x="30"/>
        <item x="14"/>
        <item x="25"/>
        <item x="12"/>
        <item x="31"/>
        <item x="23"/>
        <item x="22"/>
        <item x="17"/>
        <item x="42"/>
        <item x="53"/>
        <item x="43"/>
        <item x="18"/>
        <item x="9"/>
        <item x="16"/>
        <item x="24"/>
        <item x="10"/>
        <item x="29"/>
        <item x="28"/>
        <item x="27"/>
        <item x="13"/>
        <item x="0"/>
        <item x="54"/>
        <item x="57"/>
        <item x="58"/>
        <item x="60"/>
        <item x="62"/>
        <item x="64"/>
        <item x="65"/>
        <item x="68"/>
        <item x="69"/>
        <item x="70"/>
        <item x="71"/>
        <item x="72"/>
        <item x="73"/>
        <item x="74"/>
        <item x="75"/>
        <item x="4"/>
        <item x="6"/>
        <item x="8"/>
        <item x="19"/>
        <item x="20"/>
        <item x="32"/>
        <item x="33"/>
        <item x="34"/>
        <item x="35"/>
        <item x="36"/>
        <item x="37"/>
        <item x="38"/>
        <item x="39"/>
        <item x="40"/>
        <item x="41"/>
        <item x="44"/>
        <item x="59"/>
        <item x="61"/>
        <item x="63"/>
        <item x="67"/>
        <item x="2"/>
        <item x="48"/>
        <item x="52"/>
        <item x="55"/>
        <item x="56"/>
        <item x="66"/>
      </items>
    </pivotField>
    <pivotField showAll="0"/>
    <pivotField showAll="0"/>
    <pivotField axis="axisRow" outline="0" showAll="0" defaultSubtotal="0">
      <items count="17">
        <item x="12"/>
        <item x="2"/>
        <item x="9"/>
        <item x="1"/>
        <item x="6"/>
        <item x="4"/>
        <item x="10"/>
        <item x="5"/>
        <item x="3"/>
        <item x="14"/>
        <item x="7"/>
        <item x="0"/>
        <item x="8"/>
        <item x="13"/>
        <item x="11"/>
        <item x="1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outline="0" showAll="0" defaultSubtotal="0">
      <items count="11">
        <item x="3"/>
        <item x="4"/>
        <item x="6"/>
        <item x="5"/>
        <item x="2"/>
        <item x="8"/>
        <item x="1"/>
        <item x="0"/>
        <item m="1" x="10"/>
        <item x="9"/>
        <item x="7"/>
      </items>
    </pivotField>
    <pivotField numFmtId="3" showAll="0"/>
  </pivotFields>
  <rowFields count="9">
    <field x="49"/>
    <field x="31"/>
    <field x="0"/>
    <field x="1"/>
    <field x="46"/>
    <field x="14"/>
    <field x="6"/>
    <field x="65"/>
    <field x="15"/>
  </rowFields>
  <rowItems count="181">
    <i>
      <x/>
      <x/>
      <x v="7"/>
      <x v="11"/>
      <x v="8"/>
      <x v="57"/>
      <x v="4"/>
      <x v="4"/>
      <x v="4"/>
    </i>
    <i r="1">
      <x v="12"/>
      <x v="9"/>
      <x v="11"/>
      <x v="45"/>
      <x v="5"/>
      <x v="24"/>
      <x v="4"/>
      <x v="10"/>
    </i>
    <i r="2">
      <x v="19"/>
      <x v="25"/>
      <x v="58"/>
      <x v="77"/>
      <x v="12"/>
      <x v="4"/>
      <x v="8"/>
    </i>
    <i>
      <x v="1"/>
      <x v="1"/>
      <x v="13"/>
      <x/>
      <x v="20"/>
      <x v="107"/>
      <x v="9"/>
      <x v="4"/>
      <x v="2"/>
    </i>
    <i r="2">
      <x v="16"/>
      <x/>
      <x v="21"/>
      <x v="108"/>
      <x v="10"/>
      <x v="4"/>
      <x v="8"/>
    </i>
    <i r="3">
      <x v="11"/>
      <x v="50"/>
      <x/>
      <x v="29"/>
      <x v="4"/>
      <x v="8"/>
    </i>
    <i r="2">
      <x v="28"/>
      <x/>
      <x v="71"/>
      <x v="152"/>
      <x v="18"/>
      <x/>
      <x v="1"/>
    </i>
    <i r="3">
      <x v="11"/>
      <x v="71"/>
      <x v="151"/>
      <x v="18"/>
      <x/>
      <x v="1"/>
    </i>
    <i>
      <x v="2"/>
      <x v="2"/>
      <x v="10"/>
      <x/>
      <x v="12"/>
      <x v="108"/>
      <x v="6"/>
      <x v="4"/>
      <x v="8"/>
    </i>
    <i r="3">
      <x v="11"/>
      <x v="12"/>
      <x/>
      <x v="28"/>
      <x v="4"/>
      <x v="8"/>
    </i>
    <i r="2">
      <x v="18"/>
      <x v="28"/>
      <x v="32"/>
      <x v="91"/>
      <x v="11"/>
      <x v="4"/>
      <x v="1"/>
    </i>
    <i r="3">
      <x v="29"/>
      <x v="31"/>
      <x v="92"/>
      <x v="11"/>
      <x/>
      <x v="4"/>
    </i>
    <i r="3">
      <x v="30"/>
      <x v="32"/>
      <x v="93"/>
      <x v="11"/>
      <x v="4"/>
      <x v="4"/>
    </i>
    <i r="2">
      <x v="29"/>
      <x/>
      <x v="68"/>
      <x v="32"/>
      <x v="19"/>
      <x v="4"/>
      <x v="24"/>
    </i>
    <i>
      <x v="3"/>
      <x v="12"/>
      <x v="5"/>
      <x v="22"/>
      <x v="1"/>
      <x v="52"/>
      <x v="2"/>
      <x v="4"/>
      <x v="11"/>
    </i>
    <i r="2">
      <x v="6"/>
      <x v="6"/>
      <x v="44"/>
      <x v="12"/>
      <x v="3"/>
      <x v="4"/>
      <x v="16"/>
    </i>
    <i r="3">
      <x v="7"/>
      <x v="44"/>
      <x v="11"/>
      <x v="3"/>
      <x v="4"/>
      <x v="16"/>
    </i>
    <i r="2">
      <x v="8"/>
      <x v="26"/>
      <x v="10"/>
      <x v="154"/>
      <x v="5"/>
      <x v="4"/>
      <x v="3"/>
    </i>
    <i r="2">
      <x v="9"/>
      <x/>
      <x v="49"/>
      <x v="1"/>
      <x v="24"/>
      <x v="4"/>
      <x v="6"/>
    </i>
    <i r="2">
      <x v="11"/>
      <x/>
      <x v="13"/>
      <x v="55"/>
      <x v="7"/>
      <x v="4"/>
      <x v="15"/>
    </i>
    <i r="3">
      <x v="1"/>
      <x v="15"/>
      <x v="89"/>
      <x v="7"/>
      <x v="4"/>
      <x v="9"/>
    </i>
    <i r="3">
      <x v="11"/>
      <x v="13"/>
      <x v="56"/>
      <x v="7"/>
      <x v="4"/>
      <x v="14"/>
    </i>
    <i r="3">
      <x v="31"/>
      <x v="39"/>
      <x v="33"/>
      <x v="7"/>
      <x/>
      <x v="12"/>
    </i>
    <i r="2">
      <x v="12"/>
      <x v="13"/>
      <x v="17"/>
      <x v="98"/>
      <x v="8"/>
      <x v="4"/>
      <x v="10"/>
    </i>
    <i r="3">
      <x v="15"/>
      <x v="17"/>
      <x v="100"/>
      <x v="8"/>
      <x v="4"/>
      <x v="10"/>
    </i>
    <i r="3">
      <x v="21"/>
      <x v="38"/>
      <x v="38"/>
      <x v="8"/>
      <x/>
      <x v="13"/>
    </i>
    <i r="2">
      <x v="13"/>
      <x v="11"/>
      <x v="18"/>
      <x v="124"/>
      <x v="9"/>
      <x/>
      <x v="2"/>
    </i>
    <i r="3">
      <x v="26"/>
      <x v="16"/>
      <x v="122"/>
      <x v="9"/>
      <x v="4"/>
      <x v="9"/>
    </i>
    <i r="2">
      <x v="14"/>
      <x/>
      <x v="22"/>
      <x v="113"/>
      <x v="10"/>
      <x/>
      <x/>
    </i>
    <i r="2">
      <x v="15"/>
      <x/>
      <x v="24"/>
      <x v="43"/>
      <x v="10"/>
      <x v="4"/>
      <x v="8"/>
    </i>
    <i r="3">
      <x v="2"/>
      <x v="23"/>
      <x v="61"/>
      <x v="10"/>
      <x/>
      <x v="8"/>
    </i>
    <i r="3">
      <x v="4"/>
      <x v="37"/>
      <x v="39"/>
      <x v="10"/>
      <x v="4"/>
      <x v="8"/>
    </i>
    <i r="3">
      <x v="5"/>
      <x v="25"/>
      <x v="47"/>
      <x v="10"/>
      <x v="4"/>
      <x v="8"/>
    </i>
    <i r="3">
      <x v="6"/>
      <x v="36"/>
      <x v="42"/>
      <x v="10"/>
      <x v="4"/>
      <x v="8"/>
    </i>
    <i r="3">
      <x v="25"/>
      <x v="25"/>
      <x v="46"/>
      <x v="10"/>
      <x v="4"/>
      <x v="9"/>
    </i>
    <i r="3">
      <x v="31"/>
      <x v="25"/>
      <x v="60"/>
      <x v="10"/>
      <x v="4"/>
      <x v="8"/>
    </i>
    <i r="2">
      <x v="17"/>
      <x v="11"/>
      <x v="33"/>
      <x v="94"/>
      <x v="11"/>
      <x v="4"/>
      <x v="9"/>
    </i>
    <i r="2">
      <x v="18"/>
      <x/>
      <x v="40"/>
      <x v="31"/>
      <x v="11"/>
      <x v="4"/>
      <x v="8"/>
    </i>
    <i r="2">
      <x v="20"/>
      <x/>
      <x v="54"/>
      <x v="110"/>
      <x v="13"/>
      <x/>
      <x/>
    </i>
    <i r="3">
      <x v="11"/>
      <x v="55"/>
      <x v="109"/>
      <x v="13"/>
      <x/>
      <x/>
    </i>
    <i r="2">
      <x v="24"/>
      <x v="1"/>
      <x v="61"/>
      <x v="73"/>
      <x v="12"/>
      <x/>
      <x v="17"/>
    </i>
    <i r="3">
      <x v="2"/>
      <x v="60"/>
      <x v="74"/>
      <x v="12"/>
      <x/>
      <x v="17"/>
    </i>
    <i r="3">
      <x v="3"/>
      <x v="59"/>
      <x v="75"/>
      <x v="12"/>
      <x/>
      <x v="17"/>
    </i>
    <i r="3">
      <x v="4"/>
      <x v="59"/>
      <x v="76"/>
      <x v="12"/>
      <x/>
      <x v="17"/>
    </i>
    <i r="3">
      <x v="11"/>
      <x v="62"/>
      <x v="65"/>
      <x v="12"/>
      <x/>
      <x v="18"/>
    </i>
    <i r="3">
      <x v="26"/>
      <x v="64"/>
      <x v="68"/>
      <x v="12"/>
      <x/>
      <x v="17"/>
    </i>
    <i r="3">
      <x v="30"/>
      <x v="62"/>
      <x v="71"/>
      <x v="12"/>
      <x/>
      <x v="18"/>
    </i>
    <i r="2">
      <x v="29"/>
      <x v="11"/>
      <x v="69"/>
      <x v="30"/>
      <x v="19"/>
      <x v="4"/>
      <x v="8"/>
    </i>
    <i>
      <x v="4"/>
      <x v="5"/>
      <x v="7"/>
      <x/>
      <x v="9"/>
      <x v="143"/>
      <x v="4"/>
      <x v="4"/>
      <x/>
    </i>
    <i>
      <x v="5"/>
      <x v="6"/>
      <x v="11"/>
      <x v="22"/>
      <x v="30"/>
      <x v="137"/>
      <x v="7"/>
      <x v="4"/>
      <x v="9"/>
    </i>
    <i r="3">
      <x v="25"/>
      <x v="30"/>
      <x v="132"/>
      <x v="7"/>
      <x v="4"/>
      <x v="9"/>
    </i>
    <i r="2">
      <x v="12"/>
      <x/>
      <x v="27"/>
      <x v="125"/>
      <x v="8"/>
      <x v="4"/>
      <x v="3"/>
    </i>
    <i r="3">
      <x v="1"/>
      <x v="27"/>
      <x v="139"/>
      <x v="8"/>
      <x v="4"/>
      <x v="3"/>
    </i>
    <i r="3">
      <x v="2"/>
      <x v="27"/>
      <x v="141"/>
      <x v="8"/>
      <x v="4"/>
      <x v="3"/>
    </i>
    <i r="3">
      <x v="4"/>
      <x v="27"/>
      <x v="131"/>
      <x v="8"/>
      <x v="4"/>
      <x v="8"/>
    </i>
    <i r="3">
      <x v="5"/>
      <x v="27"/>
      <x v="134"/>
      <x v="8"/>
      <x v="4"/>
      <x v="3"/>
    </i>
    <i r="3">
      <x v="11"/>
      <x v="27"/>
      <x v="126"/>
      <x v="8"/>
      <x v="4"/>
      <x v="3"/>
    </i>
    <i r="3">
      <x v="16"/>
      <x v="51"/>
      <x v="146"/>
      <x v="8"/>
      <x v="4"/>
      <x v="8"/>
    </i>
    <i r="3">
      <x v="17"/>
      <x v="51"/>
      <x v="147"/>
      <x v="8"/>
      <x v="4"/>
      <x v="8"/>
    </i>
    <i r="3">
      <x v="18"/>
      <x v="51"/>
      <x v="145"/>
      <x v="8"/>
      <x v="4"/>
      <x v="6"/>
    </i>
    <i r="3">
      <x v="19"/>
      <x v="51"/>
      <x v="148"/>
      <x v="8"/>
      <x v="4"/>
      <x v="4"/>
    </i>
    <i r="3">
      <x v="22"/>
      <x v="27"/>
      <x v="128"/>
      <x v="8"/>
      <x v="4"/>
      <x v="3"/>
    </i>
    <i r="3">
      <x v="26"/>
      <x v="27"/>
      <x v="129"/>
      <x v="8"/>
      <x v="4"/>
      <x v="4"/>
    </i>
    <i r="3">
      <x v="28"/>
      <x v="27"/>
      <x v="130"/>
      <x v="8"/>
      <x v="4"/>
      <x v="4"/>
    </i>
    <i r="3">
      <x v="29"/>
      <x v="27"/>
      <x v="133"/>
      <x v="8"/>
      <x/>
      <x v="7"/>
    </i>
    <i r="3">
      <x v="30"/>
      <x v="27"/>
      <x v="136"/>
      <x v="8"/>
      <x v="4"/>
      <x v="8"/>
    </i>
    <i r="3">
      <x v="31"/>
      <x v="27"/>
      <x v="138"/>
      <x v="8"/>
      <x v="4"/>
      <x v="3"/>
    </i>
    <i r="2">
      <x v="14"/>
      <x v="11"/>
      <x v="26"/>
      <x v="112"/>
      <x v="10"/>
      <x/>
      <x/>
    </i>
    <i r="3">
      <x v="25"/>
      <x v="26"/>
      <x v="90"/>
      <x v="10"/>
      <x/>
      <x v="1"/>
    </i>
    <i r="2">
      <x v="15"/>
      <x v="7"/>
      <x v="52"/>
      <x v="146"/>
      <x v="10"/>
      <x v="4"/>
      <x v="10"/>
    </i>
    <i r="3">
      <x v="8"/>
      <x v="52"/>
      <x v="147"/>
      <x v="10"/>
      <x v="4"/>
      <x v="10"/>
    </i>
    <i r="3">
      <x v="9"/>
      <x v="52"/>
      <x v="145"/>
      <x v="10"/>
      <x v="4"/>
      <x v="6"/>
    </i>
    <i r="2">
      <x v="18"/>
      <x v="25"/>
      <x v="53"/>
      <x v="142"/>
      <x v="11"/>
      <x/>
      <x v="5"/>
    </i>
    <i r="3">
      <x v="26"/>
      <x v="53"/>
      <x v="140"/>
      <x v="11"/>
      <x/>
      <x v="5"/>
    </i>
    <i>
      <x v="6"/>
      <x v="8"/>
      <x/>
      <x v="14"/>
      <x v="48"/>
      <x v="2"/>
      <x v="27"/>
      <x v="4"/>
      <x v="1"/>
    </i>
    <i r="3">
      <x v="27"/>
      <x v="48"/>
      <x v="2"/>
      <x v="27"/>
      <x v="4"/>
      <x v="1"/>
    </i>
    <i r="2">
      <x v="6"/>
      <x v="1"/>
      <x v="47"/>
      <x v="3"/>
      <x v="26"/>
      <x v="4"/>
      <x v="8"/>
    </i>
    <i r="2">
      <x v="12"/>
      <x v="24"/>
      <x v="42"/>
      <x v="28"/>
      <x v="8"/>
      <x v="4"/>
      <x v="2"/>
    </i>
    <i r="2">
      <x v="13"/>
      <x v="22"/>
      <x v="19"/>
      <x v="87"/>
      <x v="9"/>
      <x v="4"/>
      <x v="1"/>
    </i>
    <i>
      <x v="7"/>
      <x v="9"/>
      <x v="5"/>
      <x/>
      <x v="3"/>
      <x v="146"/>
      <x v="2"/>
      <x v="4"/>
      <x v="8"/>
    </i>
    <i r="3">
      <x v="11"/>
      <x v="3"/>
      <x v="147"/>
      <x v="2"/>
      <x v="4"/>
      <x v="8"/>
    </i>
    <i r="2">
      <x v="6"/>
      <x/>
      <x v="5"/>
      <x v="135"/>
      <x v="3"/>
      <x v="3"/>
      <x v="5"/>
    </i>
    <i r="3">
      <x v="2"/>
      <x v="7"/>
      <x v="117"/>
      <x v="3"/>
      <x v="4"/>
      <x v="13"/>
    </i>
    <i r="3">
      <x v="3"/>
      <x v="7"/>
      <x v="118"/>
      <x v="3"/>
      <x v="4"/>
      <x v="14"/>
    </i>
    <i r="3">
      <x v="4"/>
      <x v="7"/>
      <x v="119"/>
      <x v="3"/>
      <x v="4"/>
      <x v="14"/>
    </i>
    <i r="3">
      <x v="5"/>
      <x v="7"/>
      <x v="120"/>
      <x v="3"/>
      <x v="4"/>
      <x v="13"/>
    </i>
    <i r="3">
      <x v="11"/>
      <x v="5"/>
      <x v="127"/>
      <x v="3"/>
      <x v="3"/>
      <x v="2"/>
    </i>
    <i r="3">
      <x v="22"/>
      <x v="4"/>
      <x v="97"/>
      <x v="3"/>
      <x v="4"/>
      <x v="1"/>
    </i>
    <i r="3">
      <x v="25"/>
      <x v="4"/>
      <x v="96"/>
      <x v="3"/>
      <x v="4"/>
      <x v="3"/>
    </i>
    <i r="3">
      <x v="26"/>
      <x v="4"/>
      <x v="95"/>
      <x v="3"/>
      <x v="4"/>
      <x v="3"/>
    </i>
    <i r="3">
      <x v="28"/>
      <x v="6"/>
      <x v="48"/>
      <x v="3"/>
      <x/>
      <x v="3"/>
    </i>
    <i r="3">
      <x v="29"/>
      <x v="6"/>
      <x v="50"/>
      <x v="3"/>
      <x/>
      <x v="1"/>
    </i>
    <i r="3">
      <x v="30"/>
      <x v="6"/>
      <x v="49"/>
      <x v="3"/>
      <x/>
      <x v="1"/>
    </i>
    <i>
      <x v="8"/>
      <x v="12"/>
      <x v="11"/>
      <x v="28"/>
      <x v="14"/>
      <x v="150"/>
      <x v="7"/>
      <x v="4"/>
      <x v="4"/>
    </i>
    <i r="2">
      <x v="24"/>
      <x v="5"/>
      <x v="65"/>
      <x v="62"/>
      <x v="12"/>
      <x/>
      <x v="17"/>
    </i>
    <i r="3">
      <x v="29"/>
      <x v="63"/>
      <x v="70"/>
      <x v="12"/>
      <x/>
      <x v="18"/>
    </i>
    <i>
      <x v="9"/>
      <x v="10"/>
      <x v="2"/>
      <x/>
      <x/>
      <x v="53"/>
      <x/>
      <x v="4"/>
      <x v="1"/>
    </i>
    <i r="2">
      <x v="4"/>
      <x/>
      <x v="41"/>
      <x v="29"/>
      <x v="1"/>
      <x/>
      <x v="2"/>
    </i>
    <i r="2">
      <x v="6"/>
      <x v="31"/>
      <x v="11"/>
      <x v="51"/>
      <x v="3"/>
      <x v="10"/>
      <x v="10"/>
    </i>
    <i>
      <x v="10"/>
      <x v="11"/>
      <x v="1"/>
      <x/>
      <x v="46"/>
      <x v="4"/>
      <x v="25"/>
      <x v="5"/>
      <x v="3"/>
    </i>
    <i r="2">
      <x v="12"/>
      <x v="6"/>
      <x v="29"/>
      <x v="101"/>
      <x v="8"/>
      <x v="4"/>
      <x v="9"/>
    </i>
    <i r="3">
      <x v="7"/>
      <x v="29"/>
      <x v="102"/>
      <x v="8"/>
      <x v="4"/>
      <x v="9"/>
    </i>
    <i r="3">
      <x v="8"/>
      <x v="29"/>
      <x v="103"/>
      <x v="8"/>
      <x v="4"/>
      <x v="8"/>
    </i>
    <i r="3">
      <x v="9"/>
      <x v="29"/>
      <x v="104"/>
      <x v="8"/>
      <x/>
      <x v="9"/>
    </i>
    <i r="3">
      <x v="10"/>
      <x v="29"/>
      <x v="105"/>
      <x v="8"/>
      <x/>
      <x v="8"/>
    </i>
    <i r="3">
      <x v="12"/>
      <x v="29"/>
      <x v="99"/>
      <x v="8"/>
      <x/>
      <x v="10"/>
    </i>
    <i r="2">
      <x v="16"/>
      <x v="22"/>
      <x v="34"/>
      <x v="123"/>
      <x v="10"/>
      <x/>
      <x v="9"/>
    </i>
    <i r="2">
      <x v="25"/>
      <x v="33"/>
      <x v="76"/>
      <x v="25"/>
      <x v="15"/>
      <x v="5"/>
      <x v="9"/>
    </i>
    <i r="3">
      <x v="34"/>
      <x v="76"/>
      <x v="24"/>
      <x v="15"/>
      <x v="5"/>
      <x v="20"/>
    </i>
    <i r="3">
      <x v="35"/>
      <x v="76"/>
      <x v="23"/>
      <x v="15"/>
      <x v="5"/>
      <x v="19"/>
    </i>
    <i r="3">
      <x v="36"/>
      <x v="76"/>
      <x v="22"/>
      <x v="15"/>
      <x v="5"/>
      <x v="21"/>
    </i>
    <i r="3">
      <x v="37"/>
      <x v="76"/>
      <x v="21"/>
      <x v="15"/>
      <x v="5"/>
      <x v="21"/>
    </i>
    <i r="3">
      <x v="38"/>
      <x v="70"/>
      <x v="20"/>
      <x v="15"/>
      <x v="5"/>
      <x v="19"/>
    </i>
    <i r="3">
      <x v="39"/>
      <x v="70"/>
      <x v="19"/>
      <x v="15"/>
      <x v="5"/>
      <x v="20"/>
    </i>
    <i r="3">
      <x v="40"/>
      <x v="70"/>
      <x v="18"/>
      <x v="15"/>
      <x v="5"/>
      <x v="19"/>
    </i>
    <i r="3">
      <x v="41"/>
      <x v="70"/>
      <x v="17"/>
      <x v="15"/>
      <x v="5"/>
      <x v="21"/>
    </i>
    <i r="3">
      <x v="42"/>
      <x v="70"/>
      <x v="16"/>
      <x v="15"/>
      <x v="5"/>
      <x v="9"/>
    </i>
    <i r="3">
      <x v="43"/>
      <x v="70"/>
      <x v="15"/>
      <x v="15"/>
      <x v="5"/>
      <x v="21"/>
    </i>
    <i>
      <x v="11"/>
      <x v="3"/>
      <x v="13"/>
      <x v="25"/>
      <x v="35"/>
      <x v="121"/>
      <x v="9"/>
      <x v="6"/>
      <x v="9"/>
    </i>
    <i r="2">
      <x v="19"/>
      <x v="26"/>
      <x v="35"/>
      <x v="115"/>
      <x v="12"/>
      <x v="1"/>
      <x v="8"/>
    </i>
    <i r="3">
      <x v="28"/>
      <x v="35"/>
      <x v="116"/>
      <x v="12"/>
      <x v="1"/>
      <x v="8"/>
    </i>
    <i r="2">
      <x v="24"/>
      <x v="6"/>
      <x v="35"/>
      <x v="63"/>
      <x v="12"/>
      <x v="1"/>
      <x v="17"/>
    </i>
    <i r="3">
      <x v="7"/>
      <x v="35"/>
      <x v="64"/>
      <x v="12"/>
      <x v="1"/>
      <x v="17"/>
    </i>
    <i r="3">
      <x v="22"/>
      <x v="35"/>
      <x v="66"/>
      <x v="12"/>
      <x v="1"/>
      <x v="18"/>
    </i>
    <i r="3">
      <x v="25"/>
      <x v="35"/>
      <x v="67"/>
      <x v="12"/>
      <x v="1"/>
      <x v="17"/>
    </i>
    <i r="3">
      <x v="28"/>
      <x v="35"/>
      <x v="69"/>
      <x v="12"/>
      <x v="1"/>
      <x v="18"/>
    </i>
    <i r="3">
      <x v="31"/>
      <x v="35"/>
      <x v="72"/>
      <x v="12"/>
      <x v="1"/>
      <x v="17"/>
    </i>
    <i r="2">
      <x v="26"/>
      <x v="11"/>
      <x v="35"/>
      <x v="8"/>
      <x v="16"/>
      <x v="1"/>
      <x v="14"/>
    </i>
    <i r="3">
      <x v="22"/>
      <x v="35"/>
      <x v="9"/>
      <x v="16"/>
      <x v="1"/>
      <x v="14"/>
    </i>
    <i r="3">
      <x v="25"/>
      <x v="35"/>
      <x v="10"/>
      <x v="16"/>
      <x v="1"/>
      <x v="22"/>
    </i>
    <i r="1">
      <x v="7"/>
      <x v="33"/>
      <x v="30"/>
      <x v="35"/>
      <x v="36"/>
      <x v="22"/>
      <x v="1"/>
      <x v="8"/>
    </i>
    <i r="3">
      <x v="31"/>
      <x v="35"/>
      <x v="37"/>
      <x v="22"/>
      <x v="1"/>
      <x v="4"/>
    </i>
    <i r="1">
      <x v="12"/>
      <x v="3"/>
      <x/>
      <x v="35"/>
      <x v="6"/>
      <x/>
      <x v="6"/>
      <x v="8"/>
    </i>
    <i r="2">
      <x v="4"/>
      <x v="11"/>
      <x v="35"/>
      <x v="36"/>
      <x v="1"/>
      <x v="6"/>
      <x v="11"/>
    </i>
    <i r="3">
      <x v="22"/>
      <x v="35"/>
      <x v="137"/>
      <x v="1"/>
      <x v="6"/>
      <x v="5"/>
    </i>
    <i r="3">
      <x v="25"/>
      <x v="35"/>
      <x v="132"/>
      <x v="1"/>
      <x v="6"/>
      <x v="5"/>
    </i>
    <i r="3">
      <x v="26"/>
      <x v="35"/>
      <x v="78"/>
      <x v="1"/>
      <x v="6"/>
      <x/>
    </i>
    <i r="3">
      <x v="28"/>
      <x v="35"/>
      <x v="80"/>
      <x v="1"/>
      <x v="6"/>
      <x/>
    </i>
    <i r="2">
      <x v="8"/>
      <x/>
      <x v="35"/>
      <x v="155"/>
      <x v="5"/>
      <x v="7"/>
      <x v="8"/>
    </i>
    <i r="3">
      <x v="11"/>
      <x v="35"/>
      <x v="157"/>
      <x v="5"/>
      <x v="7"/>
      <x v="8"/>
    </i>
    <i r="3">
      <x v="22"/>
      <x v="35"/>
      <x v="156"/>
      <x v="5"/>
      <x v="6"/>
      <x v="1"/>
    </i>
    <i r="3">
      <x v="25"/>
      <x v="35"/>
      <x v="153"/>
      <x v="5"/>
      <x v="7"/>
      <x v="5"/>
    </i>
    <i r="2">
      <x v="11"/>
      <x v="26"/>
      <x v="35"/>
      <x v="115"/>
      <x v="7"/>
      <x v="6"/>
      <x v="8"/>
    </i>
    <i r="3">
      <x v="29"/>
      <x v="35"/>
      <x v="116"/>
      <x v="7"/>
      <x v="6"/>
      <x v="4"/>
    </i>
    <i r="3">
      <x v="30"/>
      <x v="35"/>
      <x v="34"/>
      <x v="7"/>
      <x v="6"/>
      <x v="12"/>
    </i>
    <i r="2">
      <x v="14"/>
      <x v="26"/>
      <x v="35"/>
      <x v="54"/>
      <x v="10"/>
      <x v="7"/>
      <x/>
    </i>
    <i r="2">
      <x v="21"/>
      <x/>
      <x v="35"/>
      <x v="88"/>
      <x v="14"/>
      <x v="6"/>
      <x/>
    </i>
    <i r="2">
      <x v="23"/>
      <x/>
      <x v="35"/>
      <x v="77"/>
      <x v="14"/>
      <x v="7"/>
      <x/>
    </i>
    <i r="2">
      <x v="25"/>
      <x v="32"/>
      <x v="35"/>
      <x v="26"/>
      <x v="15"/>
      <x v="2"/>
      <x v="19"/>
    </i>
    <i r="2">
      <x v="27"/>
      <x v="44"/>
      <x v="35"/>
      <x v="158"/>
      <x v="17"/>
      <x v="9"/>
      <x v="23"/>
    </i>
    <i r="2">
      <x v="32"/>
      <x/>
      <x v="35"/>
      <x v="7"/>
      <x v="21"/>
      <x v="2"/>
      <x v="8"/>
    </i>
    <i r="2">
      <x v="33"/>
      <x v="11"/>
      <x v="35"/>
      <x v="82"/>
      <x v="22"/>
      <x v="2"/>
      <x v="2"/>
    </i>
    <i r="3">
      <x v="26"/>
      <x v="35"/>
      <x v="84"/>
      <x v="22"/>
      <x v="2"/>
      <x v="2"/>
    </i>
    <i r="3">
      <x v="28"/>
      <x v="35"/>
      <x v="81"/>
      <x v="22"/>
      <x v="2"/>
      <x v="2"/>
    </i>
    <i r="1">
      <x v="13"/>
      <x v="14"/>
      <x v="22"/>
      <x v="35"/>
      <x v="58"/>
      <x v="10"/>
      <x v="1"/>
      <x/>
    </i>
    <i r="2">
      <x v="17"/>
      <x/>
      <x v="35"/>
      <x v="149"/>
      <x v="11"/>
      <x v="1"/>
      <x v="3"/>
    </i>
    <i r="3">
      <x v="22"/>
      <x v="35"/>
      <x v="111"/>
      <x v="11"/>
      <x v="1"/>
      <x v="9"/>
    </i>
    <i r="3">
      <x v="25"/>
      <x v="35"/>
      <x v="6"/>
      <x v="23"/>
      <x v="1"/>
      <x v="8"/>
    </i>
    <i r="2">
      <x v="29"/>
      <x v="22"/>
      <x v="35"/>
      <x v="144"/>
      <x v="19"/>
      <x v="1"/>
      <x v="8"/>
    </i>
    <i r="2">
      <x v="30"/>
      <x/>
      <x v="35"/>
      <x v="106"/>
      <x v="20"/>
      <x v="1"/>
      <x v="24"/>
    </i>
    <i r="2">
      <x v="31"/>
      <x/>
      <x v="35"/>
      <x v="35"/>
      <x v="20"/>
      <x v="1"/>
      <x v="25"/>
    </i>
    <i r="1">
      <x v="15"/>
      <x v="33"/>
      <x/>
      <x v="35"/>
      <x v="132"/>
      <x v="22"/>
      <x v="1"/>
      <x v="8"/>
    </i>
    <i r="3">
      <x v="22"/>
      <x v="35"/>
      <x v="83"/>
      <x v="22"/>
      <x v="1"/>
      <x v="2"/>
    </i>
    <i r="3">
      <x v="25"/>
      <x v="35"/>
      <x v="85"/>
      <x v="22"/>
      <x v="1"/>
      <x v="2"/>
    </i>
    <i r="3">
      <x v="29"/>
      <x v="35"/>
      <x v="79"/>
      <x v="22"/>
      <x v="1"/>
      <x v="2"/>
    </i>
    <i>
      <x v="12"/>
      <x v="7"/>
      <x v="18"/>
      <x v="11"/>
      <x v="28"/>
      <x v="114"/>
      <x v="11"/>
      <x v="4"/>
      <x v="4"/>
    </i>
    <i r="3">
      <x v="22"/>
      <x v="28"/>
      <x v="27"/>
      <x v="11"/>
      <x v="4"/>
      <x v="1"/>
    </i>
    <i>
      <x v="13"/>
      <x v="3"/>
      <x v="12"/>
      <x v="20"/>
      <x v="43"/>
      <x v="14"/>
      <x v="8"/>
      <x v="4"/>
      <x v="14"/>
    </i>
    <i r="3">
      <x v="23"/>
      <x v="43"/>
      <x v="13"/>
      <x v="8"/>
      <x v="4"/>
      <x v="14"/>
    </i>
    <i r="2">
      <x v="15"/>
      <x v="1"/>
      <x v="66"/>
      <x v="59"/>
      <x v="10"/>
      <x/>
      <x v="8"/>
    </i>
    <i r="3">
      <x v="22"/>
      <x v="66"/>
      <x v="44"/>
      <x v="10"/>
      <x/>
      <x v="8"/>
    </i>
    <i>
      <x v="14"/>
      <x v="15"/>
      <x v="22"/>
      <x/>
      <x v="67"/>
      <x v="34"/>
      <x v="12"/>
      <x/>
      <x v="12"/>
    </i>
    <i r="3">
      <x v="11"/>
      <x v="56"/>
      <x v="86"/>
      <x v="12"/>
      <x/>
      <x v="4"/>
    </i>
    <i r="3">
      <x v="22"/>
      <x v="57"/>
      <x v="78"/>
      <x v="12"/>
      <x/>
      <x v="4"/>
    </i>
    <i r="3">
      <x v="25"/>
      <x v="57"/>
      <x v="80"/>
      <x v="12"/>
      <x/>
      <x v="4"/>
    </i>
    <i>
      <x v="15"/>
      <x v="13"/>
      <x v="19"/>
      <x v="29"/>
      <x v="72"/>
      <x v="53"/>
      <x v="12"/>
      <x/>
      <x v="1"/>
    </i>
    <i>
      <x v="16"/>
      <x v="14"/>
      <x v="15"/>
      <x v="11"/>
      <x v="73"/>
      <x v="45"/>
      <x v="10"/>
      <x/>
      <x v="8"/>
    </i>
    <i r="3">
      <x v="26"/>
      <x v="74"/>
      <x v="41"/>
      <x v="10"/>
      <x/>
      <x v="10"/>
    </i>
    <i r="3">
      <x v="28"/>
      <x v="75"/>
      <x v="40"/>
      <x v="10"/>
      <x/>
      <x v="4"/>
    </i>
    <i r="2">
      <x v="26"/>
      <x/>
      <x v="74"/>
      <x v="13"/>
      <x v="16"/>
      <x/>
      <x v="1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A6ED5-85A1-43B8-9C01-04B0DD9D17FE}">
  <dimension ref="A1:N171"/>
  <sheetViews>
    <sheetView workbookViewId="0">
      <selection activeCell="F4" sqref="F4"/>
    </sheetView>
  </sheetViews>
  <sheetFormatPr defaultRowHeight="15"/>
  <cols>
    <col min="1" max="1" width="18.5703125" bestFit="1" customWidth="1"/>
    <col min="2" max="2" width="19.28515625" bestFit="1" customWidth="1"/>
    <col min="3" max="3" width="11" bestFit="1" customWidth="1"/>
    <col min="4" max="4" width="8.28515625" bestFit="1" customWidth="1"/>
    <col min="5" max="5" width="11" bestFit="1" customWidth="1"/>
    <col min="6" max="6" width="45.85546875" bestFit="1" customWidth="1"/>
    <col min="7" max="7" width="13.7109375" bestFit="1" customWidth="1"/>
    <col min="8" max="8" width="27" bestFit="1" customWidth="1"/>
    <col min="9" max="9" width="8.5703125" bestFit="1" customWidth="1"/>
    <col min="10" max="10" width="11.85546875" bestFit="1" customWidth="1"/>
    <col min="11" max="12" width="9.28515625" customWidth="1"/>
    <col min="13" max="13" width="61.140625" bestFit="1" customWidth="1"/>
    <col min="14" max="14" width="13.140625" bestFit="1" customWidth="1"/>
  </cols>
  <sheetData>
    <row r="1" spans="1:14">
      <c r="A1" s="8" t="s">
        <v>568</v>
      </c>
      <c r="B1" s="8" t="s">
        <v>32</v>
      </c>
      <c r="C1" s="8" t="s">
        <v>1</v>
      </c>
      <c r="D1" s="8" t="s">
        <v>2</v>
      </c>
      <c r="E1" s="8" t="s">
        <v>47</v>
      </c>
      <c r="F1" s="8" t="s">
        <v>15</v>
      </c>
      <c r="G1" s="8" t="s">
        <v>7</v>
      </c>
      <c r="H1" s="8" t="s">
        <v>66</v>
      </c>
      <c r="I1" s="8" t="s">
        <v>16</v>
      </c>
      <c r="J1" s="10" t="s">
        <v>692</v>
      </c>
      <c r="K1" s="10" t="s">
        <v>693</v>
      </c>
      <c r="L1" s="10" t="s">
        <v>572</v>
      </c>
      <c r="M1" s="10" t="s">
        <v>571</v>
      </c>
      <c r="N1" s="16" t="s">
        <v>699</v>
      </c>
    </row>
    <row r="2" spans="1:14">
      <c r="A2" s="19"/>
      <c r="B2" s="19"/>
      <c r="C2" s="7"/>
      <c r="D2" s="19"/>
      <c r="E2" s="7"/>
      <c r="F2" s="19"/>
      <c r="G2" s="9"/>
      <c r="H2" s="19"/>
      <c r="I2" s="7"/>
      <c r="N2" t="str">
        <f t="shared" ref="N2:N65" si="0">C2&amp;D2</f>
        <v/>
      </c>
    </row>
    <row r="3" spans="1:14">
      <c r="A3" s="20"/>
      <c r="B3" s="19"/>
      <c r="C3" s="7"/>
      <c r="D3" s="19"/>
      <c r="E3" s="7"/>
      <c r="F3" s="19"/>
      <c r="G3" s="9"/>
      <c r="H3" s="19"/>
      <c r="I3" s="7"/>
      <c r="N3" t="str">
        <f t="shared" si="0"/>
        <v/>
      </c>
    </row>
    <row r="4" spans="1:14">
      <c r="A4" s="19"/>
      <c r="B4" s="19"/>
      <c r="C4" s="7"/>
      <c r="D4" s="19"/>
      <c r="E4" s="7"/>
      <c r="F4" s="19"/>
      <c r="G4" s="9"/>
      <c r="H4" s="19"/>
      <c r="I4" s="7"/>
      <c r="N4" t="str">
        <f t="shared" si="0"/>
        <v/>
      </c>
    </row>
    <row r="5" spans="1:14">
      <c r="A5" s="19"/>
      <c r="B5" s="19"/>
      <c r="C5" s="7"/>
      <c r="D5" s="19"/>
      <c r="E5" s="7"/>
      <c r="F5" s="19"/>
      <c r="G5" s="9"/>
      <c r="H5" s="19"/>
      <c r="I5" s="7"/>
      <c r="N5" t="str">
        <f t="shared" si="0"/>
        <v/>
      </c>
    </row>
    <row r="6" spans="1:14">
      <c r="A6" s="20"/>
      <c r="B6" s="19"/>
      <c r="C6" s="7"/>
      <c r="D6" s="19"/>
      <c r="E6" s="7"/>
      <c r="F6" s="19"/>
      <c r="G6" s="9"/>
      <c r="H6" s="19"/>
      <c r="I6" s="7"/>
      <c r="N6" t="str">
        <f t="shared" si="0"/>
        <v/>
      </c>
    </row>
    <row r="7" spans="1:14">
      <c r="A7" s="19"/>
      <c r="B7" s="19"/>
      <c r="C7" s="7"/>
      <c r="D7" s="19"/>
      <c r="E7" s="7"/>
      <c r="F7" s="19"/>
      <c r="G7" s="9"/>
      <c r="H7" s="19"/>
      <c r="I7" s="7"/>
      <c r="N7" t="str">
        <f t="shared" si="0"/>
        <v/>
      </c>
    </row>
    <row r="8" spans="1:14">
      <c r="A8" s="19"/>
      <c r="B8" s="19"/>
      <c r="C8" s="7"/>
      <c r="D8" s="19"/>
      <c r="E8" s="7"/>
      <c r="F8" s="19"/>
      <c r="G8" s="9"/>
      <c r="H8" s="19"/>
      <c r="I8" s="7"/>
      <c r="N8" t="str">
        <f t="shared" si="0"/>
        <v/>
      </c>
    </row>
    <row r="9" spans="1:14">
      <c r="A9" s="19"/>
      <c r="B9" s="19"/>
      <c r="C9" s="7"/>
      <c r="D9" s="19"/>
      <c r="E9" s="7"/>
      <c r="F9" s="19"/>
      <c r="G9" s="9"/>
      <c r="H9" s="19"/>
      <c r="I9" s="7"/>
      <c r="N9" t="str">
        <f t="shared" si="0"/>
        <v/>
      </c>
    </row>
    <row r="10" spans="1:14">
      <c r="A10" s="19"/>
      <c r="B10" s="19"/>
      <c r="C10" s="7"/>
      <c r="D10" s="19"/>
      <c r="E10" s="7"/>
      <c r="F10" s="19"/>
      <c r="G10" s="9"/>
      <c r="H10" s="19"/>
      <c r="I10" s="7"/>
      <c r="N10" t="str">
        <f t="shared" si="0"/>
        <v/>
      </c>
    </row>
    <row r="11" spans="1:14">
      <c r="A11" s="19"/>
      <c r="B11" s="19"/>
      <c r="C11" s="7"/>
      <c r="D11" s="19"/>
      <c r="E11" s="7"/>
      <c r="F11" s="19"/>
      <c r="G11" s="9"/>
      <c r="H11" s="19"/>
      <c r="I11" s="7"/>
      <c r="N11" t="str">
        <f t="shared" si="0"/>
        <v/>
      </c>
    </row>
    <row r="12" spans="1:14">
      <c r="A12" s="20"/>
      <c r="B12" s="19"/>
      <c r="C12" s="7"/>
      <c r="D12" s="19"/>
      <c r="E12" s="7"/>
      <c r="F12" s="19"/>
      <c r="G12" s="9"/>
      <c r="H12" s="19"/>
      <c r="I12" s="7"/>
      <c r="N12" t="str">
        <f t="shared" si="0"/>
        <v/>
      </c>
    </row>
    <row r="13" spans="1:14">
      <c r="A13" s="19"/>
      <c r="B13" s="19"/>
      <c r="C13" s="7"/>
      <c r="D13" s="19"/>
      <c r="E13" s="7"/>
      <c r="F13" s="19"/>
      <c r="G13" s="9"/>
      <c r="H13" s="19"/>
      <c r="I13" s="7"/>
      <c r="N13" t="str">
        <f t="shared" si="0"/>
        <v/>
      </c>
    </row>
    <row r="14" spans="1:14">
      <c r="A14" s="19"/>
      <c r="B14" s="19"/>
      <c r="C14" s="7"/>
      <c r="D14" s="19"/>
      <c r="E14" s="7"/>
      <c r="F14" s="19"/>
      <c r="G14" s="9"/>
      <c r="H14" s="19"/>
      <c r="I14" s="7"/>
      <c r="N14" t="str">
        <f t="shared" si="0"/>
        <v/>
      </c>
    </row>
    <row r="15" spans="1:14">
      <c r="A15" s="19"/>
      <c r="B15" s="19"/>
      <c r="C15" s="7"/>
      <c r="D15" s="19"/>
      <c r="E15" s="7"/>
      <c r="F15" s="19"/>
      <c r="G15" s="9"/>
      <c r="H15" s="19"/>
      <c r="I15" s="7"/>
      <c r="N15" t="str">
        <f t="shared" si="0"/>
        <v/>
      </c>
    </row>
    <row r="16" spans="1:14">
      <c r="A16" s="19"/>
      <c r="B16" s="19"/>
      <c r="C16" s="7"/>
      <c r="D16" s="19"/>
      <c r="E16" s="7"/>
      <c r="F16" s="19"/>
      <c r="G16" s="9"/>
      <c r="H16" s="19"/>
      <c r="I16" s="7"/>
      <c r="N16" t="str">
        <f t="shared" si="0"/>
        <v/>
      </c>
    </row>
    <row r="17" spans="1:14">
      <c r="A17" s="19"/>
      <c r="B17" s="19"/>
      <c r="C17" s="7"/>
      <c r="D17" s="19"/>
      <c r="E17" s="7"/>
      <c r="F17" s="19"/>
      <c r="G17" s="9"/>
      <c r="H17" s="19"/>
      <c r="I17" s="7"/>
      <c r="N17" t="str">
        <f t="shared" si="0"/>
        <v/>
      </c>
    </row>
    <row r="18" spans="1:14">
      <c r="A18" s="19"/>
      <c r="B18" s="19"/>
      <c r="C18" s="7"/>
      <c r="D18" s="19"/>
      <c r="E18" s="7"/>
      <c r="F18" s="19"/>
      <c r="G18" s="9"/>
      <c r="H18" s="19"/>
      <c r="I18" s="7"/>
      <c r="N18" t="str">
        <f t="shared" si="0"/>
        <v/>
      </c>
    </row>
    <row r="19" spans="1:14">
      <c r="A19" s="19"/>
      <c r="B19" s="19"/>
      <c r="C19" s="7"/>
      <c r="D19" s="19"/>
      <c r="E19" s="7"/>
      <c r="F19" s="19"/>
      <c r="G19" s="9"/>
      <c r="H19" s="19"/>
      <c r="I19" s="7"/>
      <c r="N19" t="str">
        <f t="shared" si="0"/>
        <v/>
      </c>
    </row>
    <row r="20" spans="1:14">
      <c r="A20" s="19"/>
      <c r="B20" s="19"/>
      <c r="C20" s="7"/>
      <c r="D20" s="19"/>
      <c r="E20" s="7"/>
      <c r="F20" s="19"/>
      <c r="G20" s="9"/>
      <c r="H20" s="19"/>
      <c r="I20" s="7"/>
      <c r="N20" t="str">
        <f t="shared" si="0"/>
        <v/>
      </c>
    </row>
    <row r="21" spans="1:14">
      <c r="A21" s="19"/>
      <c r="B21" s="19"/>
      <c r="C21" s="7"/>
      <c r="D21" s="19"/>
      <c r="E21" s="7"/>
      <c r="F21" s="19"/>
      <c r="G21" s="9"/>
      <c r="H21" s="19"/>
      <c r="I21" s="7"/>
      <c r="N21" t="str">
        <f t="shared" si="0"/>
        <v/>
      </c>
    </row>
    <row r="22" spans="1:14">
      <c r="A22" s="19"/>
      <c r="B22" s="19"/>
      <c r="C22" s="7"/>
      <c r="D22" s="19"/>
      <c r="E22" s="7"/>
      <c r="F22" s="19"/>
      <c r="G22" s="9"/>
      <c r="H22" s="19"/>
      <c r="I22" s="7"/>
      <c r="N22" t="str">
        <f t="shared" si="0"/>
        <v/>
      </c>
    </row>
    <row r="23" spans="1:14">
      <c r="A23" s="19"/>
      <c r="B23" s="19"/>
      <c r="C23" s="7"/>
      <c r="D23" s="19"/>
      <c r="E23" s="7"/>
      <c r="F23" s="19"/>
      <c r="G23" s="9"/>
      <c r="H23" s="19"/>
      <c r="I23" s="7"/>
      <c r="N23" t="str">
        <f t="shared" si="0"/>
        <v/>
      </c>
    </row>
    <row r="24" spans="1:14">
      <c r="A24" s="19"/>
      <c r="B24" s="19"/>
      <c r="C24" s="7"/>
      <c r="D24" s="19"/>
      <c r="E24" s="7"/>
      <c r="F24" s="19"/>
      <c r="G24" s="9"/>
      <c r="H24" s="19"/>
      <c r="I24" s="7"/>
      <c r="N24" t="str">
        <f t="shared" si="0"/>
        <v/>
      </c>
    </row>
    <row r="25" spans="1:14">
      <c r="A25" s="19"/>
      <c r="B25" s="19"/>
      <c r="C25" s="7"/>
      <c r="D25" s="19"/>
      <c r="E25" s="7"/>
      <c r="F25" s="19"/>
      <c r="G25" s="9"/>
      <c r="H25" s="19"/>
      <c r="I25" s="7"/>
      <c r="N25" t="str">
        <f t="shared" si="0"/>
        <v/>
      </c>
    </row>
    <row r="26" spans="1:14">
      <c r="A26" s="19"/>
      <c r="B26" s="19"/>
      <c r="C26" s="7"/>
      <c r="D26" s="19"/>
      <c r="E26" s="7"/>
      <c r="F26" s="19"/>
      <c r="G26" s="9"/>
      <c r="H26" s="19"/>
      <c r="I26" s="7"/>
      <c r="N26" t="str">
        <f t="shared" si="0"/>
        <v/>
      </c>
    </row>
    <row r="27" spans="1:14">
      <c r="A27" s="19"/>
      <c r="B27" s="19"/>
      <c r="C27" s="7"/>
      <c r="D27" s="19"/>
      <c r="E27" s="7"/>
      <c r="F27" s="19"/>
      <c r="G27" s="9"/>
      <c r="H27" s="19"/>
      <c r="I27" s="7"/>
      <c r="N27" t="str">
        <f t="shared" si="0"/>
        <v/>
      </c>
    </row>
    <row r="28" spans="1:14">
      <c r="A28" s="19"/>
      <c r="B28" s="19"/>
      <c r="C28" s="7"/>
      <c r="D28" s="19"/>
      <c r="E28" s="7"/>
      <c r="F28" s="19"/>
      <c r="G28" s="9"/>
      <c r="H28" s="19"/>
      <c r="I28" s="7"/>
      <c r="N28" t="str">
        <f t="shared" si="0"/>
        <v/>
      </c>
    </row>
    <row r="29" spans="1:14">
      <c r="A29" s="19"/>
      <c r="B29" s="19"/>
      <c r="C29" s="7"/>
      <c r="D29" s="19"/>
      <c r="E29" s="7"/>
      <c r="F29" s="19"/>
      <c r="G29" s="9"/>
      <c r="H29" s="19"/>
      <c r="I29" s="7"/>
      <c r="N29" t="str">
        <f t="shared" si="0"/>
        <v/>
      </c>
    </row>
    <row r="30" spans="1:14">
      <c r="A30" s="19"/>
      <c r="B30" s="19"/>
      <c r="C30" s="7"/>
      <c r="D30" s="19"/>
      <c r="E30" s="7"/>
      <c r="F30" s="19"/>
      <c r="G30" s="9"/>
      <c r="H30" s="19"/>
      <c r="I30" s="7"/>
      <c r="N30" t="str">
        <f t="shared" si="0"/>
        <v/>
      </c>
    </row>
    <row r="31" spans="1:14">
      <c r="A31" s="19"/>
      <c r="B31" s="19"/>
      <c r="C31" s="7"/>
      <c r="D31" s="19"/>
      <c r="E31" s="7"/>
      <c r="F31" s="19"/>
      <c r="G31" s="9"/>
      <c r="H31" s="19"/>
      <c r="I31" s="7"/>
      <c r="N31" t="str">
        <f t="shared" si="0"/>
        <v/>
      </c>
    </row>
    <row r="32" spans="1:14">
      <c r="A32" s="19"/>
      <c r="B32" s="19"/>
      <c r="C32" s="7"/>
      <c r="D32" s="19"/>
      <c r="E32" s="7"/>
      <c r="F32" s="19"/>
      <c r="G32" s="9"/>
      <c r="H32" s="19"/>
      <c r="I32" s="7"/>
      <c r="N32" t="str">
        <f t="shared" si="0"/>
        <v/>
      </c>
    </row>
    <row r="33" spans="1:14">
      <c r="A33" s="19"/>
      <c r="B33" s="19"/>
      <c r="C33" s="7"/>
      <c r="D33" s="19"/>
      <c r="E33" s="7"/>
      <c r="F33" s="19"/>
      <c r="G33" s="9"/>
      <c r="H33" s="19"/>
      <c r="I33" s="7"/>
      <c r="N33" t="str">
        <f t="shared" si="0"/>
        <v/>
      </c>
    </row>
    <row r="34" spans="1:14">
      <c r="A34" s="19"/>
      <c r="B34" s="19"/>
      <c r="C34" s="7"/>
      <c r="D34" s="19"/>
      <c r="E34" s="7"/>
      <c r="F34" s="19"/>
      <c r="G34" s="9"/>
      <c r="H34" s="19"/>
      <c r="I34" s="7"/>
      <c r="N34" t="str">
        <f t="shared" si="0"/>
        <v/>
      </c>
    </row>
    <row r="35" spans="1:14">
      <c r="A35" s="19"/>
      <c r="B35" s="19"/>
      <c r="C35" s="7"/>
      <c r="D35" s="19"/>
      <c r="E35" s="7"/>
      <c r="F35" s="19"/>
      <c r="G35" s="9"/>
      <c r="H35" s="19"/>
      <c r="I35" s="7"/>
      <c r="N35" t="str">
        <f t="shared" si="0"/>
        <v/>
      </c>
    </row>
    <row r="36" spans="1:14">
      <c r="A36" s="19"/>
      <c r="B36" s="19"/>
      <c r="C36" s="7"/>
      <c r="D36" s="19"/>
      <c r="E36" s="7"/>
      <c r="F36" s="19"/>
      <c r="G36" s="9"/>
      <c r="H36" s="19"/>
      <c r="I36" s="7"/>
      <c r="N36" t="str">
        <f t="shared" si="0"/>
        <v/>
      </c>
    </row>
    <row r="37" spans="1:14">
      <c r="A37" s="19"/>
      <c r="B37" s="19"/>
      <c r="C37" s="7"/>
      <c r="D37" s="19"/>
      <c r="E37" s="7"/>
      <c r="F37" s="19"/>
      <c r="G37" s="9"/>
      <c r="H37" s="19"/>
      <c r="I37" s="7"/>
      <c r="N37" t="str">
        <f t="shared" si="0"/>
        <v/>
      </c>
    </row>
    <row r="38" spans="1:14">
      <c r="A38" s="19"/>
      <c r="B38" s="19"/>
      <c r="C38" s="7"/>
      <c r="D38" s="19"/>
      <c r="E38" s="7"/>
      <c r="F38" s="19"/>
      <c r="G38" s="9"/>
      <c r="H38" s="19"/>
      <c r="I38" s="7"/>
      <c r="N38" t="str">
        <f t="shared" si="0"/>
        <v/>
      </c>
    </row>
    <row r="39" spans="1:14">
      <c r="A39" s="19"/>
      <c r="B39" s="19"/>
      <c r="C39" s="7"/>
      <c r="D39" s="19"/>
      <c r="E39" s="7"/>
      <c r="F39" s="19"/>
      <c r="G39" s="9"/>
      <c r="H39" s="19"/>
      <c r="I39" s="7"/>
      <c r="N39" t="str">
        <f t="shared" si="0"/>
        <v/>
      </c>
    </row>
    <row r="40" spans="1:14">
      <c r="A40" s="19"/>
      <c r="B40" s="19"/>
      <c r="C40" s="7"/>
      <c r="D40" s="19"/>
      <c r="E40" s="7"/>
      <c r="F40" s="19"/>
      <c r="G40" s="9"/>
      <c r="H40" s="19"/>
      <c r="I40" s="7"/>
      <c r="N40" t="str">
        <f t="shared" si="0"/>
        <v/>
      </c>
    </row>
    <row r="41" spans="1:14">
      <c r="A41" s="19"/>
      <c r="B41" s="19"/>
      <c r="C41" s="7"/>
      <c r="D41" s="19"/>
      <c r="E41" s="7"/>
      <c r="F41" s="19"/>
      <c r="G41" s="9"/>
      <c r="H41" s="19"/>
      <c r="I41" s="7"/>
      <c r="N41" t="str">
        <f t="shared" si="0"/>
        <v/>
      </c>
    </row>
    <row r="42" spans="1:14">
      <c r="A42" s="19"/>
      <c r="B42" s="19"/>
      <c r="C42" s="7"/>
      <c r="D42" s="19"/>
      <c r="E42" s="7"/>
      <c r="F42" s="19"/>
      <c r="G42" s="9"/>
      <c r="H42" s="19"/>
      <c r="I42" s="7"/>
      <c r="N42" t="str">
        <f t="shared" si="0"/>
        <v/>
      </c>
    </row>
    <row r="43" spans="1:14">
      <c r="A43" s="19"/>
      <c r="B43" s="19"/>
      <c r="C43" s="7"/>
      <c r="D43" s="19"/>
      <c r="E43" s="7"/>
      <c r="F43" s="19"/>
      <c r="G43" s="9"/>
      <c r="H43" s="19"/>
      <c r="I43" s="7"/>
      <c r="N43" t="str">
        <f t="shared" si="0"/>
        <v/>
      </c>
    </row>
    <row r="44" spans="1:14">
      <c r="A44" s="19"/>
      <c r="B44" s="19"/>
      <c r="C44" s="7"/>
      <c r="D44" s="19"/>
      <c r="E44" s="7"/>
      <c r="F44" s="19"/>
      <c r="G44" s="9"/>
      <c r="H44" s="19"/>
      <c r="I44" s="7"/>
      <c r="N44" t="str">
        <f t="shared" si="0"/>
        <v/>
      </c>
    </row>
    <row r="45" spans="1:14">
      <c r="A45" s="19"/>
      <c r="B45" s="19"/>
      <c r="C45" s="7"/>
      <c r="D45" s="19"/>
      <c r="E45" s="7"/>
      <c r="F45" s="19"/>
      <c r="G45" s="9"/>
      <c r="H45" s="19"/>
      <c r="I45" s="7"/>
      <c r="K45" s="12"/>
      <c r="N45" t="str">
        <f t="shared" si="0"/>
        <v/>
      </c>
    </row>
    <row r="46" spans="1:14">
      <c r="A46" s="20"/>
      <c r="B46" s="19"/>
      <c r="C46" s="7"/>
      <c r="D46" s="19"/>
      <c r="E46" s="7"/>
      <c r="F46" s="19"/>
      <c r="G46" s="9"/>
      <c r="H46" s="19"/>
      <c r="I46" s="7"/>
      <c r="N46" t="str">
        <f t="shared" si="0"/>
        <v/>
      </c>
    </row>
    <row r="47" spans="1:14">
      <c r="A47" s="20"/>
      <c r="B47" s="19"/>
      <c r="C47" s="7"/>
      <c r="D47" s="19"/>
      <c r="E47" s="7"/>
      <c r="F47" s="19"/>
      <c r="G47" s="9"/>
      <c r="H47" s="19"/>
      <c r="I47" s="7"/>
      <c r="N47" t="str">
        <f t="shared" si="0"/>
        <v/>
      </c>
    </row>
    <row r="48" spans="1:14">
      <c r="A48" s="19"/>
      <c r="B48" s="19"/>
      <c r="C48" s="7"/>
      <c r="D48" s="19"/>
      <c r="E48" s="7"/>
      <c r="F48" s="19"/>
      <c r="G48" s="9"/>
      <c r="H48" s="19"/>
      <c r="I48" s="7"/>
      <c r="N48" t="str">
        <f t="shared" si="0"/>
        <v/>
      </c>
    </row>
    <row r="49" spans="1:14">
      <c r="A49" s="19"/>
      <c r="B49" s="19"/>
      <c r="C49" s="7"/>
      <c r="D49" s="19"/>
      <c r="E49" s="7"/>
      <c r="F49" s="19"/>
      <c r="G49" s="9"/>
      <c r="H49" s="19"/>
      <c r="I49" s="7"/>
      <c r="N49" t="str">
        <f t="shared" si="0"/>
        <v/>
      </c>
    </row>
    <row r="50" spans="1:14">
      <c r="A50" s="19"/>
      <c r="B50" s="19"/>
      <c r="C50" s="7"/>
      <c r="D50" s="19"/>
      <c r="E50" s="7"/>
      <c r="F50" s="19"/>
      <c r="G50" s="9"/>
      <c r="H50" s="19"/>
      <c r="I50" s="7"/>
      <c r="N50" t="str">
        <f t="shared" si="0"/>
        <v/>
      </c>
    </row>
    <row r="51" spans="1:14">
      <c r="A51" s="19"/>
      <c r="B51" s="19"/>
      <c r="C51" s="7"/>
      <c r="D51" s="19"/>
      <c r="E51" s="7"/>
      <c r="F51" s="19"/>
      <c r="G51" s="9"/>
      <c r="H51" s="19"/>
      <c r="I51" s="7"/>
      <c r="N51" t="str">
        <f t="shared" si="0"/>
        <v/>
      </c>
    </row>
    <row r="52" spans="1:14">
      <c r="A52" s="19"/>
      <c r="B52" s="19"/>
      <c r="C52" s="7"/>
      <c r="D52" s="19"/>
      <c r="E52" s="7"/>
      <c r="F52" s="19"/>
      <c r="G52" s="9"/>
      <c r="H52" s="19"/>
      <c r="I52" s="7"/>
      <c r="K52" s="12"/>
      <c r="N52" t="str">
        <f t="shared" si="0"/>
        <v/>
      </c>
    </row>
    <row r="53" spans="1:14">
      <c r="A53" s="19"/>
      <c r="B53" s="19"/>
      <c r="C53" s="7"/>
      <c r="D53" s="19"/>
      <c r="E53" s="7"/>
      <c r="F53" s="19"/>
      <c r="G53" s="9"/>
      <c r="H53" s="19"/>
      <c r="I53" s="7"/>
      <c r="N53" t="str">
        <f t="shared" si="0"/>
        <v/>
      </c>
    </row>
    <row r="54" spans="1:14">
      <c r="A54" s="19"/>
      <c r="B54" s="19"/>
      <c r="C54" s="7"/>
      <c r="D54" s="19"/>
      <c r="E54" s="7"/>
      <c r="F54" s="19"/>
      <c r="G54" s="9"/>
      <c r="H54" s="19"/>
      <c r="I54" s="7"/>
      <c r="N54" t="str">
        <f t="shared" si="0"/>
        <v/>
      </c>
    </row>
    <row r="55" spans="1:14">
      <c r="A55" s="19"/>
      <c r="B55" s="19"/>
      <c r="C55" s="7"/>
      <c r="D55" s="19"/>
      <c r="E55" s="7"/>
      <c r="F55" s="19"/>
      <c r="G55" s="9"/>
      <c r="H55" s="19"/>
      <c r="I55" s="7"/>
      <c r="N55" t="str">
        <f t="shared" si="0"/>
        <v/>
      </c>
    </row>
    <row r="56" spans="1:14">
      <c r="A56" s="19"/>
      <c r="B56" s="19"/>
      <c r="C56" s="7"/>
      <c r="D56" s="19"/>
      <c r="E56" s="7"/>
      <c r="F56" s="19"/>
      <c r="G56" s="9"/>
      <c r="H56" s="19"/>
      <c r="I56" s="7"/>
      <c r="N56" t="str">
        <f t="shared" si="0"/>
        <v/>
      </c>
    </row>
    <row r="57" spans="1:14">
      <c r="A57" s="19"/>
      <c r="B57" s="19"/>
      <c r="C57" s="7"/>
      <c r="D57" s="19"/>
      <c r="E57" s="7"/>
      <c r="F57" s="19"/>
      <c r="G57" s="9"/>
      <c r="H57" s="19"/>
      <c r="I57" s="7"/>
      <c r="N57" t="str">
        <f t="shared" si="0"/>
        <v/>
      </c>
    </row>
    <row r="58" spans="1:14">
      <c r="A58" s="19"/>
      <c r="B58" s="19"/>
      <c r="C58" s="7"/>
      <c r="D58" s="19"/>
      <c r="E58" s="7"/>
      <c r="F58" s="19"/>
      <c r="G58" s="9"/>
      <c r="H58" s="19"/>
      <c r="I58" s="7"/>
      <c r="N58" t="str">
        <f t="shared" si="0"/>
        <v/>
      </c>
    </row>
    <row r="59" spans="1:14">
      <c r="A59" s="19"/>
      <c r="B59" s="19"/>
      <c r="C59" s="7"/>
      <c r="D59" s="19"/>
      <c r="E59" s="7"/>
      <c r="F59" s="19"/>
      <c r="G59" s="9"/>
      <c r="H59" s="19"/>
      <c r="I59" s="7"/>
      <c r="N59" t="str">
        <f t="shared" si="0"/>
        <v/>
      </c>
    </row>
    <row r="60" spans="1:14">
      <c r="A60" s="19"/>
      <c r="B60" s="19"/>
      <c r="C60" s="7"/>
      <c r="D60" s="19"/>
      <c r="E60" s="7"/>
      <c r="F60" s="19"/>
      <c r="G60" s="9"/>
      <c r="H60" s="19"/>
      <c r="I60" s="7"/>
      <c r="N60" t="str">
        <f t="shared" si="0"/>
        <v/>
      </c>
    </row>
    <row r="61" spans="1:14">
      <c r="A61" s="19"/>
      <c r="B61" s="19"/>
      <c r="C61" s="7"/>
      <c r="D61" s="19"/>
      <c r="E61" s="7"/>
      <c r="F61" s="19"/>
      <c r="G61" s="9"/>
      <c r="H61" s="19"/>
      <c r="I61" s="7"/>
      <c r="N61" t="str">
        <f t="shared" si="0"/>
        <v/>
      </c>
    </row>
    <row r="62" spans="1:14">
      <c r="A62" s="19"/>
      <c r="B62" s="19"/>
      <c r="C62" s="7"/>
      <c r="D62" s="19"/>
      <c r="E62" s="7"/>
      <c r="F62" s="19"/>
      <c r="G62" s="9"/>
      <c r="H62" s="19"/>
      <c r="I62" s="7"/>
      <c r="N62" t="str">
        <f t="shared" si="0"/>
        <v/>
      </c>
    </row>
    <row r="63" spans="1:14">
      <c r="A63" s="19"/>
      <c r="B63" s="19"/>
      <c r="C63" s="7"/>
      <c r="D63" s="19"/>
      <c r="E63" s="7"/>
      <c r="F63" s="19"/>
      <c r="G63" s="9"/>
      <c r="H63" s="19"/>
      <c r="I63" s="7"/>
      <c r="N63" t="str">
        <f t="shared" si="0"/>
        <v/>
      </c>
    </row>
    <row r="64" spans="1:14">
      <c r="A64" s="19"/>
      <c r="B64" s="19"/>
      <c r="C64" s="7"/>
      <c r="D64" s="19"/>
      <c r="E64" s="7"/>
      <c r="F64" s="19"/>
      <c r="G64" s="9"/>
      <c r="H64" s="19"/>
      <c r="I64" s="7"/>
      <c r="N64" t="str">
        <f t="shared" si="0"/>
        <v/>
      </c>
    </row>
    <row r="65" spans="1:14">
      <c r="A65" s="19"/>
      <c r="B65" s="19"/>
      <c r="C65" s="7"/>
      <c r="D65" s="19"/>
      <c r="E65" s="7"/>
      <c r="F65" s="19"/>
      <c r="G65" s="9"/>
      <c r="H65" s="19"/>
      <c r="I65" s="7"/>
      <c r="N65" t="str">
        <f t="shared" si="0"/>
        <v/>
      </c>
    </row>
    <row r="66" spans="1:14">
      <c r="A66" s="19"/>
      <c r="B66" s="19"/>
      <c r="C66" s="7"/>
      <c r="D66" s="19"/>
      <c r="E66" s="7"/>
      <c r="F66" s="19"/>
      <c r="G66" s="9"/>
      <c r="H66" s="19"/>
      <c r="I66" s="7"/>
      <c r="N66" t="str">
        <f t="shared" ref="N66:N129" si="1">C66&amp;D66</f>
        <v/>
      </c>
    </row>
    <row r="67" spans="1:14">
      <c r="A67" s="19"/>
      <c r="B67" s="19"/>
      <c r="C67" s="7"/>
      <c r="D67" s="19"/>
      <c r="E67" s="7"/>
      <c r="F67" s="19"/>
      <c r="G67" s="9"/>
      <c r="H67" s="19"/>
      <c r="I67" s="7"/>
      <c r="N67" t="str">
        <f t="shared" si="1"/>
        <v/>
      </c>
    </row>
    <row r="68" spans="1:14">
      <c r="A68" s="19"/>
      <c r="B68" s="19"/>
      <c r="C68" s="7"/>
      <c r="D68" s="19"/>
      <c r="E68" s="7"/>
      <c r="F68" s="19"/>
      <c r="G68" s="9"/>
      <c r="H68" s="19"/>
      <c r="I68" s="7"/>
      <c r="N68" t="str">
        <f t="shared" si="1"/>
        <v/>
      </c>
    </row>
    <row r="69" spans="1:14">
      <c r="A69" s="19"/>
      <c r="B69" s="19"/>
      <c r="C69" s="7"/>
      <c r="D69" s="19"/>
      <c r="E69" s="7"/>
      <c r="F69" s="19"/>
      <c r="G69" s="9"/>
      <c r="H69" s="19"/>
      <c r="I69" s="7"/>
      <c r="N69" t="str">
        <f t="shared" si="1"/>
        <v/>
      </c>
    </row>
    <row r="70" spans="1:14">
      <c r="A70" s="19"/>
      <c r="B70" s="19"/>
      <c r="C70" s="7"/>
      <c r="D70" s="19"/>
      <c r="E70" s="7"/>
      <c r="F70" s="19"/>
      <c r="G70" s="9"/>
      <c r="H70" s="19"/>
      <c r="I70" s="7"/>
      <c r="N70" t="str">
        <f t="shared" si="1"/>
        <v/>
      </c>
    </row>
    <row r="71" spans="1:14">
      <c r="A71" s="19"/>
      <c r="B71" s="19"/>
      <c r="C71" s="7"/>
      <c r="D71" s="19"/>
      <c r="E71" s="7"/>
      <c r="F71" s="19"/>
      <c r="G71" s="9"/>
      <c r="H71" s="19"/>
      <c r="I71" s="7"/>
      <c r="N71" t="str">
        <f t="shared" si="1"/>
        <v/>
      </c>
    </row>
    <row r="72" spans="1:14">
      <c r="A72" s="20"/>
      <c r="B72" s="19"/>
      <c r="C72" s="7"/>
      <c r="D72" s="19"/>
      <c r="E72" s="7"/>
      <c r="F72" s="19"/>
      <c r="G72" s="9"/>
      <c r="H72" s="19"/>
      <c r="I72" s="7"/>
      <c r="N72" t="str">
        <f t="shared" si="1"/>
        <v/>
      </c>
    </row>
    <row r="73" spans="1:14">
      <c r="A73" s="19"/>
      <c r="B73" s="19"/>
      <c r="C73" s="7"/>
      <c r="D73" s="19"/>
      <c r="E73" s="7"/>
      <c r="F73" s="19"/>
      <c r="G73" s="9"/>
      <c r="H73" s="19"/>
      <c r="I73" s="7"/>
      <c r="N73" t="str">
        <f t="shared" si="1"/>
        <v/>
      </c>
    </row>
    <row r="74" spans="1:14">
      <c r="A74" s="19"/>
      <c r="B74" s="19"/>
      <c r="C74" s="7"/>
      <c r="D74" s="19"/>
      <c r="E74" s="7"/>
      <c r="F74" s="19"/>
      <c r="G74" s="9"/>
      <c r="H74" s="19"/>
      <c r="I74" s="7"/>
      <c r="N74" t="str">
        <f t="shared" si="1"/>
        <v/>
      </c>
    </row>
    <row r="75" spans="1:14">
      <c r="A75" s="19"/>
      <c r="B75" s="19"/>
      <c r="C75" s="7"/>
      <c r="D75" s="19"/>
      <c r="E75" s="7"/>
      <c r="F75" s="19"/>
      <c r="G75" s="9"/>
      <c r="H75" s="19"/>
      <c r="I75" s="7"/>
      <c r="N75" t="str">
        <f t="shared" si="1"/>
        <v/>
      </c>
    </row>
    <row r="76" spans="1:14">
      <c r="A76" s="19"/>
      <c r="B76" s="19"/>
      <c r="C76" s="7"/>
      <c r="D76" s="19"/>
      <c r="E76" s="7"/>
      <c r="F76" s="19"/>
      <c r="G76" s="9"/>
      <c r="H76" s="19"/>
      <c r="I76" s="7"/>
      <c r="N76" t="str">
        <f t="shared" si="1"/>
        <v/>
      </c>
    </row>
    <row r="77" spans="1:14">
      <c r="A77" s="20"/>
      <c r="B77" s="19"/>
      <c r="C77" s="7"/>
      <c r="D77" s="19"/>
      <c r="E77" s="7"/>
      <c r="F77" s="19"/>
      <c r="G77" s="9"/>
      <c r="H77" s="19"/>
      <c r="I77" s="7"/>
      <c r="N77" t="str">
        <f t="shared" si="1"/>
        <v/>
      </c>
    </row>
    <row r="78" spans="1:14">
      <c r="A78" s="19"/>
      <c r="B78" s="19"/>
      <c r="C78" s="7"/>
      <c r="D78" s="19"/>
      <c r="E78" s="7"/>
      <c r="F78" s="19"/>
      <c r="G78" s="9"/>
      <c r="H78" s="19"/>
      <c r="I78" s="7"/>
      <c r="N78" t="str">
        <f t="shared" si="1"/>
        <v/>
      </c>
    </row>
    <row r="79" spans="1:14">
      <c r="A79" s="19"/>
      <c r="B79" s="19"/>
      <c r="C79" s="7"/>
      <c r="D79" s="19"/>
      <c r="E79" s="7"/>
      <c r="F79" s="19"/>
      <c r="G79" s="9"/>
      <c r="H79" s="19"/>
      <c r="I79" s="7"/>
      <c r="N79" t="str">
        <f t="shared" si="1"/>
        <v/>
      </c>
    </row>
    <row r="80" spans="1:14">
      <c r="A80" s="19"/>
      <c r="B80" s="19"/>
      <c r="C80" s="7"/>
      <c r="D80" s="19"/>
      <c r="E80" s="7"/>
      <c r="F80" s="19"/>
      <c r="G80" s="9"/>
      <c r="H80" s="19"/>
      <c r="I80" s="7"/>
      <c r="N80" t="str">
        <f t="shared" si="1"/>
        <v/>
      </c>
    </row>
    <row r="81" spans="1:14">
      <c r="A81" s="19"/>
      <c r="B81" s="19"/>
      <c r="C81" s="7"/>
      <c r="D81" s="19"/>
      <c r="E81" s="7"/>
      <c r="F81" s="19"/>
      <c r="G81" s="9"/>
      <c r="H81" s="19"/>
      <c r="I81" s="7"/>
      <c r="N81" t="str">
        <f t="shared" si="1"/>
        <v/>
      </c>
    </row>
    <row r="82" spans="1:14">
      <c r="A82" s="19"/>
      <c r="B82" s="19"/>
      <c r="C82" s="7"/>
      <c r="D82" s="19"/>
      <c r="E82" s="7"/>
      <c r="F82" s="19"/>
      <c r="G82" s="9"/>
      <c r="H82" s="19"/>
      <c r="I82" s="7"/>
      <c r="N82" t="str">
        <f t="shared" si="1"/>
        <v/>
      </c>
    </row>
    <row r="83" spans="1:14">
      <c r="A83" s="19"/>
      <c r="B83" s="19"/>
      <c r="C83" s="7"/>
      <c r="D83" s="19"/>
      <c r="E83" s="7"/>
      <c r="F83" s="19"/>
      <c r="G83" s="9"/>
      <c r="H83" s="19"/>
      <c r="I83" s="7"/>
      <c r="N83" t="str">
        <f t="shared" si="1"/>
        <v/>
      </c>
    </row>
    <row r="84" spans="1:14">
      <c r="A84" s="19"/>
      <c r="B84" s="19"/>
      <c r="C84" s="7"/>
      <c r="D84" s="19"/>
      <c r="E84" s="7"/>
      <c r="F84" s="19"/>
      <c r="G84" s="9"/>
      <c r="H84" s="19"/>
      <c r="I84" s="7"/>
      <c r="N84" t="str">
        <f t="shared" si="1"/>
        <v/>
      </c>
    </row>
    <row r="85" spans="1:14">
      <c r="A85" s="19"/>
      <c r="B85" s="19"/>
      <c r="C85" s="7"/>
      <c r="D85" s="19"/>
      <c r="E85" s="7"/>
      <c r="F85" s="19"/>
      <c r="G85" s="9"/>
      <c r="H85" s="19"/>
      <c r="I85" s="7"/>
      <c r="N85" t="str">
        <f t="shared" si="1"/>
        <v/>
      </c>
    </row>
    <row r="86" spans="1:14">
      <c r="A86" s="19"/>
      <c r="B86" s="19"/>
      <c r="C86" s="7"/>
      <c r="D86" s="19"/>
      <c r="E86" s="7"/>
      <c r="F86" s="19"/>
      <c r="G86" s="9"/>
      <c r="H86" s="19"/>
      <c r="I86" s="7"/>
      <c r="N86" t="str">
        <f t="shared" si="1"/>
        <v/>
      </c>
    </row>
    <row r="87" spans="1:14">
      <c r="A87" s="19"/>
      <c r="B87" s="19"/>
      <c r="C87" s="7"/>
      <c r="D87" s="19"/>
      <c r="E87" s="7"/>
      <c r="F87" s="19"/>
      <c r="G87" s="9"/>
      <c r="H87" s="19"/>
      <c r="I87" s="7"/>
      <c r="N87" t="str">
        <f t="shared" si="1"/>
        <v/>
      </c>
    </row>
    <row r="88" spans="1:14">
      <c r="A88" s="19"/>
      <c r="B88" s="19"/>
      <c r="C88" s="7"/>
      <c r="D88" s="19"/>
      <c r="E88" s="7"/>
      <c r="F88" s="19"/>
      <c r="G88" s="9"/>
      <c r="H88" s="19"/>
      <c r="I88" s="7"/>
      <c r="N88" t="str">
        <f t="shared" si="1"/>
        <v/>
      </c>
    </row>
    <row r="89" spans="1:14">
      <c r="A89" s="19"/>
      <c r="B89" s="19"/>
      <c r="C89" s="7"/>
      <c r="D89" s="19"/>
      <c r="E89" s="7"/>
      <c r="F89" s="19"/>
      <c r="G89" s="9"/>
      <c r="H89" s="19"/>
      <c r="I89" s="7"/>
      <c r="N89" t="str">
        <f t="shared" si="1"/>
        <v/>
      </c>
    </row>
    <row r="90" spans="1:14">
      <c r="A90" s="19"/>
      <c r="B90" s="19"/>
      <c r="C90" s="7"/>
      <c r="D90" s="19"/>
      <c r="E90" s="7"/>
      <c r="F90" s="19"/>
      <c r="G90" s="9"/>
      <c r="H90" s="19"/>
      <c r="I90" s="7"/>
      <c r="N90" t="str">
        <f t="shared" si="1"/>
        <v/>
      </c>
    </row>
    <row r="91" spans="1:14">
      <c r="A91" s="19"/>
      <c r="B91" s="19"/>
      <c r="C91" s="7"/>
      <c r="D91" s="19"/>
      <c r="E91" s="7"/>
      <c r="F91" s="19"/>
      <c r="G91" s="9"/>
      <c r="H91" s="19"/>
      <c r="I91" s="7"/>
      <c r="N91" t="str">
        <f t="shared" si="1"/>
        <v/>
      </c>
    </row>
    <row r="92" spans="1:14">
      <c r="A92" s="19"/>
      <c r="B92" s="19"/>
      <c r="C92" s="7"/>
      <c r="D92" s="19"/>
      <c r="E92" s="7"/>
      <c r="F92" s="19"/>
      <c r="G92" s="9"/>
      <c r="H92" s="19"/>
      <c r="I92" s="7"/>
      <c r="N92" t="str">
        <f t="shared" si="1"/>
        <v/>
      </c>
    </row>
    <row r="93" spans="1:14">
      <c r="A93" s="20"/>
      <c r="B93" s="19"/>
      <c r="C93" s="7"/>
      <c r="D93" s="19"/>
      <c r="E93" s="7"/>
      <c r="F93" s="19"/>
      <c r="G93" s="9"/>
      <c r="H93" s="19"/>
      <c r="I93" s="7"/>
      <c r="N93" t="str">
        <f t="shared" si="1"/>
        <v/>
      </c>
    </row>
    <row r="94" spans="1:14">
      <c r="A94" s="19"/>
      <c r="B94" s="19"/>
      <c r="C94" s="7"/>
      <c r="D94" s="19"/>
      <c r="E94" s="7"/>
      <c r="F94" s="19"/>
      <c r="G94" s="9"/>
      <c r="H94" s="19"/>
      <c r="I94" s="7"/>
      <c r="N94" t="str">
        <f t="shared" si="1"/>
        <v/>
      </c>
    </row>
    <row r="95" spans="1:14">
      <c r="A95" s="19"/>
      <c r="B95" s="19"/>
      <c r="C95" s="7"/>
      <c r="D95" s="19"/>
      <c r="E95" s="7"/>
      <c r="F95" s="19"/>
      <c r="G95" s="9"/>
      <c r="H95" s="19"/>
      <c r="I95" s="7"/>
      <c r="N95" t="str">
        <f t="shared" si="1"/>
        <v/>
      </c>
    </row>
    <row r="96" spans="1:14">
      <c r="A96" s="20"/>
      <c r="B96" s="19"/>
      <c r="C96" s="7"/>
      <c r="D96" s="19"/>
      <c r="E96" s="7"/>
      <c r="F96" s="19"/>
      <c r="G96" s="9"/>
      <c r="H96" s="19"/>
      <c r="I96" s="7"/>
      <c r="N96" t="str">
        <f t="shared" si="1"/>
        <v/>
      </c>
    </row>
    <row r="97" spans="1:14">
      <c r="A97" s="19"/>
      <c r="B97" s="19"/>
      <c r="C97" s="7"/>
      <c r="D97" s="19"/>
      <c r="E97" s="7"/>
      <c r="F97" s="19"/>
      <c r="G97" s="9"/>
      <c r="H97" s="19"/>
      <c r="I97" s="7"/>
      <c r="N97" t="str">
        <f t="shared" si="1"/>
        <v/>
      </c>
    </row>
    <row r="98" spans="1:14">
      <c r="A98" s="19"/>
      <c r="B98" s="19"/>
      <c r="C98" s="7"/>
      <c r="D98" s="19"/>
      <c r="E98" s="7"/>
      <c r="F98" s="19"/>
      <c r="G98" s="9"/>
      <c r="H98" s="19"/>
      <c r="I98" s="7"/>
      <c r="J98" s="12"/>
      <c r="N98" t="str">
        <f t="shared" si="1"/>
        <v/>
      </c>
    </row>
    <row r="99" spans="1:14">
      <c r="A99" s="20"/>
      <c r="B99" s="19"/>
      <c r="C99" s="7"/>
      <c r="D99" s="19"/>
      <c r="E99" s="7"/>
      <c r="F99" s="19"/>
      <c r="G99" s="9"/>
      <c r="H99" s="19"/>
      <c r="I99" s="7"/>
      <c r="N99" t="str">
        <f t="shared" si="1"/>
        <v/>
      </c>
    </row>
    <row r="100" spans="1:14">
      <c r="A100" s="19"/>
      <c r="B100" s="19"/>
      <c r="C100" s="7"/>
      <c r="D100" s="19"/>
      <c r="E100" s="7"/>
      <c r="F100" s="19"/>
      <c r="G100" s="9"/>
      <c r="H100" s="19"/>
      <c r="I100" s="7"/>
      <c r="N100" t="str">
        <f t="shared" si="1"/>
        <v/>
      </c>
    </row>
    <row r="101" spans="1:14">
      <c r="A101" s="19"/>
      <c r="B101" s="19"/>
      <c r="C101" s="7"/>
      <c r="D101" s="19"/>
      <c r="E101" s="7"/>
      <c r="F101" s="19"/>
      <c r="G101" s="9"/>
      <c r="H101" s="19"/>
      <c r="I101" s="7"/>
      <c r="N101" t="str">
        <f t="shared" si="1"/>
        <v/>
      </c>
    </row>
    <row r="102" spans="1:14">
      <c r="A102" s="19"/>
      <c r="B102" s="19"/>
      <c r="C102" s="7"/>
      <c r="D102" s="19"/>
      <c r="E102" s="7"/>
      <c r="F102" s="19"/>
      <c r="G102" s="9"/>
      <c r="H102" s="19"/>
      <c r="I102" s="7"/>
      <c r="N102" t="str">
        <f t="shared" si="1"/>
        <v/>
      </c>
    </row>
    <row r="103" spans="1:14">
      <c r="A103" s="19"/>
      <c r="B103" s="19"/>
      <c r="C103" s="7"/>
      <c r="D103" s="19"/>
      <c r="E103" s="7"/>
      <c r="F103" s="19"/>
      <c r="G103" s="9"/>
      <c r="H103" s="19"/>
      <c r="I103" s="7"/>
      <c r="N103" t="str">
        <f t="shared" si="1"/>
        <v/>
      </c>
    </row>
    <row r="104" spans="1:14">
      <c r="A104" s="19"/>
      <c r="B104" s="19"/>
      <c r="C104" s="7"/>
      <c r="D104" s="19"/>
      <c r="E104" s="7"/>
      <c r="F104" s="19"/>
      <c r="G104" s="9"/>
      <c r="H104" s="19"/>
      <c r="I104" s="7"/>
      <c r="N104" t="str">
        <f t="shared" si="1"/>
        <v/>
      </c>
    </row>
    <row r="105" spans="1:14">
      <c r="A105" s="19"/>
      <c r="B105" s="19"/>
      <c r="C105" s="7"/>
      <c r="D105" s="19"/>
      <c r="E105" s="7"/>
      <c r="F105" s="19"/>
      <c r="G105" s="9"/>
      <c r="H105" s="19"/>
      <c r="I105" s="7"/>
      <c r="N105" t="str">
        <f t="shared" si="1"/>
        <v/>
      </c>
    </row>
    <row r="106" spans="1:14">
      <c r="A106" s="19"/>
      <c r="B106" s="19"/>
      <c r="C106" s="7"/>
      <c r="D106" s="19"/>
      <c r="E106" s="7"/>
      <c r="F106" s="19"/>
      <c r="G106" s="9"/>
      <c r="H106" s="19"/>
      <c r="I106" s="7"/>
      <c r="N106" t="str">
        <f t="shared" si="1"/>
        <v/>
      </c>
    </row>
    <row r="107" spans="1:14">
      <c r="A107" s="19"/>
      <c r="B107" s="19"/>
      <c r="C107" s="7"/>
      <c r="D107" s="19"/>
      <c r="E107" s="7"/>
      <c r="F107" s="19"/>
      <c r="G107" s="9"/>
      <c r="H107" s="19"/>
      <c r="I107" s="7"/>
      <c r="N107" t="str">
        <f t="shared" si="1"/>
        <v/>
      </c>
    </row>
    <row r="108" spans="1:14">
      <c r="A108" s="19"/>
      <c r="B108" s="19"/>
      <c r="C108" s="7"/>
      <c r="D108" s="19"/>
      <c r="E108" s="7"/>
      <c r="F108" s="19"/>
      <c r="G108" s="9"/>
      <c r="H108" s="19"/>
      <c r="I108" s="7"/>
      <c r="N108" t="str">
        <f t="shared" si="1"/>
        <v/>
      </c>
    </row>
    <row r="109" spans="1:14">
      <c r="A109" s="19"/>
      <c r="B109" s="19"/>
      <c r="C109" s="7"/>
      <c r="D109" s="19"/>
      <c r="E109" s="7"/>
      <c r="F109" s="19"/>
      <c r="G109" s="9"/>
      <c r="H109" s="19"/>
      <c r="I109" s="7"/>
      <c r="N109" t="str">
        <f t="shared" si="1"/>
        <v/>
      </c>
    </row>
    <row r="110" spans="1:14">
      <c r="A110" s="19"/>
      <c r="B110" s="19"/>
      <c r="C110" s="7"/>
      <c r="D110" s="19"/>
      <c r="E110" s="7"/>
      <c r="F110" s="19"/>
      <c r="G110" s="9"/>
      <c r="H110" s="19"/>
      <c r="I110" s="7"/>
      <c r="N110" t="str">
        <f t="shared" si="1"/>
        <v/>
      </c>
    </row>
    <row r="111" spans="1:14">
      <c r="A111" s="19"/>
      <c r="B111" s="19"/>
      <c r="C111" s="7"/>
      <c r="D111" s="19"/>
      <c r="E111" s="7"/>
      <c r="F111" s="19"/>
      <c r="G111" s="9"/>
      <c r="H111" s="19"/>
      <c r="I111" s="7"/>
      <c r="N111" t="str">
        <f t="shared" si="1"/>
        <v/>
      </c>
    </row>
    <row r="112" spans="1:14">
      <c r="A112" s="19"/>
      <c r="B112" s="19"/>
      <c r="C112" s="7"/>
      <c r="D112" s="19"/>
      <c r="E112" s="7"/>
      <c r="F112" s="19"/>
      <c r="G112" s="9"/>
      <c r="H112" s="19"/>
      <c r="I112" s="7"/>
      <c r="N112" t="str">
        <f t="shared" si="1"/>
        <v/>
      </c>
    </row>
    <row r="113" spans="1:14">
      <c r="A113" s="20"/>
      <c r="B113" s="19"/>
      <c r="C113" s="7"/>
      <c r="D113" s="19"/>
      <c r="E113" s="7"/>
      <c r="F113" s="19"/>
      <c r="G113" s="9"/>
      <c r="H113" s="19"/>
      <c r="I113" s="7"/>
      <c r="N113" t="str">
        <f t="shared" si="1"/>
        <v/>
      </c>
    </row>
    <row r="114" spans="1:14">
      <c r="A114" s="19"/>
      <c r="B114" s="19"/>
      <c r="C114" s="7"/>
      <c r="D114" s="19"/>
      <c r="E114" s="7"/>
      <c r="F114" s="19"/>
      <c r="G114" s="9"/>
      <c r="H114" s="19"/>
      <c r="I114" s="7"/>
      <c r="N114" t="str">
        <f t="shared" si="1"/>
        <v/>
      </c>
    </row>
    <row r="115" spans="1:14">
      <c r="A115" s="19"/>
      <c r="B115" s="19"/>
      <c r="C115" s="7"/>
      <c r="D115" s="19"/>
      <c r="E115" s="7"/>
      <c r="F115" s="19"/>
      <c r="G115" s="9"/>
      <c r="H115" s="19"/>
      <c r="I115" s="7"/>
      <c r="N115" t="str">
        <f t="shared" si="1"/>
        <v/>
      </c>
    </row>
    <row r="116" spans="1:14">
      <c r="A116" s="19"/>
      <c r="B116" s="19"/>
      <c r="C116" s="7"/>
      <c r="D116" s="19"/>
      <c r="E116" s="7"/>
      <c r="F116" s="19"/>
      <c r="G116" s="9"/>
      <c r="H116" s="19"/>
      <c r="I116" s="7"/>
      <c r="N116" t="str">
        <f t="shared" si="1"/>
        <v/>
      </c>
    </row>
    <row r="117" spans="1:14">
      <c r="A117" s="19"/>
      <c r="B117" s="19"/>
      <c r="C117" s="7"/>
      <c r="D117" s="19"/>
      <c r="E117" s="7"/>
      <c r="F117" s="19"/>
      <c r="G117" s="9"/>
      <c r="H117" s="19"/>
      <c r="I117" s="7"/>
      <c r="N117" t="str">
        <f t="shared" si="1"/>
        <v/>
      </c>
    </row>
    <row r="118" spans="1:14">
      <c r="A118" s="19"/>
      <c r="B118" s="19"/>
      <c r="C118" s="7"/>
      <c r="D118" s="19"/>
      <c r="E118" s="7"/>
      <c r="F118" s="19"/>
      <c r="G118" s="9"/>
      <c r="H118" s="19"/>
      <c r="I118" s="7"/>
      <c r="N118" t="str">
        <f t="shared" si="1"/>
        <v/>
      </c>
    </row>
    <row r="119" spans="1:14">
      <c r="A119" s="19"/>
      <c r="B119" s="19"/>
      <c r="C119" s="7"/>
      <c r="D119" s="19"/>
      <c r="E119" s="7"/>
      <c r="F119" s="19"/>
      <c r="G119" s="9"/>
      <c r="H119" s="19"/>
      <c r="I119" s="7"/>
      <c r="N119" t="str">
        <f t="shared" si="1"/>
        <v/>
      </c>
    </row>
    <row r="120" spans="1:14">
      <c r="A120" s="19"/>
      <c r="B120" s="19"/>
      <c r="C120" s="7"/>
      <c r="D120" s="19"/>
      <c r="E120" s="7"/>
      <c r="F120" s="19"/>
      <c r="G120" s="9"/>
      <c r="H120" s="19"/>
      <c r="I120" s="7"/>
      <c r="N120" t="str">
        <f t="shared" si="1"/>
        <v/>
      </c>
    </row>
    <row r="121" spans="1:14">
      <c r="A121" s="19"/>
      <c r="B121" s="19"/>
      <c r="C121" s="7"/>
      <c r="D121" s="19"/>
      <c r="E121" s="7"/>
      <c r="F121" s="19"/>
      <c r="G121" s="9"/>
      <c r="H121" s="19"/>
      <c r="I121" s="7"/>
      <c r="N121" t="str">
        <f t="shared" si="1"/>
        <v/>
      </c>
    </row>
    <row r="122" spans="1:14">
      <c r="A122" s="19"/>
      <c r="B122" s="19"/>
      <c r="C122" s="7"/>
      <c r="D122" s="19"/>
      <c r="E122" s="7"/>
      <c r="F122" s="19"/>
      <c r="G122" s="9"/>
      <c r="H122" s="19"/>
      <c r="I122" s="7"/>
      <c r="N122" t="str">
        <f t="shared" si="1"/>
        <v/>
      </c>
    </row>
    <row r="123" spans="1:14">
      <c r="A123" s="19"/>
      <c r="B123" s="19"/>
      <c r="C123" s="7"/>
      <c r="D123" s="19"/>
      <c r="E123" s="7"/>
      <c r="F123" s="19"/>
      <c r="G123" s="9"/>
      <c r="H123" s="19"/>
      <c r="I123" s="7"/>
      <c r="N123" t="str">
        <f t="shared" si="1"/>
        <v/>
      </c>
    </row>
    <row r="124" spans="1:14">
      <c r="A124" s="19"/>
      <c r="B124" s="19"/>
      <c r="C124" s="7"/>
      <c r="D124" s="19"/>
      <c r="E124" s="7"/>
      <c r="F124" s="19"/>
      <c r="G124" s="9"/>
      <c r="H124" s="19"/>
      <c r="I124" s="7"/>
      <c r="N124" t="str">
        <f t="shared" si="1"/>
        <v/>
      </c>
    </row>
    <row r="125" spans="1:14">
      <c r="A125" s="19"/>
      <c r="B125" s="19"/>
      <c r="C125" s="7"/>
      <c r="D125" s="19"/>
      <c r="E125" s="7"/>
      <c r="F125" s="19"/>
      <c r="G125" s="9"/>
      <c r="H125" s="19"/>
      <c r="I125" s="7"/>
      <c r="N125" t="str">
        <f t="shared" si="1"/>
        <v/>
      </c>
    </row>
    <row r="126" spans="1:14">
      <c r="A126" s="19"/>
      <c r="B126" s="19"/>
      <c r="C126" s="7"/>
      <c r="D126" s="19"/>
      <c r="E126" s="7"/>
      <c r="F126" s="19"/>
      <c r="G126" s="9"/>
      <c r="H126" s="19"/>
      <c r="I126" s="7"/>
      <c r="N126" t="str">
        <f t="shared" si="1"/>
        <v/>
      </c>
    </row>
    <row r="127" spans="1:14">
      <c r="A127" s="19"/>
      <c r="B127" s="19"/>
      <c r="C127" s="7"/>
      <c r="D127" s="19"/>
      <c r="E127" s="7"/>
      <c r="F127" s="19"/>
      <c r="G127" s="9"/>
      <c r="H127" s="19"/>
      <c r="I127" s="7"/>
      <c r="N127" t="str">
        <f t="shared" si="1"/>
        <v/>
      </c>
    </row>
    <row r="128" spans="1:14">
      <c r="A128" s="19"/>
      <c r="B128" s="19"/>
      <c r="C128" s="7"/>
      <c r="D128" s="19"/>
      <c r="E128" s="7"/>
      <c r="F128" s="19"/>
      <c r="G128" s="9"/>
      <c r="H128" s="19"/>
      <c r="I128" s="7"/>
      <c r="N128" t="str">
        <f t="shared" si="1"/>
        <v/>
      </c>
    </row>
    <row r="129" spans="1:14">
      <c r="A129" s="19"/>
      <c r="B129" s="19"/>
      <c r="C129" s="7"/>
      <c r="D129" s="19"/>
      <c r="E129" s="7"/>
      <c r="F129" s="19"/>
      <c r="G129" s="9"/>
      <c r="H129" s="19"/>
      <c r="I129" s="7"/>
      <c r="N129" t="str">
        <f t="shared" si="1"/>
        <v/>
      </c>
    </row>
    <row r="130" spans="1:14">
      <c r="A130" s="19"/>
      <c r="B130" s="19"/>
      <c r="C130" s="7"/>
      <c r="D130" s="19"/>
      <c r="E130" s="7"/>
      <c r="F130" s="19"/>
      <c r="G130" s="9"/>
      <c r="H130" s="19"/>
      <c r="I130" s="7"/>
      <c r="N130" t="str">
        <f t="shared" ref="N130:N171" si="2">C130&amp;D130</f>
        <v/>
      </c>
    </row>
    <row r="131" spans="1:14">
      <c r="A131" s="19"/>
      <c r="B131" s="19"/>
      <c r="C131" s="7"/>
      <c r="D131" s="19"/>
      <c r="E131" s="7"/>
      <c r="F131" s="19"/>
      <c r="G131" s="9"/>
      <c r="H131" s="19"/>
      <c r="I131" s="7"/>
      <c r="N131" t="str">
        <f t="shared" si="2"/>
        <v/>
      </c>
    </row>
    <row r="132" spans="1:14">
      <c r="A132" s="19"/>
      <c r="B132" s="19"/>
      <c r="C132" s="7"/>
      <c r="D132" s="19"/>
      <c r="E132" s="7"/>
      <c r="F132" s="19"/>
      <c r="G132" s="9"/>
      <c r="H132" s="19"/>
      <c r="I132" s="7"/>
      <c r="N132" t="str">
        <f t="shared" si="2"/>
        <v/>
      </c>
    </row>
    <row r="133" spans="1:14">
      <c r="A133" s="19"/>
      <c r="B133" s="19"/>
      <c r="C133" s="7"/>
      <c r="D133" s="19"/>
      <c r="E133" s="7"/>
      <c r="F133" s="19"/>
      <c r="G133" s="9"/>
      <c r="H133" s="19"/>
      <c r="I133" s="7"/>
      <c r="N133" t="str">
        <f t="shared" si="2"/>
        <v/>
      </c>
    </row>
    <row r="134" spans="1:14">
      <c r="A134" s="19"/>
      <c r="B134" s="19"/>
      <c r="C134" s="7"/>
      <c r="D134" s="19"/>
      <c r="E134" s="7"/>
      <c r="F134" s="19"/>
      <c r="G134" s="9"/>
      <c r="H134" s="19"/>
      <c r="I134" s="7"/>
      <c r="N134" t="str">
        <f t="shared" si="2"/>
        <v/>
      </c>
    </row>
    <row r="135" spans="1:14">
      <c r="A135" s="19"/>
      <c r="B135" s="19"/>
      <c r="C135" s="7"/>
      <c r="D135" s="19"/>
      <c r="E135" s="7"/>
      <c r="F135" s="19"/>
      <c r="G135" s="9"/>
      <c r="H135" s="19"/>
      <c r="I135" s="7"/>
      <c r="N135" t="str">
        <f t="shared" si="2"/>
        <v/>
      </c>
    </row>
    <row r="136" spans="1:14">
      <c r="A136" s="19"/>
      <c r="B136" s="19"/>
      <c r="C136" s="7"/>
      <c r="D136" s="19"/>
      <c r="E136" s="7"/>
      <c r="F136" s="19"/>
      <c r="G136" s="9"/>
      <c r="H136" s="19"/>
      <c r="I136" s="7"/>
      <c r="N136" t="str">
        <f t="shared" si="2"/>
        <v/>
      </c>
    </row>
    <row r="137" spans="1:14">
      <c r="A137" s="19"/>
      <c r="B137" s="19"/>
      <c r="C137" s="7"/>
      <c r="D137" s="19"/>
      <c r="E137" s="7"/>
      <c r="F137" s="19"/>
      <c r="G137" s="9"/>
      <c r="H137" s="19"/>
      <c r="I137" s="7"/>
      <c r="N137" t="str">
        <f t="shared" si="2"/>
        <v/>
      </c>
    </row>
    <row r="138" spans="1:14">
      <c r="A138" s="19"/>
      <c r="B138" s="19"/>
      <c r="C138" s="7"/>
      <c r="D138" s="19"/>
      <c r="E138" s="7"/>
      <c r="F138" s="19"/>
      <c r="G138" s="9"/>
      <c r="H138" s="19"/>
      <c r="I138" s="7"/>
      <c r="N138" t="str">
        <f t="shared" si="2"/>
        <v/>
      </c>
    </row>
    <row r="139" spans="1:14">
      <c r="A139" s="19"/>
      <c r="B139" s="19"/>
      <c r="C139" s="7"/>
      <c r="D139" s="19"/>
      <c r="E139" s="7"/>
      <c r="F139" s="19"/>
      <c r="G139" s="9"/>
      <c r="H139" s="19"/>
      <c r="I139" s="7"/>
      <c r="N139" t="str">
        <f t="shared" si="2"/>
        <v/>
      </c>
    </row>
    <row r="140" spans="1:14">
      <c r="A140" s="19"/>
      <c r="B140" s="19"/>
      <c r="C140" s="7"/>
      <c r="D140" s="19"/>
      <c r="E140" s="7"/>
      <c r="F140" s="19"/>
      <c r="G140" s="9"/>
      <c r="H140" s="19"/>
      <c r="I140" s="7"/>
      <c r="N140" t="str">
        <f t="shared" si="2"/>
        <v/>
      </c>
    </row>
    <row r="141" spans="1:14">
      <c r="A141" s="19"/>
      <c r="B141" s="19"/>
      <c r="C141" s="7"/>
      <c r="D141" s="19"/>
      <c r="E141" s="7"/>
      <c r="F141" s="19"/>
      <c r="G141" s="9"/>
      <c r="H141" s="19"/>
      <c r="I141" s="7"/>
      <c r="N141" t="str">
        <f t="shared" si="2"/>
        <v/>
      </c>
    </row>
    <row r="142" spans="1:14">
      <c r="A142" s="19"/>
      <c r="B142" s="19"/>
      <c r="C142" s="7"/>
      <c r="D142" s="19"/>
      <c r="E142" s="7"/>
      <c r="F142" s="19"/>
      <c r="G142" s="9"/>
      <c r="H142" s="19"/>
      <c r="I142" s="7"/>
      <c r="N142" t="str">
        <f t="shared" si="2"/>
        <v/>
      </c>
    </row>
    <row r="143" spans="1:14">
      <c r="A143" s="19"/>
      <c r="B143" s="19"/>
      <c r="C143" s="7"/>
      <c r="D143" s="19"/>
      <c r="E143" s="7"/>
      <c r="F143" s="19"/>
      <c r="G143" s="9"/>
      <c r="H143" s="19"/>
      <c r="I143" s="7"/>
      <c r="N143" t="str">
        <f t="shared" si="2"/>
        <v/>
      </c>
    </row>
    <row r="144" spans="1:14">
      <c r="A144" s="19"/>
      <c r="B144" s="19"/>
      <c r="C144" s="7"/>
      <c r="D144" s="19"/>
      <c r="E144" s="7"/>
      <c r="F144" s="19"/>
      <c r="G144" s="9"/>
      <c r="H144" s="19"/>
      <c r="I144" s="7"/>
      <c r="J144" s="12"/>
      <c r="N144" t="str">
        <f t="shared" si="2"/>
        <v/>
      </c>
    </row>
    <row r="145" spans="1:14">
      <c r="A145" s="19"/>
      <c r="B145" s="19"/>
      <c r="C145" s="7"/>
      <c r="D145" s="19"/>
      <c r="E145" s="7"/>
      <c r="F145" s="19"/>
      <c r="G145" s="9"/>
      <c r="H145" s="19"/>
      <c r="I145" s="7"/>
      <c r="N145" t="str">
        <f t="shared" si="2"/>
        <v/>
      </c>
    </row>
    <row r="146" spans="1:14">
      <c r="A146" s="19"/>
      <c r="B146" s="19"/>
      <c r="C146" s="7"/>
      <c r="D146" s="19"/>
      <c r="E146" s="7"/>
      <c r="F146" s="19"/>
      <c r="G146" s="9"/>
      <c r="H146" s="19"/>
      <c r="I146" s="7"/>
      <c r="N146" t="str">
        <f t="shared" si="2"/>
        <v/>
      </c>
    </row>
    <row r="147" spans="1:14">
      <c r="A147" s="19"/>
      <c r="B147" s="19"/>
      <c r="C147" s="7"/>
      <c r="D147" s="19"/>
      <c r="E147" s="7"/>
      <c r="F147" s="19"/>
      <c r="G147" s="9"/>
      <c r="H147" s="19"/>
      <c r="I147" s="7"/>
      <c r="N147" t="str">
        <f t="shared" si="2"/>
        <v/>
      </c>
    </row>
    <row r="148" spans="1:14">
      <c r="A148" s="19"/>
      <c r="B148" s="19"/>
      <c r="C148" s="7"/>
      <c r="D148" s="19"/>
      <c r="E148" s="7"/>
      <c r="F148" s="19"/>
      <c r="G148" s="9"/>
      <c r="H148" s="19"/>
      <c r="I148" s="7"/>
      <c r="N148" t="str">
        <f t="shared" si="2"/>
        <v/>
      </c>
    </row>
    <row r="149" spans="1:14">
      <c r="A149" s="19"/>
      <c r="B149" s="19"/>
      <c r="C149" s="7"/>
      <c r="D149" s="19"/>
      <c r="E149" s="7"/>
      <c r="F149" s="19"/>
      <c r="G149" s="9"/>
      <c r="H149" s="19"/>
      <c r="I149" s="7"/>
      <c r="N149" t="str">
        <f t="shared" si="2"/>
        <v/>
      </c>
    </row>
    <row r="150" spans="1:14">
      <c r="A150" s="19"/>
      <c r="B150" s="19"/>
      <c r="C150" s="7"/>
      <c r="D150" s="19"/>
      <c r="E150" s="7"/>
      <c r="F150" s="19"/>
      <c r="G150" s="9"/>
      <c r="H150" s="19"/>
      <c r="I150" s="7"/>
      <c r="N150" t="str">
        <f t="shared" si="2"/>
        <v/>
      </c>
    </row>
    <row r="151" spans="1:14">
      <c r="A151" s="19"/>
      <c r="B151" s="19"/>
      <c r="C151" s="7"/>
      <c r="D151" s="19"/>
      <c r="E151" s="7"/>
      <c r="F151" s="19"/>
      <c r="G151" s="9"/>
      <c r="H151" s="19"/>
      <c r="I151" s="7"/>
      <c r="N151" t="str">
        <f t="shared" si="2"/>
        <v/>
      </c>
    </row>
    <row r="152" spans="1:14">
      <c r="A152" s="19"/>
      <c r="B152" s="19"/>
      <c r="C152" s="7"/>
      <c r="D152" s="19"/>
      <c r="E152" s="7"/>
      <c r="F152" s="19"/>
      <c r="G152" s="9"/>
      <c r="H152" s="19"/>
      <c r="I152" s="7"/>
      <c r="N152" t="str">
        <f t="shared" si="2"/>
        <v/>
      </c>
    </row>
    <row r="153" spans="1:14">
      <c r="A153" s="19"/>
      <c r="B153" s="19"/>
      <c r="C153" s="7"/>
      <c r="D153" s="19"/>
      <c r="E153" s="7"/>
      <c r="F153" s="19"/>
      <c r="G153" s="9"/>
      <c r="H153" s="19"/>
      <c r="I153" s="7"/>
      <c r="N153" t="str">
        <f t="shared" si="2"/>
        <v/>
      </c>
    </row>
    <row r="154" spans="1:14">
      <c r="A154" s="19"/>
      <c r="B154" s="19"/>
      <c r="C154" s="7"/>
      <c r="D154" s="19"/>
      <c r="E154" s="7"/>
      <c r="F154" s="19"/>
      <c r="G154" s="9"/>
      <c r="H154" s="19"/>
      <c r="I154" s="7"/>
      <c r="N154" t="str">
        <f t="shared" si="2"/>
        <v/>
      </c>
    </row>
    <row r="155" spans="1:14">
      <c r="A155" s="19"/>
      <c r="B155" s="19"/>
      <c r="C155" s="7"/>
      <c r="D155" s="19"/>
      <c r="E155" s="7"/>
      <c r="F155" s="19"/>
      <c r="G155" s="9"/>
      <c r="H155" s="19"/>
      <c r="I155" s="7"/>
      <c r="N155" t="str">
        <f t="shared" si="2"/>
        <v/>
      </c>
    </row>
    <row r="156" spans="1:14">
      <c r="A156" s="19"/>
      <c r="B156" s="19"/>
      <c r="C156" s="7"/>
      <c r="D156" s="19"/>
      <c r="E156" s="7"/>
      <c r="F156" s="19"/>
      <c r="G156" s="9"/>
      <c r="H156" s="19"/>
      <c r="I156" s="7"/>
      <c r="N156" t="str">
        <f t="shared" si="2"/>
        <v/>
      </c>
    </row>
    <row r="157" spans="1:14">
      <c r="A157" s="19"/>
      <c r="B157" s="19"/>
      <c r="C157" s="7"/>
      <c r="D157" s="19"/>
      <c r="E157" s="7"/>
      <c r="F157" s="19"/>
      <c r="G157" s="9"/>
      <c r="H157" s="19"/>
      <c r="I157" s="7"/>
      <c r="N157" t="str">
        <f t="shared" si="2"/>
        <v/>
      </c>
    </row>
    <row r="158" spans="1:14">
      <c r="A158" s="19"/>
      <c r="B158" s="19"/>
      <c r="C158" s="7"/>
      <c r="D158" s="19"/>
      <c r="E158" s="7"/>
      <c r="F158" s="19"/>
      <c r="G158" s="9"/>
      <c r="H158" s="19"/>
      <c r="I158" s="7"/>
      <c r="N158" t="str">
        <f t="shared" si="2"/>
        <v/>
      </c>
    </row>
    <row r="159" spans="1:14">
      <c r="A159" s="19"/>
      <c r="B159" s="19"/>
      <c r="C159" s="7"/>
      <c r="D159" s="19"/>
      <c r="E159" s="7"/>
      <c r="F159" s="19"/>
      <c r="G159" s="9"/>
      <c r="H159" s="19"/>
      <c r="I159" s="7"/>
      <c r="N159" t="str">
        <f t="shared" si="2"/>
        <v/>
      </c>
    </row>
    <row r="160" spans="1:14">
      <c r="A160" s="19"/>
      <c r="B160" s="19"/>
      <c r="C160" s="7"/>
      <c r="D160" s="19"/>
      <c r="E160" s="7"/>
      <c r="F160" s="19"/>
      <c r="G160" s="9"/>
      <c r="H160" s="19"/>
      <c r="I160" s="7"/>
      <c r="N160" t="str">
        <f t="shared" si="2"/>
        <v/>
      </c>
    </row>
    <row r="161" spans="1:14">
      <c r="A161" s="20"/>
      <c r="B161" s="19"/>
      <c r="C161" s="7"/>
      <c r="D161" s="19"/>
      <c r="E161" s="7"/>
      <c r="F161" s="19"/>
      <c r="G161" s="9"/>
      <c r="H161" s="19"/>
      <c r="I161" s="7"/>
      <c r="N161" t="str">
        <f t="shared" si="2"/>
        <v/>
      </c>
    </row>
    <row r="162" spans="1:14">
      <c r="A162" s="19"/>
      <c r="B162" s="19"/>
      <c r="C162" s="7"/>
      <c r="D162" s="19"/>
      <c r="E162" s="7"/>
      <c r="F162" s="19"/>
      <c r="G162" s="9"/>
      <c r="H162" s="19"/>
      <c r="I162" s="7"/>
      <c r="N162" t="str">
        <f t="shared" si="2"/>
        <v/>
      </c>
    </row>
    <row r="163" spans="1:14">
      <c r="A163" s="20"/>
      <c r="B163" s="19"/>
      <c r="C163" s="7"/>
      <c r="D163" s="19"/>
      <c r="E163" s="7"/>
      <c r="F163" s="19"/>
      <c r="G163" s="9"/>
      <c r="H163" s="19"/>
      <c r="I163" s="7"/>
      <c r="N163" t="str">
        <f t="shared" si="2"/>
        <v/>
      </c>
    </row>
    <row r="164" spans="1:14">
      <c r="A164" s="19"/>
      <c r="B164" s="19"/>
      <c r="C164" s="7"/>
      <c r="D164" s="19"/>
      <c r="E164" s="7"/>
      <c r="F164" s="19"/>
      <c r="G164" s="9"/>
      <c r="H164" s="19"/>
      <c r="I164" s="7"/>
      <c r="N164" t="str">
        <f t="shared" si="2"/>
        <v/>
      </c>
    </row>
    <row r="165" spans="1:14">
      <c r="A165" s="19"/>
      <c r="B165" s="19"/>
      <c r="C165" s="7"/>
      <c r="D165" s="19"/>
      <c r="E165" s="7"/>
      <c r="F165" s="19"/>
      <c r="G165" s="9"/>
      <c r="H165" s="19"/>
      <c r="I165" s="7"/>
      <c r="N165" t="str">
        <f t="shared" si="2"/>
        <v/>
      </c>
    </row>
    <row r="166" spans="1:14">
      <c r="A166" s="19"/>
      <c r="B166" s="19"/>
      <c r="C166" s="7"/>
      <c r="D166" s="19"/>
      <c r="E166" s="7"/>
      <c r="F166" s="19"/>
      <c r="G166" s="9"/>
      <c r="H166" s="19"/>
      <c r="I166" s="7"/>
      <c r="N166" t="str">
        <f t="shared" si="2"/>
        <v/>
      </c>
    </row>
    <row r="167" spans="1:14">
      <c r="A167" s="20"/>
      <c r="B167" s="19"/>
      <c r="C167" s="7"/>
      <c r="D167" s="19"/>
      <c r="E167" s="7"/>
      <c r="F167" s="19"/>
      <c r="G167" s="9"/>
      <c r="H167" s="19"/>
      <c r="I167" s="7"/>
      <c r="N167" t="str">
        <f t="shared" si="2"/>
        <v/>
      </c>
    </row>
    <row r="168" spans="1:14">
      <c r="A168" s="19"/>
      <c r="B168" s="19"/>
      <c r="C168" s="7"/>
      <c r="D168" s="19"/>
      <c r="E168" s="7"/>
      <c r="F168" s="19"/>
      <c r="G168" s="9"/>
      <c r="H168" s="19"/>
      <c r="I168" s="7"/>
      <c r="N168" t="str">
        <f t="shared" si="2"/>
        <v/>
      </c>
    </row>
    <row r="169" spans="1:14">
      <c r="A169" s="19"/>
      <c r="B169" s="19"/>
      <c r="C169" s="7"/>
      <c r="D169" s="19"/>
      <c r="E169" s="7"/>
      <c r="F169" s="19"/>
      <c r="G169" s="9"/>
      <c r="H169" s="19"/>
      <c r="I169" s="7"/>
      <c r="N169" t="str">
        <f t="shared" si="2"/>
        <v/>
      </c>
    </row>
    <row r="170" spans="1:14">
      <c r="A170" s="19"/>
      <c r="B170" s="19"/>
      <c r="C170" s="7"/>
      <c r="D170" s="19"/>
      <c r="E170" s="7"/>
      <c r="F170" s="19"/>
      <c r="G170" s="9"/>
      <c r="H170" s="19"/>
      <c r="I170" s="7"/>
      <c r="N170" t="str">
        <f t="shared" si="2"/>
        <v/>
      </c>
    </row>
    <row r="171" spans="1:14">
      <c r="A171" s="20"/>
      <c r="B171" s="19"/>
      <c r="C171" s="7"/>
      <c r="D171" s="19"/>
      <c r="E171" s="7"/>
      <c r="F171" s="19"/>
      <c r="G171" s="9"/>
      <c r="H171" s="19"/>
      <c r="I171" s="7"/>
      <c r="N171" t="str">
        <f t="shared" si="2"/>
        <v/>
      </c>
    </row>
  </sheetData>
  <autoFilter ref="A1:N171" xr:uid="{ADC5A7E3-DEBB-477D-9135-6C36A498861F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5A7E3-DEBB-477D-9135-6C36A498861F}">
  <sheetPr filterMode="1"/>
  <dimension ref="A1:N180"/>
  <sheetViews>
    <sheetView tabSelected="1" workbookViewId="0">
      <selection activeCell="H41" sqref="H41"/>
    </sheetView>
  </sheetViews>
  <sheetFormatPr defaultRowHeight="15"/>
  <cols>
    <col min="1" max="1" width="18.5703125" bestFit="1" customWidth="1"/>
    <col min="2" max="2" width="19.28515625" bestFit="1" customWidth="1"/>
    <col min="3" max="3" width="11" bestFit="1" customWidth="1"/>
    <col min="4" max="4" width="8.28515625" bestFit="1" customWidth="1"/>
    <col min="5" max="5" width="11" bestFit="1" customWidth="1"/>
    <col min="6" max="6" width="45.85546875" bestFit="1" customWidth="1"/>
    <col min="7" max="7" width="13.7109375" bestFit="1" customWidth="1"/>
    <col min="8" max="8" width="27" bestFit="1" customWidth="1"/>
    <col min="9" max="9" width="8.5703125" bestFit="1" customWidth="1"/>
    <col min="10" max="10" width="11.85546875" bestFit="1" customWidth="1"/>
    <col min="11" max="12" width="9.28515625" customWidth="1"/>
    <col min="13" max="13" width="61.140625" bestFit="1" customWidth="1"/>
    <col min="14" max="14" width="13.140625" bestFit="1" customWidth="1"/>
  </cols>
  <sheetData>
    <row r="1" spans="1:14">
      <c r="A1" s="8" t="s">
        <v>568</v>
      </c>
      <c r="B1" s="8" t="s">
        <v>32</v>
      </c>
      <c r="C1" s="8" t="s">
        <v>1</v>
      </c>
      <c r="D1" s="8" t="s">
        <v>2</v>
      </c>
      <c r="E1" s="8" t="s">
        <v>47</v>
      </c>
      <c r="F1" s="8" t="s">
        <v>15</v>
      </c>
      <c r="G1" s="8" t="s">
        <v>7</v>
      </c>
      <c r="H1" s="8" t="s">
        <v>66</v>
      </c>
      <c r="I1" s="8" t="s">
        <v>16</v>
      </c>
      <c r="J1" s="10" t="s">
        <v>692</v>
      </c>
      <c r="K1" s="10" t="s">
        <v>693</v>
      </c>
      <c r="L1" s="10" t="s">
        <v>572</v>
      </c>
      <c r="M1" s="10" t="s">
        <v>571</v>
      </c>
      <c r="N1" s="16" t="s">
        <v>699</v>
      </c>
    </row>
    <row r="2" spans="1:14" hidden="1">
      <c r="A2" s="19" t="s">
        <v>105</v>
      </c>
      <c r="B2" s="19" t="s">
        <v>105</v>
      </c>
      <c r="C2" s="7" t="s">
        <v>101</v>
      </c>
      <c r="D2" s="19" t="s">
        <v>69</v>
      </c>
      <c r="E2" s="7" t="s">
        <v>108</v>
      </c>
      <c r="F2" s="19" t="s">
        <v>79</v>
      </c>
      <c r="G2" s="9">
        <v>46073</v>
      </c>
      <c r="H2" s="19" t="s">
        <v>100</v>
      </c>
      <c r="I2" s="7">
        <v>10</v>
      </c>
      <c r="N2" t="str">
        <f t="shared" ref="N2:N33" si="0">C2&amp;D2</f>
        <v>1643005120</v>
      </c>
    </row>
    <row r="3" spans="1:14" hidden="1">
      <c r="A3" s="20" t="s">
        <v>90</v>
      </c>
      <c r="B3" s="19" t="s">
        <v>90</v>
      </c>
      <c r="C3" s="7" t="s">
        <v>68</v>
      </c>
      <c r="D3" s="19" t="s">
        <v>69</v>
      </c>
      <c r="E3" s="7" t="s">
        <v>97</v>
      </c>
      <c r="F3" s="19" t="s">
        <v>79</v>
      </c>
      <c r="G3" s="9">
        <v>46024</v>
      </c>
      <c r="H3" s="19" t="s">
        <v>100</v>
      </c>
      <c r="I3" s="7">
        <v>10</v>
      </c>
      <c r="J3" t="s">
        <v>694</v>
      </c>
      <c r="K3" t="s">
        <v>694</v>
      </c>
      <c r="N3" t="str">
        <f t="shared" si="0"/>
        <v>1642126020</v>
      </c>
    </row>
    <row r="4" spans="1:14" hidden="1">
      <c r="A4" s="19" t="s">
        <v>126</v>
      </c>
      <c r="B4" s="19" t="s">
        <v>569</v>
      </c>
      <c r="C4" s="7" t="s">
        <v>112</v>
      </c>
      <c r="D4" s="19" t="s">
        <v>109</v>
      </c>
      <c r="E4" s="7" t="s">
        <v>125</v>
      </c>
      <c r="F4" s="19" t="s">
        <v>114</v>
      </c>
      <c r="G4" s="9">
        <v>45961</v>
      </c>
      <c r="H4" s="19" t="s">
        <v>100</v>
      </c>
      <c r="I4" s="7">
        <v>7</v>
      </c>
      <c r="J4" t="s">
        <v>694</v>
      </c>
      <c r="K4" t="s">
        <v>694</v>
      </c>
      <c r="N4" t="str">
        <f t="shared" si="0"/>
        <v>1641155810</v>
      </c>
    </row>
    <row r="5" spans="1:14" hidden="1">
      <c r="A5" s="19" t="s">
        <v>136</v>
      </c>
      <c r="B5" s="19" t="s">
        <v>136</v>
      </c>
      <c r="C5" s="7" t="s">
        <v>127</v>
      </c>
      <c r="D5" s="19" t="s">
        <v>128</v>
      </c>
      <c r="E5" s="7" t="s">
        <v>139</v>
      </c>
      <c r="F5" s="19" t="s">
        <v>131</v>
      </c>
      <c r="G5" s="9">
        <v>45659</v>
      </c>
      <c r="H5" s="19" t="s">
        <v>100</v>
      </c>
      <c r="I5" s="7">
        <v>2</v>
      </c>
      <c r="J5" t="s">
        <v>694</v>
      </c>
      <c r="K5" t="s">
        <v>694</v>
      </c>
      <c r="N5" t="str">
        <f t="shared" si="0"/>
        <v>163621992130</v>
      </c>
    </row>
    <row r="6" spans="1:14" hidden="1">
      <c r="A6" s="20" t="s">
        <v>136</v>
      </c>
      <c r="B6" s="19" t="s">
        <v>136</v>
      </c>
      <c r="C6" s="7" t="s">
        <v>127</v>
      </c>
      <c r="D6" s="19" t="s">
        <v>141</v>
      </c>
      <c r="E6" s="7" t="s">
        <v>139</v>
      </c>
      <c r="F6" s="19" t="s">
        <v>131</v>
      </c>
      <c r="G6" s="9">
        <v>45659</v>
      </c>
      <c r="H6" s="19" t="s">
        <v>100</v>
      </c>
      <c r="I6" s="7">
        <v>2</v>
      </c>
      <c r="J6" t="s">
        <v>694</v>
      </c>
      <c r="K6" t="s">
        <v>694</v>
      </c>
      <c r="N6" t="str">
        <f t="shared" si="0"/>
        <v>16362199500</v>
      </c>
    </row>
    <row r="7" spans="1:14" hidden="1">
      <c r="A7" s="19" t="s">
        <v>136</v>
      </c>
      <c r="B7" s="19" t="s">
        <v>136</v>
      </c>
      <c r="C7" s="7" t="s">
        <v>144</v>
      </c>
      <c r="D7" s="19" t="s">
        <v>145</v>
      </c>
      <c r="E7" s="7" t="s">
        <v>152</v>
      </c>
      <c r="F7" s="19" t="s">
        <v>147</v>
      </c>
      <c r="G7" s="9">
        <v>45922</v>
      </c>
      <c r="H7" s="19" t="s">
        <v>100</v>
      </c>
      <c r="I7" s="7">
        <v>10</v>
      </c>
      <c r="N7" t="str">
        <f t="shared" si="0"/>
        <v>16404745100</v>
      </c>
    </row>
    <row r="8" spans="1:14" hidden="1">
      <c r="A8" s="19" t="s">
        <v>159</v>
      </c>
      <c r="B8" s="19" t="s">
        <v>159</v>
      </c>
      <c r="C8" s="7" t="s">
        <v>153</v>
      </c>
      <c r="D8" s="19" t="s">
        <v>109</v>
      </c>
      <c r="E8" s="7" t="s">
        <v>162</v>
      </c>
      <c r="F8" s="19" t="s">
        <v>155</v>
      </c>
      <c r="G8" s="9">
        <v>45754</v>
      </c>
      <c r="H8" s="19" t="s">
        <v>111</v>
      </c>
      <c r="I8" s="7">
        <v>4</v>
      </c>
      <c r="N8" t="str">
        <f t="shared" si="0"/>
        <v>1637822110</v>
      </c>
    </row>
    <row r="9" spans="1:14" hidden="1">
      <c r="A9" s="19" t="s">
        <v>171</v>
      </c>
      <c r="B9" s="19" t="s">
        <v>569</v>
      </c>
      <c r="C9" s="7" t="s">
        <v>112</v>
      </c>
      <c r="D9" s="19" t="s">
        <v>69</v>
      </c>
      <c r="E9" s="7" t="s">
        <v>170</v>
      </c>
      <c r="F9" s="19" t="s">
        <v>164</v>
      </c>
      <c r="G9" s="9">
        <v>45961</v>
      </c>
      <c r="H9" s="19" t="s">
        <v>100</v>
      </c>
      <c r="I9" s="7">
        <v>20</v>
      </c>
      <c r="J9" t="s">
        <v>694</v>
      </c>
      <c r="K9" t="s">
        <v>694</v>
      </c>
      <c r="N9" t="str">
        <f t="shared" si="0"/>
        <v>1641155820</v>
      </c>
    </row>
    <row r="10" spans="1:14" hidden="1">
      <c r="A10" s="19" t="s">
        <v>569</v>
      </c>
      <c r="B10" s="19" t="s">
        <v>232</v>
      </c>
      <c r="C10" s="7" t="s">
        <v>177</v>
      </c>
      <c r="D10" s="19" t="s">
        <v>178</v>
      </c>
      <c r="E10" s="7" t="s">
        <v>569</v>
      </c>
      <c r="F10" s="19" t="s">
        <v>174</v>
      </c>
      <c r="G10" s="9">
        <v>46090</v>
      </c>
      <c r="H10" s="19" t="s">
        <v>203</v>
      </c>
      <c r="I10" s="7">
        <v>10</v>
      </c>
      <c r="N10" t="str">
        <f t="shared" si="0"/>
        <v>1643277640</v>
      </c>
    </row>
    <row r="11" spans="1:14" hidden="1">
      <c r="A11" s="19" t="s">
        <v>569</v>
      </c>
      <c r="B11" s="19" t="s">
        <v>569</v>
      </c>
      <c r="C11" s="7" t="s">
        <v>172</v>
      </c>
      <c r="D11" s="19" t="s">
        <v>109</v>
      </c>
      <c r="E11" s="7" t="s">
        <v>569</v>
      </c>
      <c r="F11" s="19" t="s">
        <v>174</v>
      </c>
      <c r="G11" s="9">
        <v>45855</v>
      </c>
      <c r="H11" s="19" t="s">
        <v>176</v>
      </c>
      <c r="I11" s="7">
        <v>10</v>
      </c>
      <c r="J11" t="s">
        <v>701</v>
      </c>
      <c r="K11" t="s">
        <v>701</v>
      </c>
      <c r="M11" t="s">
        <v>702</v>
      </c>
      <c r="N11" t="str">
        <f t="shared" si="0"/>
        <v>1639407510</v>
      </c>
    </row>
    <row r="12" spans="1:14" hidden="1">
      <c r="A12" s="20" t="s">
        <v>569</v>
      </c>
      <c r="B12" s="19" t="s">
        <v>569</v>
      </c>
      <c r="C12" s="7" t="s">
        <v>785</v>
      </c>
      <c r="D12" s="19" t="s">
        <v>109</v>
      </c>
      <c r="E12" s="7" t="s">
        <v>569</v>
      </c>
      <c r="F12" s="19" t="s">
        <v>787</v>
      </c>
      <c r="G12" s="9">
        <v>46168</v>
      </c>
      <c r="H12" s="19" t="s">
        <v>180</v>
      </c>
      <c r="I12" s="7">
        <v>10</v>
      </c>
      <c r="N12" t="str">
        <f t="shared" si="0"/>
        <v>1644776910</v>
      </c>
    </row>
    <row r="13" spans="1:14" hidden="1">
      <c r="A13" s="19" t="s">
        <v>569</v>
      </c>
      <c r="B13" s="19" t="s">
        <v>569</v>
      </c>
      <c r="C13" s="7" t="s">
        <v>685</v>
      </c>
      <c r="D13" s="19" t="s">
        <v>69</v>
      </c>
      <c r="E13" s="7" t="s">
        <v>569</v>
      </c>
      <c r="F13" s="19" t="s">
        <v>691</v>
      </c>
      <c r="G13" s="9">
        <v>46113</v>
      </c>
      <c r="H13" s="19" t="s">
        <v>180</v>
      </c>
      <c r="I13" s="7">
        <v>100</v>
      </c>
      <c r="N13" t="str">
        <f t="shared" si="0"/>
        <v>1643733920</v>
      </c>
    </row>
    <row r="14" spans="1:14" hidden="1">
      <c r="A14" s="19" t="s">
        <v>569</v>
      </c>
      <c r="B14" s="19" t="s">
        <v>569</v>
      </c>
      <c r="C14" s="7" t="s">
        <v>685</v>
      </c>
      <c r="D14" s="19" t="s">
        <v>143</v>
      </c>
      <c r="E14" s="7" t="s">
        <v>569</v>
      </c>
      <c r="F14" s="19" t="s">
        <v>689</v>
      </c>
      <c r="G14" s="9">
        <v>46113</v>
      </c>
      <c r="H14" s="19" t="s">
        <v>180</v>
      </c>
      <c r="I14" s="7">
        <v>100</v>
      </c>
      <c r="N14" t="str">
        <f t="shared" si="0"/>
        <v>1643733930</v>
      </c>
    </row>
    <row r="15" spans="1:14" hidden="1">
      <c r="A15" s="19" t="s">
        <v>569</v>
      </c>
      <c r="B15" s="19" t="s">
        <v>569</v>
      </c>
      <c r="C15" s="7" t="s">
        <v>685</v>
      </c>
      <c r="D15" s="19" t="s">
        <v>178</v>
      </c>
      <c r="E15" s="7" t="s">
        <v>569</v>
      </c>
      <c r="F15" s="19" t="s">
        <v>687</v>
      </c>
      <c r="G15" s="9">
        <v>46113</v>
      </c>
      <c r="H15" s="19" t="s">
        <v>180</v>
      </c>
      <c r="I15" s="7">
        <v>200</v>
      </c>
      <c r="N15" t="str">
        <f t="shared" si="0"/>
        <v>1643733940</v>
      </c>
    </row>
    <row r="16" spans="1:14" hidden="1">
      <c r="A16" s="19" t="s">
        <v>126</v>
      </c>
      <c r="B16" s="19" t="s">
        <v>569</v>
      </c>
      <c r="C16" s="7" t="s">
        <v>144</v>
      </c>
      <c r="D16" s="19" t="s">
        <v>181</v>
      </c>
      <c r="E16" s="7" t="s">
        <v>191</v>
      </c>
      <c r="F16" s="19" t="s">
        <v>183</v>
      </c>
      <c r="G16" s="9">
        <v>45922</v>
      </c>
      <c r="H16" s="19" t="s">
        <v>100</v>
      </c>
      <c r="I16" s="7">
        <v>600</v>
      </c>
      <c r="J16" t="s">
        <v>694</v>
      </c>
      <c r="K16" t="s">
        <v>694</v>
      </c>
      <c r="N16" t="str">
        <f t="shared" si="0"/>
        <v>16404745160</v>
      </c>
    </row>
    <row r="17" spans="1:14" hidden="1">
      <c r="A17" s="19" t="s">
        <v>126</v>
      </c>
      <c r="B17" s="19" t="s">
        <v>569</v>
      </c>
      <c r="C17" s="7" t="s">
        <v>144</v>
      </c>
      <c r="D17" s="19" t="s">
        <v>192</v>
      </c>
      <c r="E17" s="7" t="s">
        <v>191</v>
      </c>
      <c r="F17" s="19" t="s">
        <v>194</v>
      </c>
      <c r="G17" s="9">
        <v>45922</v>
      </c>
      <c r="H17" s="19" t="s">
        <v>100</v>
      </c>
      <c r="I17" s="7">
        <v>600</v>
      </c>
      <c r="J17" t="s">
        <v>694</v>
      </c>
      <c r="K17" t="s">
        <v>694</v>
      </c>
      <c r="N17" t="str">
        <f t="shared" si="0"/>
        <v>16404745150</v>
      </c>
    </row>
    <row r="18" spans="1:14" hidden="1">
      <c r="A18" s="19" t="s">
        <v>569</v>
      </c>
      <c r="B18" s="19" t="s">
        <v>732</v>
      </c>
      <c r="C18" s="7" t="s">
        <v>685</v>
      </c>
      <c r="D18" s="19" t="s">
        <v>109</v>
      </c>
      <c r="E18" s="7" t="s">
        <v>569</v>
      </c>
      <c r="F18" s="19" t="s">
        <v>199</v>
      </c>
      <c r="G18" s="9">
        <v>46113</v>
      </c>
      <c r="H18" s="19" t="s">
        <v>203</v>
      </c>
      <c r="I18" s="7">
        <v>100</v>
      </c>
      <c r="M18" t="s">
        <v>788</v>
      </c>
      <c r="N18" t="str">
        <f t="shared" si="0"/>
        <v>1643733910</v>
      </c>
    </row>
    <row r="19" spans="1:14" hidden="1">
      <c r="A19" s="19" t="s">
        <v>202</v>
      </c>
      <c r="B19" s="19" t="s">
        <v>202</v>
      </c>
      <c r="C19" s="7" t="s">
        <v>196</v>
      </c>
      <c r="D19" s="19" t="s">
        <v>197</v>
      </c>
      <c r="E19" s="7" t="s">
        <v>684</v>
      </c>
      <c r="F19" s="19" t="s">
        <v>199</v>
      </c>
      <c r="G19" s="9">
        <v>46056</v>
      </c>
      <c r="H19" s="19" t="s">
        <v>227</v>
      </c>
      <c r="I19" s="7">
        <v>100</v>
      </c>
      <c r="J19" t="s">
        <v>790</v>
      </c>
      <c r="N19" t="str">
        <f t="shared" si="0"/>
        <v>16426739300</v>
      </c>
    </row>
    <row r="20" spans="1:14" hidden="1">
      <c r="A20" s="19" t="s">
        <v>202</v>
      </c>
      <c r="B20" s="19" t="s">
        <v>202</v>
      </c>
      <c r="C20" s="7" t="s">
        <v>196</v>
      </c>
      <c r="D20" s="19" t="s">
        <v>204</v>
      </c>
      <c r="E20" s="7" t="s">
        <v>684</v>
      </c>
      <c r="F20" s="19" t="s">
        <v>206</v>
      </c>
      <c r="G20" s="9">
        <v>46056</v>
      </c>
      <c r="H20" s="19" t="s">
        <v>227</v>
      </c>
      <c r="I20" s="7">
        <v>100</v>
      </c>
      <c r="J20" t="s">
        <v>790</v>
      </c>
      <c r="N20" t="str">
        <f t="shared" si="0"/>
        <v>16426739280</v>
      </c>
    </row>
    <row r="21" spans="1:14" hidden="1">
      <c r="A21" s="19" t="s">
        <v>159</v>
      </c>
      <c r="B21" s="19" t="s">
        <v>159</v>
      </c>
      <c r="C21" s="7" t="s">
        <v>647</v>
      </c>
      <c r="D21" s="19" t="s">
        <v>679</v>
      </c>
      <c r="E21" s="7" t="s">
        <v>781</v>
      </c>
      <c r="F21" s="19" t="s">
        <v>681</v>
      </c>
      <c r="G21" s="9">
        <v>46129</v>
      </c>
      <c r="H21" s="19" t="s">
        <v>111</v>
      </c>
      <c r="I21" s="7">
        <v>18</v>
      </c>
      <c r="N21" t="str">
        <f t="shared" si="0"/>
        <v>16440116640</v>
      </c>
    </row>
    <row r="22" spans="1:14" hidden="1">
      <c r="A22" s="19" t="s">
        <v>159</v>
      </c>
      <c r="B22" s="19" t="s">
        <v>159</v>
      </c>
      <c r="C22" s="7" t="s">
        <v>647</v>
      </c>
      <c r="D22" s="19" t="s">
        <v>676</v>
      </c>
      <c r="E22" s="7" t="s">
        <v>781</v>
      </c>
      <c r="F22" s="19" t="s">
        <v>678</v>
      </c>
      <c r="G22" s="9">
        <v>46129</v>
      </c>
      <c r="H22" s="19" t="s">
        <v>111</v>
      </c>
      <c r="I22" s="7">
        <v>15</v>
      </c>
      <c r="N22" t="str">
        <f t="shared" si="0"/>
        <v>16440116650</v>
      </c>
    </row>
    <row r="23" spans="1:14" hidden="1">
      <c r="A23" s="19" t="s">
        <v>159</v>
      </c>
      <c r="B23" s="19" t="s">
        <v>159</v>
      </c>
      <c r="C23" s="7" t="s">
        <v>647</v>
      </c>
      <c r="D23" s="19" t="s">
        <v>673</v>
      </c>
      <c r="E23" s="7" t="s">
        <v>781</v>
      </c>
      <c r="F23" s="19" t="s">
        <v>675</v>
      </c>
      <c r="G23" s="9">
        <v>46129</v>
      </c>
      <c r="H23" s="19" t="s">
        <v>111</v>
      </c>
      <c r="I23" s="7">
        <v>18</v>
      </c>
      <c r="N23" t="str">
        <f t="shared" si="0"/>
        <v>16440116660</v>
      </c>
    </row>
    <row r="24" spans="1:14" hidden="1">
      <c r="A24" s="19" t="s">
        <v>159</v>
      </c>
      <c r="B24" s="19" t="s">
        <v>159</v>
      </c>
      <c r="C24" s="7" t="s">
        <v>647</v>
      </c>
      <c r="D24" s="19" t="s">
        <v>287</v>
      </c>
      <c r="E24" s="7" t="s">
        <v>781</v>
      </c>
      <c r="F24" s="19" t="s">
        <v>672</v>
      </c>
      <c r="G24" s="9">
        <v>46129</v>
      </c>
      <c r="H24" s="19" t="s">
        <v>111</v>
      </c>
      <c r="I24" s="7">
        <v>11</v>
      </c>
      <c r="N24" t="str">
        <f t="shared" si="0"/>
        <v>16440116670</v>
      </c>
    </row>
    <row r="25" spans="1:14" hidden="1">
      <c r="A25" s="19" t="s">
        <v>159</v>
      </c>
      <c r="B25" s="19" t="s">
        <v>159</v>
      </c>
      <c r="C25" s="7" t="s">
        <v>647</v>
      </c>
      <c r="D25" s="19" t="s">
        <v>668</v>
      </c>
      <c r="E25" s="7" t="s">
        <v>781</v>
      </c>
      <c r="F25" s="19" t="s">
        <v>670</v>
      </c>
      <c r="G25" s="9">
        <v>46129</v>
      </c>
      <c r="H25" s="19" t="s">
        <v>111</v>
      </c>
      <c r="I25" s="7">
        <v>9</v>
      </c>
      <c r="N25" t="str">
        <f t="shared" si="0"/>
        <v>16440116680</v>
      </c>
    </row>
    <row r="26" spans="1:14" hidden="1">
      <c r="A26" s="19" t="s">
        <v>159</v>
      </c>
      <c r="B26" s="19" t="s">
        <v>159</v>
      </c>
      <c r="C26" s="7" t="s">
        <v>647</v>
      </c>
      <c r="D26" s="19" t="s">
        <v>664</v>
      </c>
      <c r="E26" s="7" t="s">
        <v>781</v>
      </c>
      <c r="F26" s="19" t="s">
        <v>666</v>
      </c>
      <c r="G26" s="9">
        <v>46129</v>
      </c>
      <c r="H26" s="19" t="s">
        <v>111</v>
      </c>
      <c r="I26" s="7">
        <v>11</v>
      </c>
      <c r="N26" t="str">
        <f t="shared" si="0"/>
        <v>16440116690</v>
      </c>
    </row>
    <row r="27" spans="1:14" hidden="1">
      <c r="A27" s="19" t="s">
        <v>569</v>
      </c>
      <c r="B27" s="19" t="s">
        <v>159</v>
      </c>
      <c r="C27" s="7" t="s">
        <v>647</v>
      </c>
      <c r="D27" s="19" t="s">
        <v>661</v>
      </c>
      <c r="E27" s="7" t="s">
        <v>569</v>
      </c>
      <c r="F27" s="19" t="s">
        <v>663</v>
      </c>
      <c r="G27" s="9">
        <v>46129</v>
      </c>
      <c r="H27" s="19" t="s">
        <v>203</v>
      </c>
      <c r="I27" s="7">
        <v>18</v>
      </c>
      <c r="N27" t="str">
        <f t="shared" si="0"/>
        <v>16440116700</v>
      </c>
    </row>
    <row r="28" spans="1:14" hidden="1">
      <c r="A28" s="19" t="s">
        <v>569</v>
      </c>
      <c r="B28" s="19" t="s">
        <v>159</v>
      </c>
      <c r="C28" s="7" t="s">
        <v>647</v>
      </c>
      <c r="D28" s="19" t="s">
        <v>398</v>
      </c>
      <c r="E28" s="7" t="s">
        <v>569</v>
      </c>
      <c r="F28" s="19" t="s">
        <v>660</v>
      </c>
      <c r="G28" s="9">
        <v>46129</v>
      </c>
      <c r="H28" s="19" t="s">
        <v>203</v>
      </c>
      <c r="I28" s="7">
        <v>18</v>
      </c>
      <c r="N28" t="str">
        <f t="shared" si="0"/>
        <v>16440116710</v>
      </c>
    </row>
    <row r="29" spans="1:14" hidden="1">
      <c r="A29" s="19" t="s">
        <v>569</v>
      </c>
      <c r="B29" s="19" t="s">
        <v>159</v>
      </c>
      <c r="C29" s="7" t="s">
        <v>647</v>
      </c>
      <c r="D29" s="19" t="s">
        <v>252</v>
      </c>
      <c r="E29" s="7" t="s">
        <v>569</v>
      </c>
      <c r="F29" s="19" t="s">
        <v>658</v>
      </c>
      <c r="G29" s="9">
        <v>46129</v>
      </c>
      <c r="H29" s="19" t="s">
        <v>203</v>
      </c>
      <c r="I29" s="7">
        <v>11</v>
      </c>
      <c r="N29" t="str">
        <f t="shared" si="0"/>
        <v>16440116720</v>
      </c>
    </row>
    <row r="30" spans="1:14" hidden="1">
      <c r="A30" s="19" t="s">
        <v>569</v>
      </c>
      <c r="B30" s="19" t="s">
        <v>159</v>
      </c>
      <c r="C30" s="7" t="s">
        <v>647</v>
      </c>
      <c r="D30" s="19" t="s">
        <v>328</v>
      </c>
      <c r="E30" s="7" t="s">
        <v>569</v>
      </c>
      <c r="F30" s="19" t="s">
        <v>656</v>
      </c>
      <c r="G30" s="9">
        <v>46129</v>
      </c>
      <c r="H30" s="19" t="s">
        <v>203</v>
      </c>
      <c r="I30" s="7">
        <v>9</v>
      </c>
      <c r="N30" t="str">
        <f t="shared" si="0"/>
        <v>16440116730</v>
      </c>
    </row>
    <row r="31" spans="1:14" hidden="1">
      <c r="A31" s="19" t="s">
        <v>569</v>
      </c>
      <c r="B31" s="19" t="s">
        <v>159</v>
      </c>
      <c r="C31" s="7" t="s">
        <v>647</v>
      </c>
      <c r="D31" s="19" t="s">
        <v>652</v>
      </c>
      <c r="E31" s="7" t="s">
        <v>569</v>
      </c>
      <c r="F31" s="19" t="s">
        <v>654</v>
      </c>
      <c r="G31" s="9">
        <v>46129</v>
      </c>
      <c r="H31" s="19" t="s">
        <v>203</v>
      </c>
      <c r="I31" s="7">
        <v>15</v>
      </c>
      <c r="N31" t="str">
        <f t="shared" si="0"/>
        <v>16440116740</v>
      </c>
    </row>
    <row r="32" spans="1:14" hidden="1">
      <c r="A32" s="19" t="s">
        <v>569</v>
      </c>
      <c r="B32" s="19" t="s">
        <v>569</v>
      </c>
      <c r="C32" s="7" t="s">
        <v>647</v>
      </c>
      <c r="D32" s="19" t="s">
        <v>648</v>
      </c>
      <c r="E32" s="7" t="s">
        <v>569</v>
      </c>
      <c r="F32" s="19" t="s">
        <v>650</v>
      </c>
      <c r="G32" s="9">
        <v>46129</v>
      </c>
      <c r="H32" s="19" t="s">
        <v>180</v>
      </c>
      <c r="I32" s="7">
        <v>11</v>
      </c>
      <c r="N32" t="str">
        <f t="shared" si="0"/>
        <v>16440116750</v>
      </c>
    </row>
    <row r="33" spans="1:14" hidden="1">
      <c r="A33" s="19" t="s">
        <v>588</v>
      </c>
      <c r="B33" s="19" t="s">
        <v>588</v>
      </c>
      <c r="C33" s="7" t="s">
        <v>207</v>
      </c>
      <c r="D33" s="19" t="s">
        <v>143</v>
      </c>
      <c r="E33" s="7" t="s">
        <v>591</v>
      </c>
      <c r="F33" s="19" t="s">
        <v>209</v>
      </c>
      <c r="G33" s="9">
        <v>46090</v>
      </c>
      <c r="H33" s="19" t="s">
        <v>100</v>
      </c>
      <c r="I33" s="7">
        <v>2</v>
      </c>
      <c r="J33" t="s">
        <v>98</v>
      </c>
      <c r="K33" t="s">
        <v>98</v>
      </c>
      <c r="L33" t="s">
        <v>98</v>
      </c>
      <c r="N33" t="str">
        <f t="shared" si="0"/>
        <v>1643279430</v>
      </c>
    </row>
    <row r="34" spans="1:14" hidden="1">
      <c r="A34" s="19" t="s">
        <v>136</v>
      </c>
      <c r="B34" s="19" t="s">
        <v>136</v>
      </c>
      <c r="C34" s="7" t="s">
        <v>196</v>
      </c>
      <c r="D34" s="19" t="s">
        <v>210</v>
      </c>
      <c r="E34" s="7" t="s">
        <v>216</v>
      </c>
      <c r="F34" s="19" t="s">
        <v>212</v>
      </c>
      <c r="G34" s="9">
        <v>46056</v>
      </c>
      <c r="H34" s="19" t="s">
        <v>100</v>
      </c>
      <c r="I34" s="7">
        <v>3</v>
      </c>
      <c r="J34" t="s">
        <v>98</v>
      </c>
      <c r="K34" t="s">
        <v>703</v>
      </c>
      <c r="N34" t="str">
        <f t="shared" ref="N34:N65" si="1">C34&amp;D34</f>
        <v>16426739310</v>
      </c>
    </row>
    <row r="35" spans="1:14" hidden="1">
      <c r="A35" s="19" t="s">
        <v>223</v>
      </c>
      <c r="B35" s="19" t="s">
        <v>223</v>
      </c>
      <c r="C35" s="7" t="s">
        <v>217</v>
      </c>
      <c r="D35" s="19" t="s">
        <v>109</v>
      </c>
      <c r="E35" s="7" t="s">
        <v>226</v>
      </c>
      <c r="F35" s="19" t="s">
        <v>219</v>
      </c>
      <c r="G35" s="9">
        <v>45902</v>
      </c>
      <c r="H35" s="19" t="s">
        <v>227</v>
      </c>
      <c r="I35" s="7">
        <v>3</v>
      </c>
      <c r="J35" t="s">
        <v>694</v>
      </c>
      <c r="K35" t="s">
        <v>701</v>
      </c>
      <c r="N35" t="str">
        <f t="shared" si="1"/>
        <v>1640151010</v>
      </c>
    </row>
    <row r="36" spans="1:14" hidden="1">
      <c r="A36" s="19" t="s">
        <v>126</v>
      </c>
      <c r="B36" s="19" t="s">
        <v>569</v>
      </c>
      <c r="C36" s="7" t="s">
        <v>713</v>
      </c>
      <c r="D36" s="19" t="s">
        <v>69</v>
      </c>
      <c r="E36" s="7" t="s">
        <v>775</v>
      </c>
      <c r="F36" s="19" t="s">
        <v>773</v>
      </c>
      <c r="G36" s="9">
        <v>46141</v>
      </c>
      <c r="H36" s="19" t="s">
        <v>227</v>
      </c>
      <c r="I36" s="7">
        <v>10</v>
      </c>
      <c r="J36" t="e">
        <v>#N/A</v>
      </c>
      <c r="K36" t="e">
        <v>#N/A</v>
      </c>
      <c r="L36" t="e">
        <v>#N/A</v>
      </c>
      <c r="M36" t="e">
        <v>#N/A</v>
      </c>
      <c r="N36" t="str">
        <f t="shared" si="1"/>
        <v>1644232020</v>
      </c>
    </row>
    <row r="37" spans="1:14" hidden="1">
      <c r="A37" s="19" t="s">
        <v>126</v>
      </c>
      <c r="B37" s="19" t="s">
        <v>569</v>
      </c>
      <c r="C37" s="7" t="s">
        <v>207</v>
      </c>
      <c r="D37" s="19" t="s">
        <v>109</v>
      </c>
      <c r="E37" s="7" t="s">
        <v>233</v>
      </c>
      <c r="F37" s="19" t="s">
        <v>229</v>
      </c>
      <c r="G37" s="9">
        <v>46090</v>
      </c>
      <c r="H37" s="19" t="s">
        <v>227</v>
      </c>
      <c r="I37" s="7">
        <v>10</v>
      </c>
      <c r="N37" t="str">
        <f t="shared" si="1"/>
        <v>1643279410</v>
      </c>
    </row>
    <row r="38" spans="1:14" hidden="1">
      <c r="A38" s="19" t="s">
        <v>90</v>
      </c>
      <c r="B38" s="19" t="s">
        <v>90</v>
      </c>
      <c r="C38" s="7" t="s">
        <v>713</v>
      </c>
      <c r="D38" s="19" t="s">
        <v>109</v>
      </c>
      <c r="E38" s="7" t="s">
        <v>771</v>
      </c>
      <c r="F38" s="19" t="s">
        <v>769</v>
      </c>
      <c r="G38" s="9">
        <v>46141</v>
      </c>
      <c r="H38" s="19" t="s">
        <v>227</v>
      </c>
      <c r="I38" s="7">
        <v>16</v>
      </c>
      <c r="J38" t="e">
        <v>#N/A</v>
      </c>
      <c r="K38" t="e">
        <v>#N/A</v>
      </c>
      <c r="L38" t="e">
        <v>#N/A</v>
      </c>
      <c r="M38" t="e">
        <v>#N/A</v>
      </c>
      <c r="N38" t="str">
        <f t="shared" si="1"/>
        <v>1644232010</v>
      </c>
    </row>
    <row r="39" spans="1:14">
      <c r="A39" s="19" t="s">
        <v>126</v>
      </c>
      <c r="B39" s="19" t="s">
        <v>569</v>
      </c>
      <c r="C39" s="7" t="s">
        <v>234</v>
      </c>
      <c r="D39" s="19" t="s">
        <v>235</v>
      </c>
      <c r="E39" s="7" t="s">
        <v>242</v>
      </c>
      <c r="F39" s="19" t="s">
        <v>237</v>
      </c>
      <c r="G39" s="9">
        <v>46045</v>
      </c>
      <c r="H39" s="19" t="s">
        <v>227</v>
      </c>
      <c r="I39" s="7">
        <v>40</v>
      </c>
      <c r="J39" t="s">
        <v>704</v>
      </c>
      <c r="N39" t="str">
        <f t="shared" si="1"/>
        <v>1642505690</v>
      </c>
    </row>
    <row r="40" spans="1:14">
      <c r="A40" s="19" t="s">
        <v>569</v>
      </c>
      <c r="B40" s="19" t="s">
        <v>569</v>
      </c>
      <c r="C40" s="7" t="s">
        <v>234</v>
      </c>
      <c r="D40" s="19" t="s">
        <v>243</v>
      </c>
      <c r="E40" s="7" t="s">
        <v>569</v>
      </c>
      <c r="F40" s="19" t="s">
        <v>245</v>
      </c>
      <c r="G40" s="9">
        <v>46045</v>
      </c>
      <c r="H40" s="19" t="s">
        <v>176</v>
      </c>
      <c r="I40" s="7">
        <v>40</v>
      </c>
      <c r="N40" t="str">
        <f t="shared" si="1"/>
        <v>1642505680</v>
      </c>
    </row>
    <row r="41" spans="1:14">
      <c r="A41" s="19" t="s">
        <v>734</v>
      </c>
      <c r="B41" s="19" t="s">
        <v>734</v>
      </c>
      <c r="C41" s="7" t="s">
        <v>610</v>
      </c>
      <c r="D41" s="19" t="s">
        <v>109</v>
      </c>
      <c r="E41" s="7" t="s">
        <v>767</v>
      </c>
      <c r="F41" s="19" t="s">
        <v>245</v>
      </c>
      <c r="G41" s="9">
        <v>46122</v>
      </c>
      <c r="H41" s="23" t="s">
        <v>227</v>
      </c>
      <c r="I41" s="7">
        <v>40</v>
      </c>
      <c r="N41" t="str">
        <f t="shared" si="1"/>
        <v>1643885810</v>
      </c>
    </row>
    <row r="42" spans="1:14" hidden="1">
      <c r="A42" s="19" t="s">
        <v>569</v>
      </c>
      <c r="B42" s="19" t="s">
        <v>569</v>
      </c>
      <c r="C42" s="7" t="s">
        <v>761</v>
      </c>
      <c r="D42" s="19" t="s">
        <v>109</v>
      </c>
      <c r="E42" s="7" t="s">
        <v>569</v>
      </c>
      <c r="F42" s="19" t="s">
        <v>764</v>
      </c>
      <c r="G42" s="9">
        <v>46169</v>
      </c>
      <c r="H42" s="19" t="s">
        <v>180</v>
      </c>
      <c r="I42" s="7">
        <v>25</v>
      </c>
      <c r="J42" t="e">
        <v>#N/A</v>
      </c>
      <c r="K42" t="e">
        <v>#N/A</v>
      </c>
      <c r="L42" t="e">
        <v>#N/A</v>
      </c>
      <c r="M42" t="e">
        <v>#N/A</v>
      </c>
      <c r="N42" t="str">
        <f t="shared" si="1"/>
        <v>1644789710</v>
      </c>
    </row>
    <row r="43" spans="1:14" hidden="1">
      <c r="A43" s="19" t="s">
        <v>569</v>
      </c>
      <c r="B43" s="19" t="s">
        <v>569</v>
      </c>
      <c r="C43" s="7" t="s">
        <v>217</v>
      </c>
      <c r="D43" s="19" t="s">
        <v>69</v>
      </c>
      <c r="E43" s="7" t="s">
        <v>569</v>
      </c>
      <c r="F43" s="19" t="s">
        <v>247</v>
      </c>
      <c r="G43" s="9">
        <v>45902</v>
      </c>
      <c r="H43" s="19" t="s">
        <v>176</v>
      </c>
      <c r="I43" s="7">
        <v>30</v>
      </c>
      <c r="J43" t="s">
        <v>701</v>
      </c>
      <c r="K43" t="s">
        <v>701</v>
      </c>
      <c r="M43" t="s">
        <v>702</v>
      </c>
      <c r="N43" t="str">
        <f t="shared" si="1"/>
        <v>1640151020</v>
      </c>
    </row>
    <row r="44" spans="1:14" hidden="1">
      <c r="A44" s="19" t="s">
        <v>126</v>
      </c>
      <c r="B44" s="19" t="s">
        <v>569</v>
      </c>
      <c r="C44" s="7" t="s">
        <v>196</v>
      </c>
      <c r="D44" s="19" t="s">
        <v>248</v>
      </c>
      <c r="E44" s="7" t="s">
        <v>253</v>
      </c>
      <c r="F44" s="19" t="s">
        <v>250</v>
      </c>
      <c r="G44" s="9">
        <v>46056</v>
      </c>
      <c r="H44" s="19" t="s">
        <v>227</v>
      </c>
      <c r="I44" s="7">
        <v>50</v>
      </c>
      <c r="N44" t="str">
        <f t="shared" si="1"/>
        <v>16426739290</v>
      </c>
    </row>
    <row r="45" spans="1:14" hidden="1">
      <c r="A45" s="19" t="s">
        <v>126</v>
      </c>
      <c r="B45" s="19" t="s">
        <v>569</v>
      </c>
      <c r="C45" s="7" t="s">
        <v>254</v>
      </c>
      <c r="D45" s="19" t="s">
        <v>222</v>
      </c>
      <c r="E45" s="7" t="s">
        <v>258</v>
      </c>
      <c r="F45" s="19" t="s">
        <v>256</v>
      </c>
      <c r="G45" s="9">
        <v>46073</v>
      </c>
      <c r="H45" s="19" t="s">
        <v>100</v>
      </c>
      <c r="I45" s="7">
        <v>10</v>
      </c>
      <c r="J45" t="s">
        <v>98</v>
      </c>
      <c r="K45" s="12" t="s">
        <v>98</v>
      </c>
      <c r="N45" t="str">
        <f t="shared" si="1"/>
        <v>16429989130</v>
      </c>
    </row>
    <row r="46" spans="1:14" hidden="1">
      <c r="A46" s="20" t="s">
        <v>569</v>
      </c>
      <c r="B46" s="19" t="s">
        <v>732</v>
      </c>
      <c r="C46" s="7" t="s">
        <v>254</v>
      </c>
      <c r="D46" s="19" t="s">
        <v>259</v>
      </c>
      <c r="E46" s="7" t="s">
        <v>569</v>
      </c>
      <c r="F46" s="19" t="s">
        <v>261</v>
      </c>
      <c r="G46" s="9">
        <v>46073</v>
      </c>
      <c r="H46" s="19" t="s">
        <v>203</v>
      </c>
      <c r="I46" s="7">
        <v>5</v>
      </c>
      <c r="N46" t="str">
        <f t="shared" si="1"/>
        <v>1642998960</v>
      </c>
    </row>
    <row r="47" spans="1:14" hidden="1">
      <c r="A47" s="20" t="s">
        <v>569</v>
      </c>
      <c r="B47" s="19" t="s">
        <v>732</v>
      </c>
      <c r="C47" s="7" t="s">
        <v>254</v>
      </c>
      <c r="D47" s="19" t="s">
        <v>262</v>
      </c>
      <c r="E47" s="7" t="s">
        <v>569</v>
      </c>
      <c r="F47" s="19" t="s">
        <v>264</v>
      </c>
      <c r="G47" s="9">
        <v>46073</v>
      </c>
      <c r="H47" s="19" t="s">
        <v>203</v>
      </c>
      <c r="I47" s="7">
        <v>20</v>
      </c>
      <c r="N47" t="str">
        <f t="shared" si="1"/>
        <v>1642998950</v>
      </c>
    </row>
    <row r="48" spans="1:14" hidden="1">
      <c r="A48" s="19" t="s">
        <v>126</v>
      </c>
      <c r="B48" s="19" t="s">
        <v>569</v>
      </c>
      <c r="C48" s="7" t="s">
        <v>254</v>
      </c>
      <c r="D48" s="19" t="s">
        <v>192</v>
      </c>
      <c r="E48" s="7" t="s">
        <v>269</v>
      </c>
      <c r="F48" s="19" t="s">
        <v>266</v>
      </c>
      <c r="G48" s="9">
        <v>46073</v>
      </c>
      <c r="H48" s="19" t="s">
        <v>100</v>
      </c>
      <c r="I48" s="7">
        <v>10</v>
      </c>
      <c r="J48" t="s">
        <v>98</v>
      </c>
      <c r="N48" t="str">
        <f t="shared" si="1"/>
        <v>16429989150</v>
      </c>
    </row>
    <row r="49" spans="1:14" hidden="1">
      <c r="A49" s="19" t="s">
        <v>126</v>
      </c>
      <c r="B49" s="19" t="s">
        <v>569</v>
      </c>
      <c r="C49" s="7" t="s">
        <v>254</v>
      </c>
      <c r="D49" s="19" t="s">
        <v>109</v>
      </c>
      <c r="E49" s="7" t="s">
        <v>273</v>
      </c>
      <c r="F49" s="19" t="s">
        <v>271</v>
      </c>
      <c r="G49" s="9">
        <v>46073</v>
      </c>
      <c r="H49" s="19" t="s">
        <v>227</v>
      </c>
      <c r="I49" s="7">
        <v>10</v>
      </c>
      <c r="N49" t="str">
        <f t="shared" si="1"/>
        <v>1642998910</v>
      </c>
    </row>
    <row r="50" spans="1:14" hidden="1">
      <c r="A50" s="19" t="s">
        <v>202</v>
      </c>
      <c r="B50" s="19" t="s">
        <v>202</v>
      </c>
      <c r="C50" s="7" t="s">
        <v>254</v>
      </c>
      <c r="D50" s="19" t="s">
        <v>143</v>
      </c>
      <c r="E50" s="7" t="s">
        <v>757</v>
      </c>
      <c r="F50" s="19" t="s">
        <v>275</v>
      </c>
      <c r="G50" s="9">
        <v>46073</v>
      </c>
      <c r="H50" s="19" t="s">
        <v>111</v>
      </c>
      <c r="I50" s="7">
        <v>10</v>
      </c>
      <c r="N50" t="str">
        <f t="shared" si="1"/>
        <v>1642998930</v>
      </c>
    </row>
    <row r="51" spans="1:14" hidden="1">
      <c r="A51" s="19" t="s">
        <v>569</v>
      </c>
      <c r="B51" s="19" t="s">
        <v>732</v>
      </c>
      <c r="C51" s="7" t="s">
        <v>254</v>
      </c>
      <c r="D51" s="19" t="s">
        <v>69</v>
      </c>
      <c r="E51" s="7" t="s">
        <v>569</v>
      </c>
      <c r="F51" s="19" t="s">
        <v>277</v>
      </c>
      <c r="G51" s="9">
        <v>46073</v>
      </c>
      <c r="H51" s="19" t="s">
        <v>203</v>
      </c>
      <c r="I51" s="7">
        <v>10</v>
      </c>
      <c r="N51" t="str">
        <f t="shared" si="1"/>
        <v>1642998920</v>
      </c>
    </row>
    <row r="52" spans="1:14" hidden="1">
      <c r="A52" s="19" t="s">
        <v>126</v>
      </c>
      <c r="B52" s="19" t="s">
        <v>569</v>
      </c>
      <c r="C52" s="7" t="s">
        <v>254</v>
      </c>
      <c r="D52" s="19" t="s">
        <v>178</v>
      </c>
      <c r="E52" s="7" t="s">
        <v>283</v>
      </c>
      <c r="F52" s="19" t="s">
        <v>279</v>
      </c>
      <c r="G52" s="9">
        <v>46073</v>
      </c>
      <c r="H52" s="19" t="s">
        <v>100</v>
      </c>
      <c r="I52" s="7">
        <v>15</v>
      </c>
      <c r="J52" t="s">
        <v>98</v>
      </c>
      <c r="K52" s="12" t="s">
        <v>98</v>
      </c>
      <c r="N52" t="str">
        <f t="shared" si="1"/>
        <v>1642998940</v>
      </c>
    </row>
    <row r="53" spans="1:14" hidden="1">
      <c r="A53" s="19" t="s">
        <v>126</v>
      </c>
      <c r="B53" s="19" t="s">
        <v>569</v>
      </c>
      <c r="C53" s="7" t="s">
        <v>254</v>
      </c>
      <c r="D53" s="19" t="s">
        <v>284</v>
      </c>
      <c r="E53" s="7" t="s">
        <v>283</v>
      </c>
      <c r="F53" s="19" t="s">
        <v>286</v>
      </c>
      <c r="G53" s="9">
        <v>46073</v>
      </c>
      <c r="H53" s="19" t="s">
        <v>100</v>
      </c>
      <c r="I53" s="7">
        <v>10</v>
      </c>
      <c r="J53" t="s">
        <v>98</v>
      </c>
      <c r="N53" t="str">
        <f t="shared" si="1"/>
        <v>16429989140</v>
      </c>
    </row>
    <row r="54" spans="1:14" hidden="1">
      <c r="A54" s="19" t="s">
        <v>293</v>
      </c>
      <c r="B54" s="19" t="s">
        <v>293</v>
      </c>
      <c r="C54" s="7" t="s">
        <v>144</v>
      </c>
      <c r="D54" s="19" t="s">
        <v>259</v>
      </c>
      <c r="E54" s="7" t="s">
        <v>296</v>
      </c>
      <c r="F54" s="19" t="s">
        <v>289</v>
      </c>
      <c r="G54" s="9">
        <v>45922</v>
      </c>
      <c r="H54" s="19" t="s">
        <v>227</v>
      </c>
      <c r="I54" s="7">
        <v>4</v>
      </c>
      <c r="J54" t="s">
        <v>694</v>
      </c>
      <c r="K54" t="s">
        <v>694</v>
      </c>
      <c r="N54" t="str">
        <f t="shared" si="1"/>
        <v>1640474560</v>
      </c>
    </row>
    <row r="55" spans="1:14" hidden="1">
      <c r="A55" s="19" t="s">
        <v>293</v>
      </c>
      <c r="B55" s="19" t="s">
        <v>293</v>
      </c>
      <c r="C55" s="7" t="s">
        <v>144</v>
      </c>
      <c r="D55" s="19" t="s">
        <v>243</v>
      </c>
      <c r="E55" s="7" t="s">
        <v>296</v>
      </c>
      <c r="F55" s="19" t="s">
        <v>298</v>
      </c>
      <c r="G55" s="9">
        <v>45922</v>
      </c>
      <c r="H55" s="19" t="s">
        <v>227</v>
      </c>
      <c r="I55" s="7">
        <v>2</v>
      </c>
      <c r="J55" t="s">
        <v>694</v>
      </c>
      <c r="K55" t="s">
        <v>694</v>
      </c>
      <c r="N55" t="str">
        <f t="shared" si="1"/>
        <v>1640474580</v>
      </c>
    </row>
    <row r="56" spans="1:14" hidden="1">
      <c r="A56" s="19" t="s">
        <v>293</v>
      </c>
      <c r="B56" s="19" t="s">
        <v>293</v>
      </c>
      <c r="C56" s="7" t="s">
        <v>144</v>
      </c>
      <c r="D56" s="19" t="s">
        <v>140</v>
      </c>
      <c r="E56" s="7" t="s">
        <v>296</v>
      </c>
      <c r="F56" s="19" t="s">
        <v>300</v>
      </c>
      <c r="G56" s="9">
        <v>45922</v>
      </c>
      <c r="H56" s="19" t="s">
        <v>227</v>
      </c>
      <c r="I56" s="7">
        <v>2</v>
      </c>
      <c r="J56" t="s">
        <v>694</v>
      </c>
      <c r="K56" t="s">
        <v>694</v>
      </c>
      <c r="N56" t="str">
        <f t="shared" si="1"/>
        <v>1640474570</v>
      </c>
    </row>
    <row r="57" spans="1:14" hidden="1">
      <c r="A57" s="19" t="s">
        <v>223</v>
      </c>
      <c r="B57" s="19" t="s">
        <v>223</v>
      </c>
      <c r="C57" s="7" t="s">
        <v>144</v>
      </c>
      <c r="D57" s="19" t="s">
        <v>235</v>
      </c>
      <c r="E57" s="7" t="s">
        <v>306</v>
      </c>
      <c r="F57" s="19" t="s">
        <v>302</v>
      </c>
      <c r="G57" s="9">
        <v>45922</v>
      </c>
      <c r="H57" s="19" t="s">
        <v>227</v>
      </c>
      <c r="I57" s="7">
        <v>20</v>
      </c>
      <c r="M57" t="s">
        <v>698</v>
      </c>
      <c r="N57" t="str">
        <f t="shared" si="1"/>
        <v>1640474590</v>
      </c>
    </row>
    <row r="58" spans="1:14" hidden="1">
      <c r="A58" s="19" t="s">
        <v>126</v>
      </c>
      <c r="B58" s="19" t="s">
        <v>569</v>
      </c>
      <c r="C58" s="7" t="s">
        <v>307</v>
      </c>
      <c r="D58" s="19" t="s">
        <v>143</v>
      </c>
      <c r="E58" s="7" t="s">
        <v>314</v>
      </c>
      <c r="F58" s="19" t="s">
        <v>309</v>
      </c>
      <c r="G58" s="9">
        <v>45904</v>
      </c>
      <c r="H58" s="19" t="s">
        <v>100</v>
      </c>
      <c r="I58" s="7">
        <v>30</v>
      </c>
      <c r="J58" t="s">
        <v>694</v>
      </c>
      <c r="K58" t="s">
        <v>694</v>
      </c>
      <c r="N58" t="str">
        <f t="shared" si="1"/>
        <v>1640186030</v>
      </c>
    </row>
    <row r="59" spans="1:14" hidden="1">
      <c r="A59" s="19" t="s">
        <v>223</v>
      </c>
      <c r="B59" s="19" t="s">
        <v>223</v>
      </c>
      <c r="C59" s="7" t="s">
        <v>315</v>
      </c>
      <c r="D59" s="19" t="s">
        <v>109</v>
      </c>
      <c r="E59" s="7" t="s">
        <v>321</v>
      </c>
      <c r="F59" s="19" t="s">
        <v>317</v>
      </c>
      <c r="G59" s="9">
        <v>45855</v>
      </c>
      <c r="H59" s="19" t="s">
        <v>100</v>
      </c>
      <c r="I59" s="7">
        <v>2</v>
      </c>
      <c r="J59" t="s">
        <v>694</v>
      </c>
      <c r="K59" t="s">
        <v>694</v>
      </c>
      <c r="N59" t="str">
        <f t="shared" si="1"/>
        <v>1639407110</v>
      </c>
    </row>
    <row r="60" spans="1:14" hidden="1">
      <c r="A60" s="19" t="s">
        <v>569</v>
      </c>
      <c r="B60" s="19" t="s">
        <v>718</v>
      </c>
      <c r="C60" s="7" t="s">
        <v>583</v>
      </c>
      <c r="D60" s="19" t="s">
        <v>140</v>
      </c>
      <c r="E60" s="7" t="s">
        <v>569</v>
      </c>
      <c r="F60" s="19" t="s">
        <v>317</v>
      </c>
      <c r="G60" s="9">
        <v>46122</v>
      </c>
      <c r="H60" s="19" t="s">
        <v>203</v>
      </c>
      <c r="I60" s="7">
        <v>2</v>
      </c>
      <c r="N60" t="str">
        <f t="shared" si="1"/>
        <v>1643886370</v>
      </c>
    </row>
    <row r="61" spans="1:14" hidden="1">
      <c r="A61" s="19" t="s">
        <v>569</v>
      </c>
      <c r="B61" s="19" t="s">
        <v>569</v>
      </c>
      <c r="C61" s="7" t="s">
        <v>322</v>
      </c>
      <c r="D61" s="19" t="s">
        <v>262</v>
      </c>
      <c r="E61" s="7" t="s">
        <v>569</v>
      </c>
      <c r="F61" s="19" t="s">
        <v>324</v>
      </c>
      <c r="G61" s="9">
        <v>46073</v>
      </c>
      <c r="H61" s="19" t="s">
        <v>550</v>
      </c>
      <c r="I61" s="7">
        <v>1</v>
      </c>
      <c r="N61" t="str">
        <f t="shared" si="1"/>
        <v>1642992350</v>
      </c>
    </row>
    <row r="62" spans="1:14" hidden="1">
      <c r="A62" s="19" t="s">
        <v>126</v>
      </c>
      <c r="B62" s="19" t="s">
        <v>569</v>
      </c>
      <c r="C62" s="7" t="s">
        <v>234</v>
      </c>
      <c r="D62" s="19" t="s">
        <v>109</v>
      </c>
      <c r="E62" s="7" t="s">
        <v>329</v>
      </c>
      <c r="F62" s="19" t="s">
        <v>326</v>
      </c>
      <c r="G62" s="9">
        <v>46045</v>
      </c>
      <c r="H62" s="19" t="s">
        <v>100</v>
      </c>
      <c r="I62" s="7">
        <v>150</v>
      </c>
      <c r="J62" t="s">
        <v>694</v>
      </c>
      <c r="K62" t="s">
        <v>694</v>
      </c>
      <c r="N62" t="str">
        <f t="shared" si="1"/>
        <v>1642505610</v>
      </c>
    </row>
    <row r="63" spans="1:14" hidden="1">
      <c r="A63" s="19" t="s">
        <v>126</v>
      </c>
      <c r="B63" s="19" t="s">
        <v>569</v>
      </c>
      <c r="C63" s="7" t="s">
        <v>234</v>
      </c>
      <c r="D63" s="19" t="s">
        <v>69</v>
      </c>
      <c r="E63" s="7" t="s">
        <v>329</v>
      </c>
      <c r="F63" s="19" t="s">
        <v>331</v>
      </c>
      <c r="G63" s="9">
        <v>46045</v>
      </c>
      <c r="H63" s="19" t="s">
        <v>100</v>
      </c>
      <c r="I63" s="7">
        <v>100</v>
      </c>
      <c r="J63" t="s">
        <v>694</v>
      </c>
      <c r="K63" t="s">
        <v>694</v>
      </c>
      <c r="N63" t="str">
        <f t="shared" si="1"/>
        <v>1642505620</v>
      </c>
    </row>
    <row r="64" spans="1:14" hidden="1">
      <c r="A64" s="19" t="s">
        <v>171</v>
      </c>
      <c r="B64" s="19" t="s">
        <v>171</v>
      </c>
      <c r="C64" s="7" t="s">
        <v>332</v>
      </c>
      <c r="D64" s="19" t="s">
        <v>69</v>
      </c>
      <c r="E64" s="7" t="s">
        <v>339</v>
      </c>
      <c r="F64" s="19" t="s">
        <v>334</v>
      </c>
      <c r="G64" s="9">
        <v>45930</v>
      </c>
      <c r="H64" s="19" t="s">
        <v>100</v>
      </c>
      <c r="I64" s="7">
        <v>5</v>
      </c>
      <c r="J64" t="s">
        <v>694</v>
      </c>
      <c r="K64" t="s">
        <v>694</v>
      </c>
      <c r="N64" t="str">
        <f t="shared" si="1"/>
        <v>1640598920</v>
      </c>
    </row>
    <row r="65" spans="1:14" hidden="1">
      <c r="A65" s="19" t="s">
        <v>569</v>
      </c>
      <c r="B65" s="19" t="s">
        <v>232</v>
      </c>
      <c r="C65" s="7" t="s">
        <v>322</v>
      </c>
      <c r="D65" s="19" t="s">
        <v>143</v>
      </c>
      <c r="E65" s="7" t="s">
        <v>569</v>
      </c>
      <c r="F65" s="19" t="s">
        <v>341</v>
      </c>
      <c r="G65" s="9">
        <v>46073</v>
      </c>
      <c r="H65" s="19" t="s">
        <v>203</v>
      </c>
      <c r="I65" s="7">
        <v>1</v>
      </c>
      <c r="N65" t="str">
        <f t="shared" si="1"/>
        <v>1642992330</v>
      </c>
    </row>
    <row r="66" spans="1:14" hidden="1">
      <c r="A66" s="19" t="s">
        <v>202</v>
      </c>
      <c r="B66" s="19" t="s">
        <v>202</v>
      </c>
      <c r="C66" s="7" t="s">
        <v>254</v>
      </c>
      <c r="D66" s="19" t="s">
        <v>145</v>
      </c>
      <c r="E66" s="7" t="s">
        <v>757</v>
      </c>
      <c r="F66" s="19" t="s">
        <v>343</v>
      </c>
      <c r="G66" s="9">
        <v>46073</v>
      </c>
      <c r="H66" s="19" t="s">
        <v>111</v>
      </c>
      <c r="I66" s="7">
        <v>10</v>
      </c>
      <c r="N66" t="str">
        <f t="shared" ref="N66:N97" si="2">C66&amp;D66</f>
        <v>16429989100</v>
      </c>
    </row>
    <row r="67" spans="1:14" hidden="1">
      <c r="A67" s="19" t="s">
        <v>126</v>
      </c>
      <c r="B67" s="19" t="s">
        <v>569</v>
      </c>
      <c r="C67" s="7" t="s">
        <v>254</v>
      </c>
      <c r="D67" s="19" t="s">
        <v>235</v>
      </c>
      <c r="E67" s="7" t="s">
        <v>283</v>
      </c>
      <c r="F67" s="19" t="s">
        <v>345</v>
      </c>
      <c r="G67" s="9">
        <v>46073</v>
      </c>
      <c r="H67" s="19" t="s">
        <v>100</v>
      </c>
      <c r="I67" s="7">
        <v>10</v>
      </c>
      <c r="N67" t="str">
        <f t="shared" si="2"/>
        <v>1642998990</v>
      </c>
    </row>
    <row r="68" spans="1:14" hidden="1">
      <c r="A68" s="19" t="s">
        <v>126</v>
      </c>
      <c r="B68" s="19" t="s">
        <v>569</v>
      </c>
      <c r="C68" s="7" t="s">
        <v>254</v>
      </c>
      <c r="D68" s="19" t="s">
        <v>346</v>
      </c>
      <c r="E68" s="7" t="s">
        <v>351</v>
      </c>
      <c r="F68" s="19" t="s">
        <v>348</v>
      </c>
      <c r="G68" s="9">
        <v>46073</v>
      </c>
      <c r="H68" s="19" t="s">
        <v>227</v>
      </c>
      <c r="I68" s="7">
        <v>10</v>
      </c>
      <c r="N68" t="str">
        <f t="shared" si="2"/>
        <v>16429989110</v>
      </c>
    </row>
    <row r="69" spans="1:14" hidden="1">
      <c r="A69" s="19" t="s">
        <v>188</v>
      </c>
      <c r="B69" s="19" t="s">
        <v>569</v>
      </c>
      <c r="C69" s="7" t="s">
        <v>616</v>
      </c>
      <c r="D69" s="19" t="s">
        <v>284</v>
      </c>
      <c r="E69" s="7" t="s">
        <v>756</v>
      </c>
      <c r="F69" s="19" t="s">
        <v>646</v>
      </c>
      <c r="G69" s="9">
        <v>46122</v>
      </c>
      <c r="H69" s="19" t="s">
        <v>227</v>
      </c>
      <c r="I69" s="7">
        <v>21</v>
      </c>
      <c r="N69" t="str">
        <f t="shared" si="2"/>
        <v>16438836140</v>
      </c>
    </row>
    <row r="70" spans="1:14" hidden="1">
      <c r="A70" s="19" t="s">
        <v>569</v>
      </c>
      <c r="B70" s="19" t="s">
        <v>569</v>
      </c>
      <c r="C70" s="7" t="s">
        <v>616</v>
      </c>
      <c r="D70" s="19" t="s">
        <v>192</v>
      </c>
      <c r="E70" s="7" t="s">
        <v>569</v>
      </c>
      <c r="F70" s="19" t="s">
        <v>644</v>
      </c>
      <c r="G70" s="9">
        <v>46122</v>
      </c>
      <c r="H70" s="19" t="s">
        <v>180</v>
      </c>
      <c r="I70" s="7">
        <v>21</v>
      </c>
      <c r="N70" t="str">
        <f t="shared" si="2"/>
        <v>16438836150</v>
      </c>
    </row>
    <row r="71" spans="1:14" hidden="1">
      <c r="A71" s="19" t="s">
        <v>569</v>
      </c>
      <c r="B71" s="19" t="s">
        <v>569</v>
      </c>
      <c r="C71" s="7" t="s">
        <v>616</v>
      </c>
      <c r="D71" s="19" t="s">
        <v>181</v>
      </c>
      <c r="E71" s="7" t="s">
        <v>569</v>
      </c>
      <c r="F71" s="19" t="s">
        <v>642</v>
      </c>
      <c r="G71" s="9">
        <v>46122</v>
      </c>
      <c r="H71" s="19" t="s">
        <v>180</v>
      </c>
      <c r="I71" s="7">
        <v>21</v>
      </c>
      <c r="N71" t="str">
        <f t="shared" si="2"/>
        <v>16438836160</v>
      </c>
    </row>
    <row r="72" spans="1:14" hidden="1">
      <c r="A72" s="20" t="s">
        <v>126</v>
      </c>
      <c r="B72" s="19" t="s">
        <v>569</v>
      </c>
      <c r="C72" s="7" t="s">
        <v>616</v>
      </c>
      <c r="D72" s="19" t="s">
        <v>69</v>
      </c>
      <c r="E72" s="7" t="s">
        <v>749</v>
      </c>
      <c r="F72" s="19" t="s">
        <v>640</v>
      </c>
      <c r="G72" s="9">
        <v>46122</v>
      </c>
      <c r="H72" s="19" t="s">
        <v>227</v>
      </c>
      <c r="I72" s="7">
        <v>27</v>
      </c>
      <c r="N72" t="str">
        <f t="shared" si="2"/>
        <v>1643883620</v>
      </c>
    </row>
    <row r="73" spans="1:14" hidden="1">
      <c r="A73" s="19" t="s">
        <v>569</v>
      </c>
      <c r="B73" s="19" t="s">
        <v>569</v>
      </c>
      <c r="C73" s="7" t="s">
        <v>616</v>
      </c>
      <c r="D73" s="19" t="s">
        <v>143</v>
      </c>
      <c r="E73" s="7" t="s">
        <v>569</v>
      </c>
      <c r="F73" s="19" t="s">
        <v>638</v>
      </c>
      <c r="G73" s="9">
        <v>46122</v>
      </c>
      <c r="H73" s="19" t="s">
        <v>180</v>
      </c>
      <c r="I73" s="7">
        <v>27</v>
      </c>
      <c r="N73" t="str">
        <f t="shared" si="2"/>
        <v>1643883630</v>
      </c>
    </row>
    <row r="74" spans="1:14" hidden="1">
      <c r="A74" s="19" t="s">
        <v>569</v>
      </c>
      <c r="B74" s="19" t="s">
        <v>569</v>
      </c>
      <c r="C74" s="7" t="s">
        <v>616</v>
      </c>
      <c r="D74" s="19" t="s">
        <v>178</v>
      </c>
      <c r="E74" s="7" t="s">
        <v>569</v>
      </c>
      <c r="F74" s="19" t="s">
        <v>636</v>
      </c>
      <c r="G74" s="9">
        <v>46122</v>
      </c>
      <c r="H74" s="19" t="s">
        <v>180</v>
      </c>
      <c r="I74" s="7">
        <v>21</v>
      </c>
      <c r="N74" t="str">
        <f t="shared" si="2"/>
        <v>1643883640</v>
      </c>
    </row>
    <row r="75" spans="1:14" hidden="1">
      <c r="A75" s="19" t="s">
        <v>126</v>
      </c>
      <c r="B75" s="19" t="s">
        <v>569</v>
      </c>
      <c r="C75" s="7" t="s">
        <v>616</v>
      </c>
      <c r="D75" s="19" t="s">
        <v>262</v>
      </c>
      <c r="E75" s="7" t="s">
        <v>751</v>
      </c>
      <c r="F75" s="19" t="s">
        <v>634</v>
      </c>
      <c r="G75" s="9">
        <v>46122</v>
      </c>
      <c r="H75" s="19" t="s">
        <v>227</v>
      </c>
      <c r="I75" s="7">
        <v>21</v>
      </c>
      <c r="N75" t="str">
        <f t="shared" si="2"/>
        <v>1643883650</v>
      </c>
    </row>
    <row r="76" spans="1:14" hidden="1">
      <c r="A76" s="19" t="s">
        <v>569</v>
      </c>
      <c r="B76" s="19" t="s">
        <v>569</v>
      </c>
      <c r="C76" s="7" t="s">
        <v>616</v>
      </c>
      <c r="D76" s="19" t="s">
        <v>259</v>
      </c>
      <c r="E76" s="7" t="s">
        <v>569</v>
      </c>
      <c r="F76" s="19" t="s">
        <v>632</v>
      </c>
      <c r="G76" s="9">
        <v>46122</v>
      </c>
      <c r="H76" s="19" t="s">
        <v>180</v>
      </c>
      <c r="I76" s="7">
        <v>27</v>
      </c>
      <c r="N76" t="str">
        <f t="shared" si="2"/>
        <v>1643883660</v>
      </c>
    </row>
    <row r="77" spans="1:14" hidden="1">
      <c r="A77" s="20" t="s">
        <v>188</v>
      </c>
      <c r="B77" s="19" t="s">
        <v>569</v>
      </c>
      <c r="C77" s="7" t="s">
        <v>616</v>
      </c>
      <c r="D77" s="19" t="s">
        <v>140</v>
      </c>
      <c r="E77" s="7" t="s">
        <v>750</v>
      </c>
      <c r="F77" s="19" t="s">
        <v>630</v>
      </c>
      <c r="G77" s="9">
        <v>46122</v>
      </c>
      <c r="H77" s="19" t="s">
        <v>227</v>
      </c>
      <c r="I77" s="7">
        <v>27</v>
      </c>
      <c r="N77" t="str">
        <f t="shared" si="2"/>
        <v>1643883670</v>
      </c>
    </row>
    <row r="78" spans="1:14" hidden="1">
      <c r="A78" s="19" t="s">
        <v>126</v>
      </c>
      <c r="B78" s="19" t="s">
        <v>569</v>
      </c>
      <c r="C78" s="7" t="s">
        <v>616</v>
      </c>
      <c r="D78" s="19" t="s">
        <v>243</v>
      </c>
      <c r="E78" s="7" t="s">
        <v>749</v>
      </c>
      <c r="F78" s="19" t="s">
        <v>628</v>
      </c>
      <c r="G78" s="9">
        <v>46122</v>
      </c>
      <c r="H78" s="19" t="s">
        <v>227</v>
      </c>
      <c r="I78" s="7">
        <v>27</v>
      </c>
      <c r="N78" t="str">
        <f t="shared" si="2"/>
        <v>1643883680</v>
      </c>
    </row>
    <row r="79" spans="1:14" hidden="1">
      <c r="A79" s="19" t="s">
        <v>569</v>
      </c>
      <c r="B79" s="19" t="s">
        <v>569</v>
      </c>
      <c r="C79" s="7" t="s">
        <v>616</v>
      </c>
      <c r="D79" s="19" t="s">
        <v>235</v>
      </c>
      <c r="E79" s="7" t="s">
        <v>569</v>
      </c>
      <c r="F79" s="19" t="s">
        <v>626</v>
      </c>
      <c r="G79" s="9">
        <v>46122</v>
      </c>
      <c r="H79" s="19" t="s">
        <v>180</v>
      </c>
      <c r="I79" s="7">
        <v>21</v>
      </c>
      <c r="N79" t="str">
        <f t="shared" si="2"/>
        <v>1643883690</v>
      </c>
    </row>
    <row r="80" spans="1:14" hidden="1">
      <c r="A80" s="19" t="s">
        <v>126</v>
      </c>
      <c r="B80" s="19" t="s">
        <v>569</v>
      </c>
      <c r="C80" s="7" t="s">
        <v>616</v>
      </c>
      <c r="D80" s="19" t="s">
        <v>145</v>
      </c>
      <c r="E80" s="7" t="s">
        <v>747</v>
      </c>
      <c r="F80" s="19" t="s">
        <v>624</v>
      </c>
      <c r="G80" s="9">
        <v>46122</v>
      </c>
      <c r="H80" s="19" t="s">
        <v>227</v>
      </c>
      <c r="I80" s="7">
        <v>21</v>
      </c>
      <c r="N80" t="str">
        <f t="shared" si="2"/>
        <v>16438836100</v>
      </c>
    </row>
    <row r="81" spans="1:14" hidden="1">
      <c r="A81" s="19" t="s">
        <v>126</v>
      </c>
      <c r="B81" s="19" t="s">
        <v>569</v>
      </c>
      <c r="C81" s="7" t="s">
        <v>616</v>
      </c>
      <c r="D81" s="19" t="s">
        <v>346</v>
      </c>
      <c r="E81" s="7" t="s">
        <v>744</v>
      </c>
      <c r="F81" s="19" t="s">
        <v>622</v>
      </c>
      <c r="G81" s="9">
        <v>46122</v>
      </c>
      <c r="H81" s="19" t="s">
        <v>227</v>
      </c>
      <c r="I81" s="7">
        <v>21</v>
      </c>
      <c r="N81" t="str">
        <f t="shared" si="2"/>
        <v>16438836110</v>
      </c>
    </row>
    <row r="82" spans="1:14" hidden="1">
      <c r="A82" s="19" t="s">
        <v>126</v>
      </c>
      <c r="B82" s="19" t="s">
        <v>569</v>
      </c>
      <c r="C82" s="7" t="s">
        <v>616</v>
      </c>
      <c r="D82" s="19" t="s">
        <v>420</v>
      </c>
      <c r="E82" s="7" t="s">
        <v>741</v>
      </c>
      <c r="F82" s="19" t="s">
        <v>620</v>
      </c>
      <c r="G82" s="9">
        <v>46122</v>
      </c>
      <c r="H82" s="19" t="s">
        <v>227</v>
      </c>
      <c r="I82" s="7">
        <v>21</v>
      </c>
      <c r="N82" t="str">
        <f t="shared" si="2"/>
        <v>16438836120</v>
      </c>
    </row>
    <row r="83" spans="1:14" hidden="1">
      <c r="A83" s="19" t="s">
        <v>126</v>
      </c>
      <c r="B83" s="19" t="s">
        <v>569</v>
      </c>
      <c r="C83" s="7" t="s">
        <v>616</v>
      </c>
      <c r="D83" s="19" t="s">
        <v>222</v>
      </c>
      <c r="E83" s="7" t="s">
        <v>741</v>
      </c>
      <c r="F83" s="19" t="s">
        <v>618</v>
      </c>
      <c r="G83" s="9">
        <v>46122</v>
      </c>
      <c r="H83" s="19" t="s">
        <v>227</v>
      </c>
      <c r="I83" s="7">
        <v>21</v>
      </c>
      <c r="N83" t="str">
        <f t="shared" si="2"/>
        <v>16438836130</v>
      </c>
    </row>
    <row r="84" spans="1:14" hidden="1">
      <c r="A84" s="19" t="s">
        <v>171</v>
      </c>
      <c r="B84" s="19" t="s">
        <v>569</v>
      </c>
      <c r="C84" s="7" t="s">
        <v>583</v>
      </c>
      <c r="D84" s="19" t="s">
        <v>178</v>
      </c>
      <c r="E84" s="7" t="s">
        <v>739</v>
      </c>
      <c r="F84" s="19" t="s">
        <v>615</v>
      </c>
      <c r="G84" s="9">
        <v>46122</v>
      </c>
      <c r="H84" s="19" t="s">
        <v>227</v>
      </c>
      <c r="I84" s="7">
        <v>10</v>
      </c>
      <c r="N84" t="str">
        <f t="shared" si="2"/>
        <v>1643886340</v>
      </c>
    </row>
    <row r="85" spans="1:14" hidden="1">
      <c r="A85" s="19" t="s">
        <v>569</v>
      </c>
      <c r="B85" s="19" t="s">
        <v>569</v>
      </c>
      <c r="C85" s="7" t="s">
        <v>613</v>
      </c>
      <c r="D85" s="19" t="s">
        <v>109</v>
      </c>
      <c r="E85" s="7" t="s">
        <v>569</v>
      </c>
      <c r="F85" s="19" t="s">
        <v>615</v>
      </c>
      <c r="G85" s="9">
        <v>46111</v>
      </c>
      <c r="H85" s="19" t="s">
        <v>550</v>
      </c>
      <c r="I85" s="7">
        <v>1</v>
      </c>
      <c r="N85" t="str">
        <f t="shared" si="2"/>
        <v>1643674910</v>
      </c>
    </row>
    <row r="86" spans="1:14" hidden="1">
      <c r="A86" s="19" t="s">
        <v>569</v>
      </c>
      <c r="B86" s="19" t="s">
        <v>569</v>
      </c>
      <c r="C86" s="7" t="s">
        <v>217</v>
      </c>
      <c r="D86" s="19" t="s">
        <v>262</v>
      </c>
      <c r="E86" s="7" t="s">
        <v>569</v>
      </c>
      <c r="F86" s="19" t="s">
        <v>353</v>
      </c>
      <c r="G86" s="9">
        <v>45902</v>
      </c>
      <c r="H86" s="19" t="s">
        <v>176</v>
      </c>
      <c r="I86" s="7">
        <v>1</v>
      </c>
      <c r="J86" t="s">
        <v>701</v>
      </c>
      <c r="K86" t="s">
        <v>701</v>
      </c>
      <c r="M86" t="s">
        <v>702</v>
      </c>
      <c r="N86" t="str">
        <f t="shared" si="2"/>
        <v>1640151050</v>
      </c>
    </row>
    <row r="87" spans="1:14" hidden="1">
      <c r="A87" s="19" t="s">
        <v>734</v>
      </c>
      <c r="B87" s="19" t="s">
        <v>734</v>
      </c>
      <c r="C87" s="7" t="s">
        <v>610</v>
      </c>
      <c r="D87" s="19" t="s">
        <v>143</v>
      </c>
      <c r="E87" s="7" t="s">
        <v>737</v>
      </c>
      <c r="F87" s="19" t="s">
        <v>353</v>
      </c>
      <c r="G87" s="9">
        <v>46122</v>
      </c>
      <c r="H87" s="19" t="s">
        <v>227</v>
      </c>
      <c r="I87" s="7">
        <v>5</v>
      </c>
      <c r="N87" t="str">
        <f t="shared" si="2"/>
        <v>1643885830</v>
      </c>
    </row>
    <row r="88" spans="1:14" hidden="1">
      <c r="A88" s="19" t="s">
        <v>569</v>
      </c>
      <c r="B88" s="19" t="s">
        <v>569</v>
      </c>
      <c r="C88" s="7" t="s">
        <v>217</v>
      </c>
      <c r="D88" s="19" t="s">
        <v>259</v>
      </c>
      <c r="E88" s="7" t="s">
        <v>569</v>
      </c>
      <c r="F88" s="19" t="s">
        <v>355</v>
      </c>
      <c r="G88" s="9">
        <v>45902</v>
      </c>
      <c r="H88" s="19" t="s">
        <v>176</v>
      </c>
      <c r="I88" s="7">
        <v>1</v>
      </c>
      <c r="J88" t="s">
        <v>701</v>
      </c>
      <c r="K88" t="s">
        <v>701</v>
      </c>
      <c r="M88" t="s">
        <v>702</v>
      </c>
      <c r="N88" t="str">
        <f t="shared" si="2"/>
        <v>1640151060</v>
      </c>
    </row>
    <row r="89" spans="1:14" hidden="1">
      <c r="A89" s="19" t="s">
        <v>734</v>
      </c>
      <c r="B89" s="19" t="s">
        <v>734</v>
      </c>
      <c r="C89" s="7" t="s">
        <v>610</v>
      </c>
      <c r="D89" s="19" t="s">
        <v>178</v>
      </c>
      <c r="E89" s="7" t="s">
        <v>737</v>
      </c>
      <c r="F89" s="19" t="s">
        <v>355</v>
      </c>
      <c r="G89" s="9">
        <v>46122</v>
      </c>
      <c r="H89" s="19" t="s">
        <v>227</v>
      </c>
      <c r="I89" s="7">
        <v>5</v>
      </c>
      <c r="N89" t="str">
        <f t="shared" si="2"/>
        <v>1643885840</v>
      </c>
    </row>
    <row r="90" spans="1:14" hidden="1">
      <c r="A90" s="19" t="s">
        <v>734</v>
      </c>
      <c r="B90" s="19" t="s">
        <v>734</v>
      </c>
      <c r="C90" s="7" t="s">
        <v>610</v>
      </c>
      <c r="D90" s="19" t="s">
        <v>69</v>
      </c>
      <c r="E90" s="7" t="s">
        <v>735</v>
      </c>
      <c r="F90" s="19" t="s">
        <v>612</v>
      </c>
      <c r="G90" s="9">
        <v>46122</v>
      </c>
      <c r="H90" s="19" t="s">
        <v>227</v>
      </c>
      <c r="I90" s="7">
        <v>5</v>
      </c>
      <c r="N90" t="str">
        <f t="shared" si="2"/>
        <v>1643885820</v>
      </c>
    </row>
    <row r="91" spans="1:14" hidden="1">
      <c r="A91" s="19" t="s">
        <v>136</v>
      </c>
      <c r="B91" s="19" t="s">
        <v>136</v>
      </c>
      <c r="C91" s="7" t="s">
        <v>356</v>
      </c>
      <c r="D91" s="19" t="s">
        <v>143</v>
      </c>
      <c r="E91" s="7" t="s">
        <v>360</v>
      </c>
      <c r="F91" s="19" t="s">
        <v>358</v>
      </c>
      <c r="G91" s="9">
        <v>46063</v>
      </c>
      <c r="H91" s="19" t="s">
        <v>100</v>
      </c>
      <c r="I91" s="7">
        <v>2</v>
      </c>
      <c r="J91" t="s">
        <v>694</v>
      </c>
      <c r="K91" t="s">
        <v>694</v>
      </c>
      <c r="N91" t="str">
        <f t="shared" si="2"/>
        <v>1642838130</v>
      </c>
    </row>
    <row r="92" spans="1:14" hidden="1">
      <c r="A92" s="19" t="s">
        <v>569</v>
      </c>
      <c r="B92" s="19" t="s">
        <v>732</v>
      </c>
      <c r="C92" s="7" t="s">
        <v>607</v>
      </c>
      <c r="D92" s="19" t="s">
        <v>109</v>
      </c>
      <c r="E92" s="7" t="s">
        <v>569</v>
      </c>
      <c r="F92" s="19" t="s">
        <v>609</v>
      </c>
      <c r="G92" s="9">
        <v>46111</v>
      </c>
      <c r="H92" s="19" t="s">
        <v>203</v>
      </c>
      <c r="I92" s="7">
        <v>1</v>
      </c>
      <c r="N92" t="str">
        <f t="shared" si="2"/>
        <v>1643677210</v>
      </c>
    </row>
    <row r="93" spans="1:14" hidden="1">
      <c r="A93" s="20" t="s">
        <v>126</v>
      </c>
      <c r="B93" s="19" t="s">
        <v>569</v>
      </c>
      <c r="C93" s="7" t="s">
        <v>234</v>
      </c>
      <c r="D93" s="19" t="s">
        <v>145</v>
      </c>
      <c r="E93" s="7" t="s">
        <v>367</v>
      </c>
      <c r="F93" s="19" t="s">
        <v>362</v>
      </c>
      <c r="G93" s="9">
        <v>46045</v>
      </c>
      <c r="H93" s="19" t="s">
        <v>100</v>
      </c>
      <c r="I93" s="7">
        <v>15</v>
      </c>
      <c r="J93" t="s">
        <v>694</v>
      </c>
      <c r="K93" t="s">
        <v>694</v>
      </c>
      <c r="N93" t="str">
        <f t="shared" si="2"/>
        <v>16425056100</v>
      </c>
    </row>
    <row r="94" spans="1:14" hidden="1">
      <c r="A94" s="19" t="s">
        <v>372</v>
      </c>
      <c r="B94" s="19" t="s">
        <v>372</v>
      </c>
      <c r="C94" s="7" t="s">
        <v>322</v>
      </c>
      <c r="D94" s="19" t="s">
        <v>178</v>
      </c>
      <c r="E94" s="7" t="s">
        <v>375</v>
      </c>
      <c r="F94" s="19" t="s">
        <v>369</v>
      </c>
      <c r="G94" s="9">
        <v>46073</v>
      </c>
      <c r="H94" s="19" t="s">
        <v>227</v>
      </c>
      <c r="I94" s="7">
        <v>2</v>
      </c>
      <c r="N94" t="str">
        <f t="shared" si="2"/>
        <v>1642992340</v>
      </c>
    </row>
    <row r="95" spans="1:14" hidden="1">
      <c r="A95" s="19" t="s">
        <v>90</v>
      </c>
      <c r="B95" s="19" t="s">
        <v>90</v>
      </c>
      <c r="C95" s="7" t="s">
        <v>207</v>
      </c>
      <c r="D95" s="19" t="s">
        <v>259</v>
      </c>
      <c r="E95" s="7" t="s">
        <v>605</v>
      </c>
      <c r="F95" s="19" t="s">
        <v>377</v>
      </c>
      <c r="G95" s="9">
        <v>46090</v>
      </c>
      <c r="H95" s="19" t="s">
        <v>100</v>
      </c>
      <c r="I95" s="7">
        <v>2</v>
      </c>
      <c r="N95" t="str">
        <f t="shared" si="2"/>
        <v>1643279460</v>
      </c>
    </row>
    <row r="96" spans="1:14" hidden="1">
      <c r="A96" s="20" t="s">
        <v>90</v>
      </c>
      <c r="B96" s="19" t="s">
        <v>90</v>
      </c>
      <c r="C96" s="7" t="s">
        <v>207</v>
      </c>
      <c r="D96" s="19" t="s">
        <v>140</v>
      </c>
      <c r="E96" s="7" t="s">
        <v>606</v>
      </c>
      <c r="F96" s="19" t="s">
        <v>379</v>
      </c>
      <c r="G96" s="9">
        <v>46090</v>
      </c>
      <c r="H96" s="19" t="s">
        <v>227</v>
      </c>
      <c r="I96" s="7">
        <v>5</v>
      </c>
      <c r="N96" t="str">
        <f t="shared" si="2"/>
        <v>1643279470</v>
      </c>
    </row>
    <row r="97" spans="1:14" hidden="1">
      <c r="A97" s="19" t="s">
        <v>90</v>
      </c>
      <c r="B97" s="19" t="s">
        <v>90</v>
      </c>
      <c r="C97" s="7" t="s">
        <v>207</v>
      </c>
      <c r="D97" s="19" t="s">
        <v>243</v>
      </c>
      <c r="E97" s="7" t="s">
        <v>605</v>
      </c>
      <c r="F97" s="19" t="s">
        <v>381</v>
      </c>
      <c r="G97" s="9">
        <v>46090</v>
      </c>
      <c r="H97" s="19" t="s">
        <v>100</v>
      </c>
      <c r="I97" s="7">
        <v>5</v>
      </c>
      <c r="N97" t="str">
        <f t="shared" si="2"/>
        <v>1643279480</v>
      </c>
    </row>
    <row r="98" spans="1:14" hidden="1">
      <c r="A98" s="19" t="s">
        <v>126</v>
      </c>
      <c r="B98" s="19" t="s">
        <v>569</v>
      </c>
      <c r="C98" s="7" t="s">
        <v>177</v>
      </c>
      <c r="D98" s="19" t="s">
        <v>69</v>
      </c>
      <c r="E98" s="7" t="s">
        <v>601</v>
      </c>
      <c r="F98" s="19" t="s">
        <v>383</v>
      </c>
      <c r="G98" s="9">
        <v>46090</v>
      </c>
      <c r="H98" s="19" t="s">
        <v>100</v>
      </c>
      <c r="I98" s="7">
        <v>15</v>
      </c>
      <c r="J98" s="12" t="s">
        <v>98</v>
      </c>
      <c r="N98" t="str">
        <f t="shared" ref="N98:N129" si="3">C98&amp;D98</f>
        <v>1643277620</v>
      </c>
    </row>
    <row r="99" spans="1:14" hidden="1">
      <c r="A99" s="20" t="s">
        <v>293</v>
      </c>
      <c r="B99" s="19" t="s">
        <v>293</v>
      </c>
      <c r="C99" s="7" t="s">
        <v>144</v>
      </c>
      <c r="D99" s="19" t="s">
        <v>262</v>
      </c>
      <c r="E99" s="7" t="s">
        <v>388</v>
      </c>
      <c r="F99" s="19" t="s">
        <v>386</v>
      </c>
      <c r="G99" s="9">
        <v>45922</v>
      </c>
      <c r="H99" s="19" t="s">
        <v>100</v>
      </c>
      <c r="I99" s="7">
        <v>4</v>
      </c>
      <c r="J99" t="s">
        <v>694</v>
      </c>
      <c r="K99" t="s">
        <v>694</v>
      </c>
      <c r="N99" t="str">
        <f t="shared" si="3"/>
        <v>1640474550</v>
      </c>
    </row>
    <row r="100" spans="1:14" hidden="1">
      <c r="A100" s="19" t="s">
        <v>293</v>
      </c>
      <c r="B100" s="19" t="s">
        <v>293</v>
      </c>
      <c r="C100" s="7" t="s">
        <v>144</v>
      </c>
      <c r="D100" s="19" t="s">
        <v>178</v>
      </c>
      <c r="E100" s="7" t="s">
        <v>388</v>
      </c>
      <c r="F100" s="19" t="s">
        <v>390</v>
      </c>
      <c r="G100" s="9">
        <v>45922</v>
      </c>
      <c r="H100" s="19" t="s">
        <v>100</v>
      </c>
      <c r="I100" s="7">
        <v>4</v>
      </c>
      <c r="J100" t="s">
        <v>694</v>
      </c>
      <c r="K100" t="s">
        <v>694</v>
      </c>
      <c r="N100" t="str">
        <f t="shared" si="3"/>
        <v>1640474540</v>
      </c>
    </row>
    <row r="101" spans="1:14" hidden="1">
      <c r="A101" s="19" t="s">
        <v>293</v>
      </c>
      <c r="B101" s="19" t="s">
        <v>293</v>
      </c>
      <c r="C101" s="7" t="s">
        <v>144</v>
      </c>
      <c r="D101" s="19" t="s">
        <v>143</v>
      </c>
      <c r="E101" s="7" t="s">
        <v>388</v>
      </c>
      <c r="F101" s="19" t="s">
        <v>392</v>
      </c>
      <c r="G101" s="9">
        <v>45922</v>
      </c>
      <c r="H101" s="19" t="s">
        <v>100</v>
      </c>
      <c r="I101" s="7">
        <v>2</v>
      </c>
      <c r="J101" t="s">
        <v>694</v>
      </c>
      <c r="K101" t="s">
        <v>694</v>
      </c>
      <c r="N101" t="str">
        <f t="shared" si="3"/>
        <v>1640474530</v>
      </c>
    </row>
    <row r="102" spans="1:14" hidden="1">
      <c r="A102" s="19" t="s">
        <v>126</v>
      </c>
      <c r="B102" s="19" t="s">
        <v>569</v>
      </c>
      <c r="C102" s="7" t="s">
        <v>196</v>
      </c>
      <c r="D102" s="19" t="s">
        <v>393</v>
      </c>
      <c r="E102" s="7" t="s">
        <v>402</v>
      </c>
      <c r="F102" s="19" t="s">
        <v>395</v>
      </c>
      <c r="G102" s="9">
        <v>46056</v>
      </c>
      <c r="H102" s="19" t="s">
        <v>100</v>
      </c>
      <c r="I102" s="7">
        <v>20</v>
      </c>
      <c r="J102" t="s">
        <v>98</v>
      </c>
      <c r="K102" t="s">
        <v>703</v>
      </c>
      <c r="N102" t="str">
        <f t="shared" si="3"/>
        <v>16426739210</v>
      </c>
    </row>
    <row r="103" spans="1:14" hidden="1">
      <c r="A103" s="19" t="s">
        <v>159</v>
      </c>
      <c r="B103" s="19" t="s">
        <v>159</v>
      </c>
      <c r="C103" s="7" t="s">
        <v>196</v>
      </c>
      <c r="D103" s="19" t="s">
        <v>403</v>
      </c>
      <c r="E103" s="7" t="s">
        <v>599</v>
      </c>
      <c r="F103" s="19" t="s">
        <v>405</v>
      </c>
      <c r="G103" s="9">
        <v>46056</v>
      </c>
      <c r="H103" s="19" t="s">
        <v>227</v>
      </c>
      <c r="I103" s="7">
        <v>20</v>
      </c>
      <c r="N103" t="str">
        <f t="shared" si="3"/>
        <v>16426739200</v>
      </c>
    </row>
    <row r="104" spans="1:14" hidden="1">
      <c r="A104" s="19" t="s">
        <v>126</v>
      </c>
      <c r="B104" s="19" t="s">
        <v>569</v>
      </c>
      <c r="C104" s="7" t="s">
        <v>196</v>
      </c>
      <c r="D104" s="19" t="s">
        <v>407</v>
      </c>
      <c r="E104" s="7" t="s">
        <v>402</v>
      </c>
      <c r="F104" s="19" t="s">
        <v>409</v>
      </c>
      <c r="G104" s="9">
        <v>46056</v>
      </c>
      <c r="H104" s="19" t="s">
        <v>100</v>
      </c>
      <c r="I104" s="7">
        <v>20</v>
      </c>
      <c r="J104" t="s">
        <v>98</v>
      </c>
      <c r="K104" t="s">
        <v>703</v>
      </c>
      <c r="N104" t="str">
        <f t="shared" si="3"/>
        <v>16426739220</v>
      </c>
    </row>
    <row r="105" spans="1:14" hidden="1">
      <c r="A105" s="19" t="s">
        <v>159</v>
      </c>
      <c r="B105" s="19" t="s">
        <v>159</v>
      </c>
      <c r="C105" s="7" t="s">
        <v>196</v>
      </c>
      <c r="D105" s="19" t="s">
        <v>192</v>
      </c>
      <c r="E105" s="7" t="s">
        <v>599</v>
      </c>
      <c r="F105" s="19" t="s">
        <v>412</v>
      </c>
      <c r="G105" s="9">
        <v>46056</v>
      </c>
      <c r="H105" s="19" t="s">
        <v>227</v>
      </c>
      <c r="I105" s="7">
        <v>15</v>
      </c>
      <c r="L105" t="s">
        <v>98</v>
      </c>
      <c r="M105" t="s">
        <v>700</v>
      </c>
      <c r="N105" t="str">
        <f t="shared" si="3"/>
        <v>16426739150</v>
      </c>
    </row>
    <row r="106" spans="1:14" hidden="1">
      <c r="A106" s="19" t="s">
        <v>159</v>
      </c>
      <c r="B106" s="19" t="s">
        <v>159</v>
      </c>
      <c r="C106" s="7" t="s">
        <v>196</v>
      </c>
      <c r="D106" s="19" t="s">
        <v>181</v>
      </c>
      <c r="E106" s="7" t="s">
        <v>599</v>
      </c>
      <c r="F106" s="19" t="s">
        <v>414</v>
      </c>
      <c r="G106" s="9">
        <v>46056</v>
      </c>
      <c r="H106" s="19" t="s">
        <v>227</v>
      </c>
      <c r="I106" s="7">
        <v>15</v>
      </c>
      <c r="L106" t="s">
        <v>98</v>
      </c>
      <c r="M106" t="s">
        <v>700</v>
      </c>
      <c r="N106" t="str">
        <f t="shared" si="3"/>
        <v>16426739160</v>
      </c>
    </row>
    <row r="107" spans="1:14" hidden="1">
      <c r="A107" s="19" t="s">
        <v>159</v>
      </c>
      <c r="B107" s="19" t="s">
        <v>159</v>
      </c>
      <c r="C107" s="7" t="s">
        <v>196</v>
      </c>
      <c r="D107" s="19" t="s">
        <v>89</v>
      </c>
      <c r="E107" s="7" t="s">
        <v>599</v>
      </c>
      <c r="F107" s="19" t="s">
        <v>416</v>
      </c>
      <c r="G107" s="9">
        <v>46056</v>
      </c>
      <c r="H107" s="19" t="s">
        <v>227</v>
      </c>
      <c r="I107" s="7">
        <v>10</v>
      </c>
      <c r="L107" t="s">
        <v>98</v>
      </c>
      <c r="M107" t="s">
        <v>700</v>
      </c>
      <c r="N107" t="str">
        <f t="shared" si="3"/>
        <v>16426739170</v>
      </c>
    </row>
    <row r="108" spans="1:14" hidden="1">
      <c r="A108" s="19" t="s">
        <v>159</v>
      </c>
      <c r="B108" s="19" t="s">
        <v>159</v>
      </c>
      <c r="C108" s="7" t="s">
        <v>196</v>
      </c>
      <c r="D108" s="19" t="s">
        <v>417</v>
      </c>
      <c r="E108" s="7" t="s">
        <v>599</v>
      </c>
      <c r="F108" s="19" t="s">
        <v>419</v>
      </c>
      <c r="G108" s="9">
        <v>46056</v>
      </c>
      <c r="H108" s="19" t="s">
        <v>227</v>
      </c>
      <c r="I108" s="7">
        <v>15</v>
      </c>
      <c r="L108" t="s">
        <v>98</v>
      </c>
      <c r="M108" t="s">
        <v>700</v>
      </c>
      <c r="N108" t="str">
        <f t="shared" si="3"/>
        <v>16426739180</v>
      </c>
    </row>
    <row r="109" spans="1:14" hidden="1">
      <c r="A109" s="19" t="s">
        <v>159</v>
      </c>
      <c r="B109" s="19" t="s">
        <v>159</v>
      </c>
      <c r="C109" s="7" t="s">
        <v>196</v>
      </c>
      <c r="D109" s="19" t="s">
        <v>104</v>
      </c>
      <c r="E109" s="7" t="s">
        <v>599</v>
      </c>
      <c r="F109" s="19" t="s">
        <v>422</v>
      </c>
      <c r="G109" s="9">
        <v>46056</v>
      </c>
      <c r="H109" s="19" t="s">
        <v>227</v>
      </c>
      <c r="I109" s="7">
        <v>10</v>
      </c>
      <c r="J109" t="s">
        <v>82</v>
      </c>
      <c r="K109" t="s">
        <v>82</v>
      </c>
      <c r="L109" t="s">
        <v>98</v>
      </c>
      <c r="M109" t="s">
        <v>695</v>
      </c>
      <c r="N109" t="str">
        <f t="shared" si="3"/>
        <v>16426739190</v>
      </c>
    </row>
    <row r="110" spans="1:14" hidden="1">
      <c r="A110" s="19" t="s">
        <v>569</v>
      </c>
      <c r="B110" s="19" t="s">
        <v>718</v>
      </c>
      <c r="C110" s="7" t="s">
        <v>726</v>
      </c>
      <c r="D110" s="19" t="s">
        <v>109</v>
      </c>
      <c r="E110" s="7" t="s">
        <v>569</v>
      </c>
      <c r="F110" s="19" t="s">
        <v>729</v>
      </c>
      <c r="G110" s="9">
        <v>46169</v>
      </c>
      <c r="H110" s="19" t="s">
        <v>203</v>
      </c>
      <c r="I110" s="7">
        <v>16</v>
      </c>
      <c r="J110" t="e">
        <v>#N/A</v>
      </c>
      <c r="K110" t="e">
        <v>#N/A</v>
      </c>
      <c r="L110" t="e">
        <v>#N/A</v>
      </c>
      <c r="M110" t="e">
        <v>#N/A</v>
      </c>
      <c r="N110" t="str">
        <f t="shared" si="3"/>
        <v>1644802210</v>
      </c>
    </row>
    <row r="111" spans="1:14" hidden="1">
      <c r="A111" s="19" t="s">
        <v>105</v>
      </c>
      <c r="B111" s="19" t="s">
        <v>105</v>
      </c>
      <c r="C111" s="7" t="s">
        <v>356</v>
      </c>
      <c r="D111" s="19" t="s">
        <v>109</v>
      </c>
      <c r="E111" s="7" t="s">
        <v>428</v>
      </c>
      <c r="F111" s="19" t="s">
        <v>424</v>
      </c>
      <c r="G111" s="9">
        <v>46063</v>
      </c>
      <c r="H111" s="19" t="s">
        <v>100</v>
      </c>
      <c r="I111" s="7">
        <v>3</v>
      </c>
      <c r="J111" t="s">
        <v>694</v>
      </c>
      <c r="K111" t="s">
        <v>694</v>
      </c>
      <c r="N111" t="str">
        <f t="shared" si="3"/>
        <v>1642838110</v>
      </c>
    </row>
    <row r="112" spans="1:14" hidden="1">
      <c r="A112" s="19" t="s">
        <v>105</v>
      </c>
      <c r="B112" s="19" t="s">
        <v>105</v>
      </c>
      <c r="C112" s="7" t="s">
        <v>101</v>
      </c>
      <c r="D112" s="19" t="s">
        <v>109</v>
      </c>
      <c r="E112" s="7" t="s">
        <v>431</v>
      </c>
      <c r="F112" s="19" t="s">
        <v>430</v>
      </c>
      <c r="G112" s="9">
        <v>46073</v>
      </c>
      <c r="H112" s="19" t="s">
        <v>100</v>
      </c>
      <c r="I112" s="7">
        <v>10</v>
      </c>
      <c r="N112" t="str">
        <f t="shared" si="3"/>
        <v>1643005110</v>
      </c>
    </row>
    <row r="113" spans="1:14" hidden="1">
      <c r="A113" s="20" t="s">
        <v>90</v>
      </c>
      <c r="B113" s="19" t="s">
        <v>90</v>
      </c>
      <c r="C113" s="7" t="s">
        <v>68</v>
      </c>
      <c r="D113" s="19" t="s">
        <v>109</v>
      </c>
      <c r="E113" s="7" t="s">
        <v>97</v>
      </c>
      <c r="F113" s="19" t="s">
        <v>430</v>
      </c>
      <c r="G113" s="9">
        <v>46024</v>
      </c>
      <c r="H113" s="19" t="s">
        <v>100</v>
      </c>
      <c r="I113" s="7">
        <v>10</v>
      </c>
      <c r="J113" t="s">
        <v>694</v>
      </c>
      <c r="K113" t="s">
        <v>694</v>
      </c>
      <c r="N113" t="str">
        <f t="shared" si="3"/>
        <v>1642126010</v>
      </c>
    </row>
    <row r="114" spans="1:14" hidden="1">
      <c r="A114" s="19" t="s">
        <v>126</v>
      </c>
      <c r="B114" s="19" t="s">
        <v>569</v>
      </c>
      <c r="C114" s="7" t="s">
        <v>592</v>
      </c>
      <c r="D114" s="19" t="s">
        <v>69</v>
      </c>
      <c r="E114" s="7" t="s">
        <v>725</v>
      </c>
      <c r="F114" s="19" t="s">
        <v>596</v>
      </c>
      <c r="G114" s="9">
        <v>46125</v>
      </c>
      <c r="H114" s="19" t="s">
        <v>227</v>
      </c>
      <c r="I114" s="7">
        <v>1</v>
      </c>
      <c r="N114" t="str">
        <f t="shared" si="3"/>
        <v>1643913420</v>
      </c>
    </row>
    <row r="115" spans="1:14" hidden="1">
      <c r="A115" s="19" t="s">
        <v>126</v>
      </c>
      <c r="B115" s="19" t="s">
        <v>569</v>
      </c>
      <c r="C115" s="7" t="s">
        <v>592</v>
      </c>
      <c r="D115" s="19" t="s">
        <v>109</v>
      </c>
      <c r="E115" s="7" t="s">
        <v>722</v>
      </c>
      <c r="F115" s="19" t="s">
        <v>594</v>
      </c>
      <c r="G115" s="9">
        <v>46125</v>
      </c>
      <c r="H115" s="19" t="s">
        <v>227</v>
      </c>
      <c r="I115" s="7">
        <v>1</v>
      </c>
      <c r="N115" t="str">
        <f t="shared" si="3"/>
        <v>1643913410</v>
      </c>
    </row>
    <row r="116" spans="1:14" hidden="1">
      <c r="A116" s="19" t="s">
        <v>569</v>
      </c>
      <c r="B116" s="19" t="s">
        <v>718</v>
      </c>
      <c r="C116" s="7" t="s">
        <v>177</v>
      </c>
      <c r="D116" s="19" t="s">
        <v>143</v>
      </c>
      <c r="E116" s="7" t="s">
        <v>569</v>
      </c>
      <c r="F116" s="19" t="s">
        <v>433</v>
      </c>
      <c r="G116" s="9">
        <v>46090</v>
      </c>
      <c r="H116" s="19" t="s">
        <v>203</v>
      </c>
      <c r="I116" s="7">
        <v>15</v>
      </c>
      <c r="N116" t="str">
        <f t="shared" si="3"/>
        <v>1643277630</v>
      </c>
    </row>
    <row r="117" spans="1:14" hidden="1">
      <c r="A117" s="19" t="s">
        <v>372</v>
      </c>
      <c r="B117" s="19" t="s">
        <v>372</v>
      </c>
      <c r="C117" s="7" t="s">
        <v>322</v>
      </c>
      <c r="D117" s="19" t="s">
        <v>69</v>
      </c>
      <c r="E117" s="7" t="s">
        <v>375</v>
      </c>
      <c r="F117" s="19" t="s">
        <v>435</v>
      </c>
      <c r="G117" s="9">
        <v>46073</v>
      </c>
      <c r="H117" s="19" t="s">
        <v>227</v>
      </c>
      <c r="I117" s="7">
        <v>1</v>
      </c>
      <c r="N117" t="str">
        <f t="shared" si="3"/>
        <v>1642992320</v>
      </c>
    </row>
    <row r="118" spans="1:14" hidden="1">
      <c r="A118" s="19" t="s">
        <v>126</v>
      </c>
      <c r="B118" s="19" t="s">
        <v>569</v>
      </c>
      <c r="C118" s="7" t="s">
        <v>322</v>
      </c>
      <c r="D118" s="19" t="s">
        <v>109</v>
      </c>
      <c r="E118" s="7" t="s">
        <v>439</v>
      </c>
      <c r="F118" s="19" t="s">
        <v>437</v>
      </c>
      <c r="G118" s="9">
        <v>46073</v>
      </c>
      <c r="H118" s="19" t="s">
        <v>227</v>
      </c>
      <c r="I118" s="7">
        <v>1</v>
      </c>
      <c r="N118" t="str">
        <f t="shared" si="3"/>
        <v>1642992310</v>
      </c>
    </row>
    <row r="119" spans="1:14" hidden="1">
      <c r="A119" s="19" t="s">
        <v>588</v>
      </c>
      <c r="B119" s="19" t="s">
        <v>588</v>
      </c>
      <c r="C119" s="7" t="s">
        <v>207</v>
      </c>
      <c r="D119" s="19" t="s">
        <v>69</v>
      </c>
      <c r="E119" s="7" t="s">
        <v>591</v>
      </c>
      <c r="F119" s="19" t="s">
        <v>441</v>
      </c>
      <c r="G119" s="9">
        <v>46090</v>
      </c>
      <c r="H119" s="19" t="s">
        <v>100</v>
      </c>
      <c r="I119" s="7">
        <v>5</v>
      </c>
      <c r="J119" t="s">
        <v>98</v>
      </c>
      <c r="K119" t="s">
        <v>98</v>
      </c>
      <c r="L119" t="s">
        <v>98</v>
      </c>
      <c r="N119" t="str">
        <f t="shared" si="3"/>
        <v>1643279420</v>
      </c>
    </row>
    <row r="120" spans="1:14" hidden="1">
      <c r="A120" s="19" t="s">
        <v>569</v>
      </c>
      <c r="B120" s="19" t="s">
        <v>569</v>
      </c>
      <c r="C120" s="7" t="s">
        <v>234</v>
      </c>
      <c r="D120" s="19" t="s">
        <v>262</v>
      </c>
      <c r="E120" s="7" t="s">
        <v>569</v>
      </c>
      <c r="F120" s="19" t="s">
        <v>443</v>
      </c>
      <c r="G120" s="9">
        <v>46045</v>
      </c>
      <c r="H120" s="19" t="s">
        <v>176</v>
      </c>
      <c r="I120" s="7">
        <v>10</v>
      </c>
      <c r="N120" t="str">
        <f t="shared" si="3"/>
        <v>1642505650</v>
      </c>
    </row>
    <row r="121" spans="1:14" hidden="1">
      <c r="A121" s="19" t="s">
        <v>569</v>
      </c>
      <c r="B121" s="19" t="s">
        <v>569</v>
      </c>
      <c r="C121" s="7" t="s">
        <v>583</v>
      </c>
      <c r="D121" s="19" t="s">
        <v>262</v>
      </c>
      <c r="E121" s="7" t="s">
        <v>569</v>
      </c>
      <c r="F121" s="19" t="s">
        <v>443</v>
      </c>
      <c r="G121" s="9">
        <v>46122</v>
      </c>
      <c r="H121" s="19" t="s">
        <v>180</v>
      </c>
      <c r="I121" s="7">
        <v>10</v>
      </c>
      <c r="N121" t="str">
        <f t="shared" si="3"/>
        <v>1643886350</v>
      </c>
    </row>
    <row r="122" spans="1:14" hidden="1">
      <c r="A122" s="19" t="s">
        <v>569</v>
      </c>
      <c r="B122" s="19" t="s">
        <v>569</v>
      </c>
      <c r="C122" s="7" t="s">
        <v>234</v>
      </c>
      <c r="D122" s="19" t="s">
        <v>140</v>
      </c>
      <c r="E122" s="7" t="s">
        <v>569</v>
      </c>
      <c r="F122" s="19" t="s">
        <v>445</v>
      </c>
      <c r="G122" s="9">
        <v>46045</v>
      </c>
      <c r="H122" s="19" t="s">
        <v>176</v>
      </c>
      <c r="I122" s="7">
        <v>5</v>
      </c>
      <c r="N122" t="str">
        <f t="shared" si="3"/>
        <v>1642505670</v>
      </c>
    </row>
    <row r="123" spans="1:14" hidden="1">
      <c r="A123" s="19" t="s">
        <v>569</v>
      </c>
      <c r="B123" s="19" t="s">
        <v>569</v>
      </c>
      <c r="C123" s="7" t="s">
        <v>583</v>
      </c>
      <c r="D123" s="19" t="s">
        <v>259</v>
      </c>
      <c r="E123" s="7" t="s">
        <v>569</v>
      </c>
      <c r="F123" s="19" t="s">
        <v>445</v>
      </c>
      <c r="G123" s="9">
        <v>46122</v>
      </c>
      <c r="H123" s="19" t="s">
        <v>180</v>
      </c>
      <c r="I123" s="7">
        <v>10</v>
      </c>
      <c r="N123" t="str">
        <f t="shared" si="3"/>
        <v>1643886360</v>
      </c>
    </row>
    <row r="124" spans="1:14" hidden="1">
      <c r="A124" s="19" t="s">
        <v>293</v>
      </c>
      <c r="B124" s="19" t="s">
        <v>293</v>
      </c>
      <c r="C124" s="7" t="s">
        <v>144</v>
      </c>
      <c r="D124" s="19" t="s">
        <v>346</v>
      </c>
      <c r="E124" s="7" t="s">
        <v>449</v>
      </c>
      <c r="F124" s="19" t="s">
        <v>447</v>
      </c>
      <c r="G124" s="9">
        <v>45922</v>
      </c>
      <c r="H124" s="19" t="s">
        <v>100</v>
      </c>
      <c r="I124" s="7">
        <v>50</v>
      </c>
      <c r="N124" t="str">
        <f t="shared" si="3"/>
        <v>16404745110</v>
      </c>
    </row>
    <row r="125" spans="1:14" hidden="1">
      <c r="A125" s="19" t="s">
        <v>293</v>
      </c>
      <c r="B125" s="19" t="s">
        <v>293</v>
      </c>
      <c r="C125" s="7" t="s">
        <v>144</v>
      </c>
      <c r="D125" s="19" t="s">
        <v>420</v>
      </c>
      <c r="E125" s="7" t="s">
        <v>449</v>
      </c>
      <c r="F125" s="19" t="s">
        <v>451</v>
      </c>
      <c r="G125" s="9">
        <v>45922</v>
      </c>
      <c r="H125" s="19" t="s">
        <v>100</v>
      </c>
      <c r="I125" s="7">
        <v>100</v>
      </c>
      <c r="N125" t="str">
        <f t="shared" si="3"/>
        <v>16404745120</v>
      </c>
    </row>
    <row r="126" spans="1:14" hidden="1">
      <c r="A126" s="19" t="s">
        <v>293</v>
      </c>
      <c r="B126" s="19" t="s">
        <v>293</v>
      </c>
      <c r="C126" s="7" t="s">
        <v>144</v>
      </c>
      <c r="D126" s="19" t="s">
        <v>222</v>
      </c>
      <c r="E126" s="7" t="s">
        <v>449</v>
      </c>
      <c r="F126" s="19" t="s">
        <v>453</v>
      </c>
      <c r="G126" s="9">
        <v>45922</v>
      </c>
      <c r="H126" s="19" t="s">
        <v>100</v>
      </c>
      <c r="I126" s="7">
        <v>100</v>
      </c>
      <c r="N126" t="str">
        <f t="shared" si="3"/>
        <v>16404745130</v>
      </c>
    </row>
    <row r="127" spans="1:14" hidden="1">
      <c r="A127" s="19" t="s">
        <v>293</v>
      </c>
      <c r="B127" s="19" t="s">
        <v>293</v>
      </c>
      <c r="C127" s="7" t="s">
        <v>144</v>
      </c>
      <c r="D127" s="19" t="s">
        <v>284</v>
      </c>
      <c r="E127" s="7" t="s">
        <v>449</v>
      </c>
      <c r="F127" s="19" t="s">
        <v>455</v>
      </c>
      <c r="G127" s="9">
        <v>45922</v>
      </c>
      <c r="H127" s="19" t="s">
        <v>100</v>
      </c>
      <c r="I127" s="7">
        <v>50</v>
      </c>
      <c r="N127" t="str">
        <f t="shared" si="3"/>
        <v>16404745140</v>
      </c>
    </row>
    <row r="128" spans="1:14" hidden="1">
      <c r="A128" s="19" t="s">
        <v>569</v>
      </c>
      <c r="B128" s="19" t="s">
        <v>202</v>
      </c>
      <c r="C128" s="7" t="s">
        <v>356</v>
      </c>
      <c r="D128" s="19" t="s">
        <v>178</v>
      </c>
      <c r="E128" s="7" t="s">
        <v>569</v>
      </c>
      <c r="F128" s="19" t="s">
        <v>458</v>
      </c>
      <c r="G128" s="9">
        <v>46063</v>
      </c>
      <c r="H128" s="19" t="s">
        <v>176</v>
      </c>
      <c r="I128" s="7">
        <v>15</v>
      </c>
      <c r="N128" t="str">
        <f t="shared" si="3"/>
        <v>1642838140</v>
      </c>
    </row>
    <row r="129" spans="1:14" hidden="1">
      <c r="A129" s="19" t="s">
        <v>126</v>
      </c>
      <c r="B129" s="19" t="s">
        <v>569</v>
      </c>
      <c r="C129" s="7" t="s">
        <v>356</v>
      </c>
      <c r="D129" s="19" t="s">
        <v>262</v>
      </c>
      <c r="E129" s="7" t="s">
        <v>462</v>
      </c>
      <c r="F129" s="19" t="s">
        <v>460</v>
      </c>
      <c r="G129" s="9">
        <v>46063</v>
      </c>
      <c r="H129" s="19" t="s">
        <v>100</v>
      </c>
      <c r="I129" s="7">
        <v>15</v>
      </c>
      <c r="J129" t="s">
        <v>694</v>
      </c>
      <c r="K129" t="s">
        <v>694</v>
      </c>
      <c r="N129" t="str">
        <f t="shared" si="3"/>
        <v>1642838150</v>
      </c>
    </row>
    <row r="130" spans="1:14" hidden="1">
      <c r="A130" s="19" t="s">
        <v>159</v>
      </c>
      <c r="B130" s="19" t="s">
        <v>159</v>
      </c>
      <c r="C130" s="7" t="s">
        <v>101</v>
      </c>
      <c r="D130" s="19" t="s">
        <v>143</v>
      </c>
      <c r="E130" s="7" t="s">
        <v>581</v>
      </c>
      <c r="F130" s="19" t="s">
        <v>464</v>
      </c>
      <c r="G130" s="9">
        <v>46073</v>
      </c>
      <c r="H130" s="19" t="s">
        <v>227</v>
      </c>
      <c r="I130" s="7">
        <v>15</v>
      </c>
      <c r="N130" t="str">
        <f t="shared" ref="N130:N161" si="4">C130&amp;D130</f>
        <v>1643005130</v>
      </c>
    </row>
    <row r="131" spans="1:14" hidden="1">
      <c r="A131" s="19" t="s">
        <v>126</v>
      </c>
      <c r="B131" s="19" t="s">
        <v>569</v>
      </c>
      <c r="C131" s="7" t="s">
        <v>356</v>
      </c>
      <c r="D131" s="19" t="s">
        <v>69</v>
      </c>
      <c r="E131" s="7" t="s">
        <v>471</v>
      </c>
      <c r="F131" s="19" t="s">
        <v>467</v>
      </c>
      <c r="G131" s="9">
        <v>46063</v>
      </c>
      <c r="H131" s="19" t="s">
        <v>227</v>
      </c>
      <c r="I131" s="7">
        <v>3</v>
      </c>
      <c r="N131" t="str">
        <f t="shared" si="4"/>
        <v>1642838120</v>
      </c>
    </row>
    <row r="132" spans="1:14" hidden="1">
      <c r="A132" s="19" t="s">
        <v>372</v>
      </c>
      <c r="B132" s="19" t="s">
        <v>372</v>
      </c>
      <c r="C132" s="7" t="s">
        <v>196</v>
      </c>
      <c r="D132" s="19" t="s">
        <v>109</v>
      </c>
      <c r="E132" s="7" t="s">
        <v>577</v>
      </c>
      <c r="F132" s="19" t="s">
        <v>473</v>
      </c>
      <c r="G132" s="9">
        <v>46056</v>
      </c>
      <c r="H132" s="19" t="s">
        <v>100</v>
      </c>
      <c r="I132" s="7">
        <v>4</v>
      </c>
      <c r="J132" t="s">
        <v>98</v>
      </c>
      <c r="K132" t="s">
        <v>703</v>
      </c>
      <c r="L132" t="s">
        <v>98</v>
      </c>
      <c r="M132" t="s">
        <v>697</v>
      </c>
      <c r="N132" t="str">
        <f t="shared" si="4"/>
        <v>1642673910</v>
      </c>
    </row>
    <row r="133" spans="1:14" hidden="1">
      <c r="A133" s="19" t="s">
        <v>372</v>
      </c>
      <c r="B133" s="19" t="s">
        <v>372</v>
      </c>
      <c r="C133" s="7" t="s">
        <v>196</v>
      </c>
      <c r="D133" s="19" t="s">
        <v>69</v>
      </c>
      <c r="E133" s="7" t="s">
        <v>577</v>
      </c>
      <c r="F133" s="19" t="s">
        <v>476</v>
      </c>
      <c r="G133" s="9">
        <v>46056</v>
      </c>
      <c r="H133" s="19" t="s">
        <v>100</v>
      </c>
      <c r="I133" s="7">
        <v>4</v>
      </c>
      <c r="J133" t="s">
        <v>98</v>
      </c>
      <c r="K133" t="s">
        <v>703</v>
      </c>
      <c r="L133" t="s">
        <v>98</v>
      </c>
      <c r="M133" t="s">
        <v>697</v>
      </c>
      <c r="N133" t="str">
        <f t="shared" si="4"/>
        <v>1642673920</v>
      </c>
    </row>
    <row r="134" spans="1:14" hidden="1">
      <c r="A134" s="19" t="s">
        <v>293</v>
      </c>
      <c r="B134" s="19" t="s">
        <v>293</v>
      </c>
      <c r="C134" s="7" t="s">
        <v>144</v>
      </c>
      <c r="D134" s="19" t="s">
        <v>69</v>
      </c>
      <c r="E134" s="7" t="s">
        <v>482</v>
      </c>
      <c r="F134" s="19" t="s">
        <v>478</v>
      </c>
      <c r="G134" s="9">
        <v>45922</v>
      </c>
      <c r="H134" s="19" t="s">
        <v>483</v>
      </c>
      <c r="I134" s="7">
        <v>3</v>
      </c>
      <c r="N134" t="str">
        <f t="shared" si="4"/>
        <v>1640474520</v>
      </c>
    </row>
    <row r="135" spans="1:14" hidden="1">
      <c r="A135" s="19" t="s">
        <v>372</v>
      </c>
      <c r="B135" s="19" t="s">
        <v>372</v>
      </c>
      <c r="C135" s="7" t="s">
        <v>196</v>
      </c>
      <c r="D135" s="19" t="s">
        <v>143</v>
      </c>
      <c r="E135" s="7" t="s">
        <v>577</v>
      </c>
      <c r="F135" s="19" t="s">
        <v>485</v>
      </c>
      <c r="G135" s="9">
        <v>46056</v>
      </c>
      <c r="H135" s="19" t="s">
        <v>100</v>
      </c>
      <c r="I135" s="7">
        <v>4</v>
      </c>
      <c r="J135" t="s">
        <v>98</v>
      </c>
      <c r="K135" t="s">
        <v>703</v>
      </c>
      <c r="L135" t="s">
        <v>98</v>
      </c>
      <c r="M135" t="s">
        <v>697</v>
      </c>
      <c r="N135" t="str">
        <f t="shared" si="4"/>
        <v>1642673930</v>
      </c>
    </row>
    <row r="136" spans="1:14" hidden="1">
      <c r="A136" s="19" t="s">
        <v>372</v>
      </c>
      <c r="B136" s="19" t="s">
        <v>372</v>
      </c>
      <c r="C136" s="7" t="s">
        <v>196</v>
      </c>
      <c r="D136" s="19" t="s">
        <v>262</v>
      </c>
      <c r="E136" s="7" t="s">
        <v>577</v>
      </c>
      <c r="F136" s="19" t="s">
        <v>487</v>
      </c>
      <c r="G136" s="9">
        <v>46056</v>
      </c>
      <c r="H136" s="19" t="s">
        <v>100</v>
      </c>
      <c r="I136" s="7">
        <v>5</v>
      </c>
      <c r="J136" t="s">
        <v>98</v>
      </c>
      <c r="K136" t="s">
        <v>703</v>
      </c>
      <c r="L136" t="s">
        <v>98</v>
      </c>
      <c r="M136" t="s">
        <v>697</v>
      </c>
      <c r="N136" t="str">
        <f t="shared" si="4"/>
        <v>1642673950</v>
      </c>
    </row>
    <row r="137" spans="1:14" hidden="1">
      <c r="A137" s="19" t="s">
        <v>372</v>
      </c>
      <c r="B137" s="19" t="s">
        <v>372</v>
      </c>
      <c r="C137" s="7" t="s">
        <v>196</v>
      </c>
      <c r="D137" s="19" t="s">
        <v>259</v>
      </c>
      <c r="E137" s="7" t="s">
        <v>577</v>
      </c>
      <c r="F137" s="19" t="s">
        <v>489</v>
      </c>
      <c r="G137" s="9">
        <v>46056</v>
      </c>
      <c r="H137" s="19" t="s">
        <v>100</v>
      </c>
      <c r="I137" s="7">
        <v>5</v>
      </c>
      <c r="J137" t="s">
        <v>98</v>
      </c>
      <c r="K137" t="s">
        <v>703</v>
      </c>
      <c r="L137" t="s">
        <v>98</v>
      </c>
      <c r="M137" t="s">
        <v>697</v>
      </c>
      <c r="N137" t="str">
        <f t="shared" si="4"/>
        <v>1642673960</v>
      </c>
    </row>
    <row r="138" spans="1:14" hidden="1">
      <c r="A138" s="19" t="s">
        <v>372</v>
      </c>
      <c r="B138" s="19" t="s">
        <v>372</v>
      </c>
      <c r="C138" s="7" t="s">
        <v>196</v>
      </c>
      <c r="D138" s="19" t="s">
        <v>222</v>
      </c>
      <c r="E138" s="7" t="s">
        <v>577</v>
      </c>
      <c r="F138" s="19" t="s">
        <v>491</v>
      </c>
      <c r="G138" s="9">
        <v>46056</v>
      </c>
      <c r="H138" s="19" t="s">
        <v>100</v>
      </c>
      <c r="I138" s="7">
        <v>10</v>
      </c>
      <c r="J138" t="s">
        <v>98</v>
      </c>
      <c r="K138" t="s">
        <v>703</v>
      </c>
      <c r="L138" t="s">
        <v>98</v>
      </c>
      <c r="M138" t="s">
        <v>697</v>
      </c>
      <c r="N138" t="str">
        <f t="shared" si="4"/>
        <v>16426739130</v>
      </c>
    </row>
    <row r="139" spans="1:14" hidden="1">
      <c r="A139" s="19" t="s">
        <v>372</v>
      </c>
      <c r="B139" s="19" t="s">
        <v>372</v>
      </c>
      <c r="C139" s="7" t="s">
        <v>234</v>
      </c>
      <c r="D139" s="19" t="s">
        <v>178</v>
      </c>
      <c r="E139" s="7" t="s">
        <v>580</v>
      </c>
      <c r="F139" s="19" t="s">
        <v>493</v>
      </c>
      <c r="G139" s="9">
        <v>46045</v>
      </c>
      <c r="H139" s="19" t="s">
        <v>227</v>
      </c>
      <c r="I139" s="7">
        <v>15</v>
      </c>
      <c r="L139" t="s">
        <v>98</v>
      </c>
      <c r="M139" t="s">
        <v>697</v>
      </c>
      <c r="N139" t="str">
        <f t="shared" si="4"/>
        <v>1642505640</v>
      </c>
    </row>
    <row r="140" spans="1:14" hidden="1">
      <c r="A140" s="19" t="s">
        <v>293</v>
      </c>
      <c r="B140" s="19" t="s">
        <v>293</v>
      </c>
      <c r="C140" s="7" t="s">
        <v>217</v>
      </c>
      <c r="D140" s="19" t="s">
        <v>178</v>
      </c>
      <c r="E140" s="7" t="s">
        <v>494</v>
      </c>
      <c r="F140" s="19" t="s">
        <v>493</v>
      </c>
      <c r="G140" s="9">
        <v>45902</v>
      </c>
      <c r="H140" s="19" t="s">
        <v>227</v>
      </c>
      <c r="I140" s="7">
        <v>6</v>
      </c>
      <c r="N140" t="str">
        <f t="shared" si="4"/>
        <v>1640151040</v>
      </c>
    </row>
    <row r="141" spans="1:14" hidden="1">
      <c r="A141" s="19" t="s">
        <v>372</v>
      </c>
      <c r="B141" s="19" t="s">
        <v>372</v>
      </c>
      <c r="C141" s="7" t="s">
        <v>196</v>
      </c>
      <c r="D141" s="19" t="s">
        <v>140</v>
      </c>
      <c r="E141" s="7" t="s">
        <v>577</v>
      </c>
      <c r="F141" s="19" t="s">
        <v>497</v>
      </c>
      <c r="G141" s="9">
        <v>46056</v>
      </c>
      <c r="H141" s="19" t="s">
        <v>227</v>
      </c>
      <c r="I141" s="7">
        <v>8</v>
      </c>
      <c r="L141" t="s">
        <v>98</v>
      </c>
      <c r="M141" t="s">
        <v>697</v>
      </c>
      <c r="N141" t="str">
        <f t="shared" si="4"/>
        <v>1642673970</v>
      </c>
    </row>
    <row r="142" spans="1:14" hidden="1">
      <c r="A142" s="19" t="s">
        <v>372</v>
      </c>
      <c r="B142" s="19" t="s">
        <v>372</v>
      </c>
      <c r="C142" s="7" t="s">
        <v>196</v>
      </c>
      <c r="D142" s="19" t="s">
        <v>284</v>
      </c>
      <c r="E142" s="7" t="s">
        <v>577</v>
      </c>
      <c r="F142" s="19" t="s">
        <v>499</v>
      </c>
      <c r="G142" s="9">
        <v>46056</v>
      </c>
      <c r="H142" s="19" t="s">
        <v>100</v>
      </c>
      <c r="I142" s="7">
        <v>4</v>
      </c>
      <c r="J142" t="s">
        <v>98</v>
      </c>
      <c r="L142" t="s">
        <v>98</v>
      </c>
      <c r="M142" t="s">
        <v>697</v>
      </c>
      <c r="N142" t="str">
        <f t="shared" si="4"/>
        <v>16426739140</v>
      </c>
    </row>
    <row r="143" spans="1:14" hidden="1">
      <c r="A143" s="19" t="s">
        <v>293</v>
      </c>
      <c r="B143" s="19" t="s">
        <v>293</v>
      </c>
      <c r="C143" s="7" t="s">
        <v>144</v>
      </c>
      <c r="D143" s="19" t="s">
        <v>109</v>
      </c>
      <c r="E143" s="7" t="s">
        <v>482</v>
      </c>
      <c r="F143" s="19" t="s">
        <v>501</v>
      </c>
      <c r="G143" s="9">
        <v>45922</v>
      </c>
      <c r="H143" s="19" t="s">
        <v>483</v>
      </c>
      <c r="I143" s="7">
        <v>6</v>
      </c>
      <c r="N143" t="str">
        <f t="shared" si="4"/>
        <v>1640474510</v>
      </c>
    </row>
    <row r="144" spans="1:14" hidden="1">
      <c r="A144" s="19" t="s">
        <v>372</v>
      </c>
      <c r="B144" s="19" t="s">
        <v>372</v>
      </c>
      <c r="C144" s="7" t="s">
        <v>196</v>
      </c>
      <c r="D144" s="19" t="s">
        <v>243</v>
      </c>
      <c r="E144" s="7" t="s">
        <v>577</v>
      </c>
      <c r="F144" s="19" t="s">
        <v>503</v>
      </c>
      <c r="G144" s="9">
        <v>46056</v>
      </c>
      <c r="H144" s="19" t="s">
        <v>100</v>
      </c>
      <c r="I144" s="7">
        <v>10</v>
      </c>
      <c r="J144" s="12" t="s">
        <v>98</v>
      </c>
      <c r="L144" t="s">
        <v>98</v>
      </c>
      <c r="M144" t="s">
        <v>697</v>
      </c>
      <c r="N144" t="str">
        <f t="shared" si="4"/>
        <v>1642673980</v>
      </c>
    </row>
    <row r="145" spans="1:14" hidden="1">
      <c r="A145" s="19" t="s">
        <v>372</v>
      </c>
      <c r="B145" s="19" t="s">
        <v>372</v>
      </c>
      <c r="C145" s="7" t="s">
        <v>234</v>
      </c>
      <c r="D145" s="19" t="s">
        <v>143</v>
      </c>
      <c r="E145" s="7" t="s">
        <v>580</v>
      </c>
      <c r="F145" s="19" t="s">
        <v>505</v>
      </c>
      <c r="G145" s="9">
        <v>46045</v>
      </c>
      <c r="H145" s="19" t="s">
        <v>227</v>
      </c>
      <c r="I145" s="7">
        <v>15</v>
      </c>
      <c r="L145" t="s">
        <v>98</v>
      </c>
      <c r="M145" t="s">
        <v>697</v>
      </c>
      <c r="N145" t="str">
        <f t="shared" si="4"/>
        <v>1642505630</v>
      </c>
    </row>
    <row r="146" spans="1:14" hidden="1">
      <c r="A146" s="19" t="s">
        <v>293</v>
      </c>
      <c r="B146" s="19" t="s">
        <v>293</v>
      </c>
      <c r="C146" s="7" t="s">
        <v>217</v>
      </c>
      <c r="D146" s="19" t="s">
        <v>143</v>
      </c>
      <c r="E146" s="7" t="s">
        <v>494</v>
      </c>
      <c r="F146" s="19" t="s">
        <v>505</v>
      </c>
      <c r="G146" s="9">
        <v>45902</v>
      </c>
      <c r="H146" s="19" t="s">
        <v>227</v>
      </c>
      <c r="I146" s="7">
        <v>6</v>
      </c>
      <c r="N146" t="str">
        <f t="shared" si="4"/>
        <v>1640151030</v>
      </c>
    </row>
    <row r="147" spans="1:14" hidden="1">
      <c r="A147" s="19" t="s">
        <v>372</v>
      </c>
      <c r="B147" s="19" t="s">
        <v>372</v>
      </c>
      <c r="C147" s="7" t="s">
        <v>196</v>
      </c>
      <c r="D147" s="19" t="s">
        <v>235</v>
      </c>
      <c r="E147" s="7" t="s">
        <v>577</v>
      </c>
      <c r="F147" s="19" t="s">
        <v>507</v>
      </c>
      <c r="G147" s="9">
        <v>46056</v>
      </c>
      <c r="H147" s="19" t="s">
        <v>100</v>
      </c>
      <c r="I147" s="7">
        <v>4</v>
      </c>
      <c r="J147" t="s">
        <v>98</v>
      </c>
      <c r="K147" t="s">
        <v>703</v>
      </c>
      <c r="L147" t="s">
        <v>98</v>
      </c>
      <c r="M147" t="s">
        <v>697</v>
      </c>
      <c r="N147" t="str">
        <f t="shared" si="4"/>
        <v>1642673990</v>
      </c>
    </row>
    <row r="148" spans="1:14" hidden="1">
      <c r="A148" s="19" t="s">
        <v>372</v>
      </c>
      <c r="B148" s="19" t="s">
        <v>372</v>
      </c>
      <c r="C148" s="7" t="s">
        <v>196</v>
      </c>
      <c r="D148" s="19" t="s">
        <v>145</v>
      </c>
      <c r="E148" s="7" t="s">
        <v>577</v>
      </c>
      <c r="F148" s="19" t="s">
        <v>509</v>
      </c>
      <c r="G148" s="9">
        <v>46056</v>
      </c>
      <c r="H148" s="19" t="s">
        <v>100</v>
      </c>
      <c r="I148" s="7">
        <v>4</v>
      </c>
      <c r="J148" t="s">
        <v>98</v>
      </c>
      <c r="K148" t="s">
        <v>703</v>
      </c>
      <c r="L148" t="s">
        <v>98</v>
      </c>
      <c r="M148" t="s">
        <v>697</v>
      </c>
      <c r="N148" t="str">
        <f t="shared" si="4"/>
        <v>16426739100</v>
      </c>
    </row>
    <row r="149" spans="1:14" hidden="1">
      <c r="A149" s="19" t="s">
        <v>372</v>
      </c>
      <c r="B149" s="19" t="s">
        <v>372</v>
      </c>
      <c r="C149" s="7" t="s">
        <v>207</v>
      </c>
      <c r="D149" s="19" t="s">
        <v>262</v>
      </c>
      <c r="E149" s="7" t="s">
        <v>720</v>
      </c>
      <c r="F149" s="19" t="s">
        <v>511</v>
      </c>
      <c r="G149" s="9">
        <v>46090</v>
      </c>
      <c r="H149" s="19" t="s">
        <v>227</v>
      </c>
      <c r="I149" s="7">
        <v>6</v>
      </c>
      <c r="N149" t="str">
        <f t="shared" si="4"/>
        <v>1643279450</v>
      </c>
    </row>
    <row r="150" spans="1:14" hidden="1">
      <c r="A150" s="19" t="s">
        <v>372</v>
      </c>
      <c r="B150" s="19" t="s">
        <v>372</v>
      </c>
      <c r="C150" s="7" t="s">
        <v>196</v>
      </c>
      <c r="D150" s="19" t="s">
        <v>346</v>
      </c>
      <c r="E150" s="7" t="s">
        <v>577</v>
      </c>
      <c r="F150" s="19" t="s">
        <v>513</v>
      </c>
      <c r="G150" s="9">
        <v>46056</v>
      </c>
      <c r="H150" s="19" t="s">
        <v>100</v>
      </c>
      <c r="I150" s="7">
        <v>4</v>
      </c>
      <c r="J150" t="s">
        <v>98</v>
      </c>
      <c r="K150" t="s">
        <v>703</v>
      </c>
      <c r="L150" t="s">
        <v>98</v>
      </c>
      <c r="M150" t="s">
        <v>697</v>
      </c>
      <c r="N150" t="str">
        <f t="shared" si="4"/>
        <v>16426739110</v>
      </c>
    </row>
    <row r="151" spans="1:14" hidden="1">
      <c r="A151" s="19" t="s">
        <v>372</v>
      </c>
      <c r="B151" s="19" t="s">
        <v>372</v>
      </c>
      <c r="C151" s="7" t="s">
        <v>207</v>
      </c>
      <c r="D151" s="19" t="s">
        <v>178</v>
      </c>
      <c r="E151" s="7" t="s">
        <v>720</v>
      </c>
      <c r="F151" s="19" t="s">
        <v>515</v>
      </c>
      <c r="G151" s="9">
        <v>46090</v>
      </c>
      <c r="H151" s="19" t="s">
        <v>227</v>
      </c>
      <c r="I151" s="7">
        <v>6</v>
      </c>
      <c r="N151" t="str">
        <f t="shared" si="4"/>
        <v>1643279440</v>
      </c>
    </row>
    <row r="152" spans="1:14" hidden="1">
      <c r="A152" s="19" t="s">
        <v>521</v>
      </c>
      <c r="B152" s="19" t="s">
        <v>521</v>
      </c>
      <c r="C152" s="7" t="s">
        <v>332</v>
      </c>
      <c r="D152" s="19" t="s">
        <v>109</v>
      </c>
      <c r="E152" s="7" t="s">
        <v>524</v>
      </c>
      <c r="F152" s="19" t="s">
        <v>517</v>
      </c>
      <c r="G152" s="9">
        <v>45930</v>
      </c>
      <c r="H152" s="19" t="s">
        <v>100</v>
      </c>
      <c r="I152" s="7">
        <v>1</v>
      </c>
      <c r="J152" t="s">
        <v>694</v>
      </c>
      <c r="K152" t="s">
        <v>694</v>
      </c>
      <c r="N152" t="str">
        <f t="shared" si="4"/>
        <v>1640598910</v>
      </c>
    </row>
    <row r="153" spans="1:14" hidden="1">
      <c r="A153" s="19" t="s">
        <v>569</v>
      </c>
      <c r="B153" s="19" t="s">
        <v>718</v>
      </c>
      <c r="C153" s="7" t="s">
        <v>713</v>
      </c>
      <c r="D153" s="19" t="s">
        <v>143</v>
      </c>
      <c r="E153" s="7" t="s">
        <v>569</v>
      </c>
      <c r="F153" s="19" t="s">
        <v>715</v>
      </c>
      <c r="G153" s="9">
        <v>46141</v>
      </c>
      <c r="H153" s="19" t="s">
        <v>203</v>
      </c>
      <c r="I153" s="7">
        <v>10</v>
      </c>
      <c r="N153" t="str">
        <f t="shared" si="4"/>
        <v>1644232030</v>
      </c>
    </row>
    <row r="154" spans="1:14" hidden="1">
      <c r="A154" s="19" t="s">
        <v>372</v>
      </c>
      <c r="B154" s="19" t="s">
        <v>372</v>
      </c>
      <c r="C154" s="7" t="s">
        <v>196</v>
      </c>
      <c r="D154" s="19" t="s">
        <v>525</v>
      </c>
      <c r="E154" s="7" t="s">
        <v>711</v>
      </c>
      <c r="F154" s="19" t="s">
        <v>527</v>
      </c>
      <c r="G154" s="9">
        <v>46056</v>
      </c>
      <c r="H154" s="19" t="s">
        <v>100</v>
      </c>
      <c r="I154" s="7">
        <v>7</v>
      </c>
      <c r="J154" t="s">
        <v>694</v>
      </c>
      <c r="N154" t="str">
        <f t="shared" si="4"/>
        <v>16426739250</v>
      </c>
    </row>
    <row r="155" spans="1:14" hidden="1">
      <c r="A155" s="19" t="s">
        <v>372</v>
      </c>
      <c r="B155" s="19" t="s">
        <v>372</v>
      </c>
      <c r="C155" s="7" t="s">
        <v>254</v>
      </c>
      <c r="D155" s="19" t="s">
        <v>417</v>
      </c>
      <c r="E155" s="7" t="s">
        <v>712</v>
      </c>
      <c r="F155" s="19" t="s">
        <v>527</v>
      </c>
      <c r="G155" s="9">
        <v>46073</v>
      </c>
      <c r="H155" s="19" t="s">
        <v>100</v>
      </c>
      <c r="I155" s="7">
        <v>7</v>
      </c>
      <c r="J155" t="s">
        <v>694</v>
      </c>
      <c r="N155" t="str">
        <f t="shared" si="4"/>
        <v>16429989180</v>
      </c>
    </row>
    <row r="156" spans="1:14" hidden="1">
      <c r="A156" s="19" t="s">
        <v>372</v>
      </c>
      <c r="B156" s="19" t="s">
        <v>372</v>
      </c>
      <c r="C156" s="7" t="s">
        <v>196</v>
      </c>
      <c r="D156" s="19" t="s">
        <v>456</v>
      </c>
      <c r="E156" s="7" t="s">
        <v>711</v>
      </c>
      <c r="F156" s="19" t="s">
        <v>531</v>
      </c>
      <c r="G156" s="9">
        <v>46056</v>
      </c>
      <c r="H156" s="19" t="s">
        <v>100</v>
      </c>
      <c r="I156" s="7">
        <v>10</v>
      </c>
      <c r="J156" t="s">
        <v>694</v>
      </c>
      <c r="N156" t="str">
        <f t="shared" si="4"/>
        <v>16426739230</v>
      </c>
    </row>
    <row r="157" spans="1:14" hidden="1">
      <c r="A157" s="19" t="s">
        <v>372</v>
      </c>
      <c r="B157" s="19" t="s">
        <v>372</v>
      </c>
      <c r="C157" s="7" t="s">
        <v>254</v>
      </c>
      <c r="D157" s="19" t="s">
        <v>181</v>
      </c>
      <c r="E157" s="7" t="s">
        <v>712</v>
      </c>
      <c r="F157" s="19" t="s">
        <v>531</v>
      </c>
      <c r="G157" s="9">
        <v>46073</v>
      </c>
      <c r="H157" s="19" t="s">
        <v>100</v>
      </c>
      <c r="I157" s="7">
        <v>20</v>
      </c>
      <c r="J157" t="s">
        <v>694</v>
      </c>
      <c r="N157" t="str">
        <f t="shared" si="4"/>
        <v>16429989160</v>
      </c>
    </row>
    <row r="158" spans="1:14" hidden="1">
      <c r="A158" s="19" t="s">
        <v>293</v>
      </c>
      <c r="B158" s="19" t="s">
        <v>293</v>
      </c>
      <c r="C158" s="7" t="s">
        <v>307</v>
      </c>
      <c r="D158" s="19" t="s">
        <v>109</v>
      </c>
      <c r="E158" s="7" t="s">
        <v>533</v>
      </c>
      <c r="F158" s="19" t="s">
        <v>531</v>
      </c>
      <c r="G158" s="9">
        <v>45904</v>
      </c>
      <c r="H158" s="19" t="s">
        <v>100</v>
      </c>
      <c r="I158" s="7">
        <v>10</v>
      </c>
      <c r="J158" t="s">
        <v>694</v>
      </c>
      <c r="K158" t="s">
        <v>694</v>
      </c>
      <c r="N158" t="str">
        <f t="shared" si="4"/>
        <v>1640186010</v>
      </c>
    </row>
    <row r="159" spans="1:14" hidden="1">
      <c r="A159" s="19" t="s">
        <v>372</v>
      </c>
      <c r="B159" s="19" t="s">
        <v>372</v>
      </c>
      <c r="C159" s="7" t="s">
        <v>196</v>
      </c>
      <c r="D159" s="19" t="s">
        <v>536</v>
      </c>
      <c r="E159" s="7" t="s">
        <v>711</v>
      </c>
      <c r="F159" s="19" t="s">
        <v>535</v>
      </c>
      <c r="G159" s="9">
        <v>46056</v>
      </c>
      <c r="H159" s="19" t="s">
        <v>100</v>
      </c>
      <c r="I159" s="7">
        <v>10</v>
      </c>
      <c r="J159" t="s">
        <v>694</v>
      </c>
      <c r="N159" t="str">
        <f t="shared" si="4"/>
        <v>16426739240</v>
      </c>
    </row>
    <row r="160" spans="1:14" hidden="1">
      <c r="A160" s="19" t="s">
        <v>372</v>
      </c>
      <c r="B160" s="19" t="s">
        <v>372</v>
      </c>
      <c r="C160" s="7" t="s">
        <v>254</v>
      </c>
      <c r="D160" s="19" t="s">
        <v>89</v>
      </c>
      <c r="E160" s="7" t="s">
        <v>712</v>
      </c>
      <c r="F160" s="19" t="s">
        <v>535</v>
      </c>
      <c r="G160" s="9">
        <v>46073</v>
      </c>
      <c r="H160" s="19" t="s">
        <v>100</v>
      </c>
      <c r="I160" s="7">
        <v>20</v>
      </c>
      <c r="J160" t="s">
        <v>694</v>
      </c>
      <c r="N160" t="str">
        <f t="shared" si="4"/>
        <v>16429989170</v>
      </c>
    </row>
    <row r="161" spans="1:14" hidden="1">
      <c r="A161" s="20" t="s">
        <v>293</v>
      </c>
      <c r="B161" s="19" t="s">
        <v>293</v>
      </c>
      <c r="C161" s="7" t="s">
        <v>307</v>
      </c>
      <c r="D161" s="19" t="s">
        <v>69</v>
      </c>
      <c r="E161" s="7" t="s">
        <v>533</v>
      </c>
      <c r="F161" s="19" t="s">
        <v>535</v>
      </c>
      <c r="G161" s="9">
        <v>45904</v>
      </c>
      <c r="H161" s="19" t="s">
        <v>100</v>
      </c>
      <c r="I161" s="7">
        <v>10</v>
      </c>
      <c r="J161" t="s">
        <v>694</v>
      </c>
      <c r="K161" t="s">
        <v>694</v>
      </c>
      <c r="N161" t="str">
        <f t="shared" si="4"/>
        <v>1640186020</v>
      </c>
    </row>
    <row r="162" spans="1:14" hidden="1">
      <c r="A162" s="19" t="s">
        <v>372</v>
      </c>
      <c r="B162" s="19" t="s">
        <v>372</v>
      </c>
      <c r="C162" s="7" t="s">
        <v>196</v>
      </c>
      <c r="D162" s="19" t="s">
        <v>537</v>
      </c>
      <c r="E162" s="7" t="s">
        <v>711</v>
      </c>
      <c r="F162" s="19" t="s">
        <v>539</v>
      </c>
      <c r="G162" s="9">
        <v>46056</v>
      </c>
      <c r="H162" s="19" t="s">
        <v>100</v>
      </c>
      <c r="I162" s="7">
        <v>5</v>
      </c>
      <c r="J162" t="s">
        <v>694</v>
      </c>
      <c r="N162" t="str">
        <f t="shared" ref="N162:N171" si="5">C162&amp;D162</f>
        <v>16426739260</v>
      </c>
    </row>
    <row r="163" spans="1:14" hidden="1">
      <c r="A163" s="20" t="s">
        <v>569</v>
      </c>
      <c r="B163" s="19" t="s">
        <v>232</v>
      </c>
      <c r="C163" s="7" t="s">
        <v>177</v>
      </c>
      <c r="D163" s="19" t="s">
        <v>109</v>
      </c>
      <c r="E163" s="7" t="s">
        <v>569</v>
      </c>
      <c r="F163" s="19" t="s">
        <v>541</v>
      </c>
      <c r="G163" s="9">
        <v>46090</v>
      </c>
      <c r="H163" s="19" t="s">
        <v>203</v>
      </c>
      <c r="I163" s="7">
        <v>4</v>
      </c>
      <c r="N163" t="str">
        <f t="shared" si="5"/>
        <v>1643277610</v>
      </c>
    </row>
    <row r="164" spans="1:14" hidden="1">
      <c r="A164" s="19" t="s">
        <v>188</v>
      </c>
      <c r="B164" s="19" t="s">
        <v>569</v>
      </c>
      <c r="C164" s="7" t="s">
        <v>234</v>
      </c>
      <c r="D164" s="19" t="s">
        <v>259</v>
      </c>
      <c r="E164" s="7" t="s">
        <v>546</v>
      </c>
      <c r="F164" s="19" t="s">
        <v>543</v>
      </c>
      <c r="G164" s="9">
        <v>46045</v>
      </c>
      <c r="H164" s="19" t="s">
        <v>100</v>
      </c>
      <c r="I164" s="7">
        <v>5</v>
      </c>
      <c r="J164" t="s">
        <v>694</v>
      </c>
      <c r="K164" t="s">
        <v>694</v>
      </c>
      <c r="N164" t="str">
        <f t="shared" si="5"/>
        <v>1642505660</v>
      </c>
    </row>
    <row r="165" spans="1:14" hidden="1">
      <c r="A165" s="19" t="s">
        <v>569</v>
      </c>
      <c r="B165" s="19" t="s">
        <v>569</v>
      </c>
      <c r="C165" s="7" t="s">
        <v>706</v>
      </c>
      <c r="D165" s="19" t="s">
        <v>69</v>
      </c>
      <c r="E165" s="7" t="s">
        <v>569</v>
      </c>
      <c r="F165" s="19" t="s">
        <v>710</v>
      </c>
      <c r="G165" s="9">
        <v>46150</v>
      </c>
      <c r="H165" s="19" t="s">
        <v>180</v>
      </c>
      <c r="I165" s="7">
        <v>2</v>
      </c>
      <c r="J165" t="e">
        <v>#N/A</v>
      </c>
      <c r="K165" t="e">
        <v>#N/A</v>
      </c>
      <c r="L165" t="e">
        <v>#N/A</v>
      </c>
      <c r="M165" t="e">
        <v>#N/A</v>
      </c>
      <c r="N165" t="str">
        <f t="shared" si="5"/>
        <v>1644465920</v>
      </c>
    </row>
    <row r="166" spans="1:14" hidden="1">
      <c r="A166" s="19" t="s">
        <v>569</v>
      </c>
      <c r="B166" s="19" t="s">
        <v>569</v>
      </c>
      <c r="C166" s="7" t="s">
        <v>706</v>
      </c>
      <c r="D166" s="19" t="s">
        <v>109</v>
      </c>
      <c r="E166" s="7" t="s">
        <v>569</v>
      </c>
      <c r="F166" s="19" t="s">
        <v>708</v>
      </c>
      <c r="G166" s="9">
        <v>46150</v>
      </c>
      <c r="H166" s="19" t="s">
        <v>180</v>
      </c>
      <c r="I166" s="7">
        <v>2</v>
      </c>
      <c r="J166" t="e">
        <v>#N/A</v>
      </c>
      <c r="K166" t="e">
        <v>#N/A</v>
      </c>
      <c r="L166" t="e">
        <v>#N/A</v>
      </c>
      <c r="M166" t="e">
        <v>#N/A</v>
      </c>
      <c r="N166" t="str">
        <f t="shared" si="5"/>
        <v>1644465910</v>
      </c>
    </row>
    <row r="167" spans="1:14" hidden="1">
      <c r="A167" s="20" t="s">
        <v>569</v>
      </c>
      <c r="B167" s="19" t="s">
        <v>569</v>
      </c>
      <c r="C167" s="7" t="s">
        <v>547</v>
      </c>
      <c r="D167" s="19" t="s">
        <v>178</v>
      </c>
      <c r="E167" s="7" t="s">
        <v>569</v>
      </c>
      <c r="F167" s="19" t="s">
        <v>549</v>
      </c>
      <c r="G167" s="9">
        <v>45940</v>
      </c>
      <c r="H167" s="19" t="s">
        <v>550</v>
      </c>
      <c r="I167" s="7">
        <v>6</v>
      </c>
      <c r="N167" t="str">
        <f t="shared" si="5"/>
        <v>1640786740</v>
      </c>
    </row>
    <row r="168" spans="1:14" hidden="1">
      <c r="A168" s="19" t="s">
        <v>126</v>
      </c>
      <c r="B168" s="19" t="s">
        <v>569</v>
      </c>
      <c r="C168" s="7" t="s">
        <v>547</v>
      </c>
      <c r="D168" s="19" t="s">
        <v>262</v>
      </c>
      <c r="E168" s="7" t="s">
        <v>561</v>
      </c>
      <c r="F168" s="19" t="s">
        <v>552</v>
      </c>
      <c r="G168" s="9">
        <v>45940</v>
      </c>
      <c r="H168" s="19" t="s">
        <v>100</v>
      </c>
      <c r="I168" s="7">
        <v>4</v>
      </c>
      <c r="N168" t="str">
        <f t="shared" si="5"/>
        <v>1640786750</v>
      </c>
    </row>
    <row r="169" spans="1:14" hidden="1">
      <c r="A169" s="19" t="s">
        <v>569</v>
      </c>
      <c r="B169" s="19" t="s">
        <v>569</v>
      </c>
      <c r="C169" s="7" t="s">
        <v>547</v>
      </c>
      <c r="D169" s="19" t="s">
        <v>109</v>
      </c>
      <c r="E169" s="7" t="s">
        <v>569</v>
      </c>
      <c r="F169" s="19" t="s">
        <v>563</v>
      </c>
      <c r="G169" s="9">
        <v>45940</v>
      </c>
      <c r="H169" s="19" t="s">
        <v>550</v>
      </c>
      <c r="I169" s="7">
        <v>10</v>
      </c>
      <c r="N169" t="str">
        <f t="shared" si="5"/>
        <v>1640786710</v>
      </c>
    </row>
    <row r="170" spans="1:14" hidden="1">
      <c r="A170" s="19" t="s">
        <v>569</v>
      </c>
      <c r="B170" s="19" t="s">
        <v>569</v>
      </c>
      <c r="C170" s="7" t="s">
        <v>547</v>
      </c>
      <c r="D170" s="19" t="s">
        <v>143</v>
      </c>
      <c r="E170" s="7" t="s">
        <v>569</v>
      </c>
      <c r="F170" s="19" t="s">
        <v>565</v>
      </c>
      <c r="G170" s="9">
        <v>45940</v>
      </c>
      <c r="H170" s="19" t="s">
        <v>176</v>
      </c>
      <c r="I170" s="7">
        <v>2</v>
      </c>
      <c r="N170" t="str">
        <f t="shared" si="5"/>
        <v>1640786730</v>
      </c>
    </row>
    <row r="171" spans="1:14" hidden="1">
      <c r="A171" s="20" t="s">
        <v>569</v>
      </c>
      <c r="B171" s="19" t="s">
        <v>569</v>
      </c>
      <c r="C171" s="7" t="s">
        <v>547</v>
      </c>
      <c r="D171" s="19" t="s">
        <v>69</v>
      </c>
      <c r="E171" s="7" t="s">
        <v>569</v>
      </c>
      <c r="F171" s="19" t="s">
        <v>567</v>
      </c>
      <c r="G171" s="9">
        <v>45940</v>
      </c>
      <c r="H171" s="19" t="s">
        <v>550</v>
      </c>
      <c r="I171" s="7">
        <v>10</v>
      </c>
      <c r="N171" t="str">
        <f t="shared" si="5"/>
        <v>1640786720</v>
      </c>
    </row>
    <row r="180" spans="8:8">
      <c r="H180" s="22"/>
    </row>
  </sheetData>
  <autoFilter ref="A1:N171" xr:uid="{ADC5A7E3-DEBB-477D-9135-6C36A498861F}">
    <filterColumn colId="5">
      <filters>
        <filter val="CONECTOR DERIV PERF 16-150MM2"/>
        <filter val="CONECTOR DERIV PERF 50-240MM2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B0C41-E118-41F8-AE17-71D6A75926A3}">
  <sheetPr filterMode="1"/>
  <dimension ref="A1:N121"/>
  <sheetViews>
    <sheetView topLeftCell="B1" workbookViewId="0">
      <selection activeCell="H95" sqref="F95:H95"/>
    </sheetView>
  </sheetViews>
  <sheetFormatPr defaultRowHeight="15"/>
  <cols>
    <col min="1" max="1" width="18.5703125" style="15" bestFit="1" customWidth="1"/>
    <col min="2" max="2" width="19.28515625" style="15" bestFit="1" customWidth="1"/>
    <col min="3" max="3" width="11" style="15" bestFit="1" customWidth="1"/>
    <col min="4" max="4" width="8.28515625" style="15" bestFit="1" customWidth="1"/>
    <col min="5" max="5" width="11" style="15" bestFit="1" customWidth="1"/>
    <col min="6" max="6" width="45.85546875" style="15" bestFit="1" customWidth="1"/>
    <col min="7" max="7" width="13.7109375" style="15" bestFit="1" customWidth="1"/>
    <col min="8" max="8" width="27.28515625" style="15" bestFit="1" customWidth="1"/>
    <col min="9" max="9" width="8.5703125" style="15" bestFit="1" customWidth="1"/>
    <col min="10" max="10" width="9" bestFit="1" customWidth="1"/>
    <col min="11" max="11" width="12.85546875" bestFit="1" customWidth="1"/>
    <col min="12" max="12" width="18.42578125" bestFit="1" customWidth="1"/>
    <col min="13" max="13" width="62.140625" bestFit="1" customWidth="1"/>
    <col min="14" max="14" width="12" bestFit="1" customWidth="1"/>
  </cols>
  <sheetData>
    <row r="1" spans="1:14">
      <c r="A1" s="8" t="s">
        <v>568</v>
      </c>
      <c r="B1" s="8" t="s">
        <v>32</v>
      </c>
      <c r="C1" s="8" t="s">
        <v>1</v>
      </c>
      <c r="D1" s="8" t="s">
        <v>2</v>
      </c>
      <c r="E1" s="8" t="s">
        <v>47</v>
      </c>
      <c r="F1" s="8" t="s">
        <v>15</v>
      </c>
      <c r="G1" s="8" t="s">
        <v>7</v>
      </c>
      <c r="H1" s="8" t="s">
        <v>66</v>
      </c>
      <c r="I1" s="8" t="s">
        <v>16</v>
      </c>
      <c r="J1" s="10" t="s">
        <v>692</v>
      </c>
      <c r="K1" s="10" t="s">
        <v>693</v>
      </c>
      <c r="L1" s="10" t="s">
        <v>572</v>
      </c>
      <c r="M1" s="10" t="s">
        <v>571</v>
      </c>
      <c r="N1" s="16" t="s">
        <v>699</v>
      </c>
    </row>
    <row r="2" spans="1:14" hidden="1">
      <c r="A2" s="13" t="s">
        <v>126</v>
      </c>
      <c r="B2" s="13" t="s">
        <v>569</v>
      </c>
      <c r="C2" s="13" t="e" cm="1">
        <f t="array" ref="C2">_xlfn.XLOOKUP('27.04'!F51 &amp; G2,Export!P:P &amp; Export!H:H,Export!B:B)</f>
        <v>#N/A</v>
      </c>
      <c r="D2" s="13" t="str" cm="1">
        <f t="array" ref="D2">_xlfn.XLOOKUP(F2 &amp; G2,Export!P:P &amp; Export!H:H,Export!C:C)</f>
        <v>10</v>
      </c>
      <c r="E2" s="13" t="s">
        <v>273</v>
      </c>
      <c r="F2" s="13" t="s">
        <v>271</v>
      </c>
      <c r="G2" s="14">
        <v>46073</v>
      </c>
      <c r="H2" s="13" t="s">
        <v>227</v>
      </c>
      <c r="I2" s="13">
        <v>10</v>
      </c>
      <c r="J2" s="7"/>
      <c r="K2" s="7"/>
      <c r="N2" t="e">
        <f t="shared" ref="N2:N33" si="0">C2&amp;D2</f>
        <v>#N/A</v>
      </c>
    </row>
    <row r="3" spans="1:14" hidden="1">
      <c r="A3" s="13" t="s">
        <v>569</v>
      </c>
      <c r="B3" s="13" t="s">
        <v>202</v>
      </c>
      <c r="C3" s="13" t="e" cm="1">
        <f t="array" ref="C3">_xlfn.XLOOKUP('27.04'!F71 &amp; G3,Export!P:P &amp; Export!H:H,Export!B:B)</f>
        <v>#N/A</v>
      </c>
      <c r="D3" s="13" t="str" cm="1">
        <f t="array" ref="D3">_xlfn.XLOOKUP(F3 &amp; G3,Export!P:P &amp; Export!H:H,Export!C:C)</f>
        <v>30</v>
      </c>
      <c r="E3" s="13" t="s">
        <v>569</v>
      </c>
      <c r="F3" s="13" t="s">
        <v>275</v>
      </c>
      <c r="G3" s="14">
        <v>46073</v>
      </c>
      <c r="H3" s="13" t="s">
        <v>203</v>
      </c>
      <c r="I3" s="13">
        <v>10</v>
      </c>
      <c r="J3" s="7"/>
      <c r="K3" s="7"/>
      <c r="N3" t="e">
        <f t="shared" si="0"/>
        <v>#N/A</v>
      </c>
    </row>
    <row r="4" spans="1:14" hidden="1">
      <c r="A4" s="13" t="s">
        <v>569</v>
      </c>
      <c r="B4" s="13" t="s">
        <v>569</v>
      </c>
      <c r="C4" s="13" t="e" cm="1">
        <f t="array" ref="C4">_xlfn.XLOOKUP('27.04'!F81 &amp; G4,Export!P:P &amp; Export!H:H,Export!B:B)</f>
        <v>#N/A</v>
      </c>
      <c r="D4" s="13" t="str" cm="1">
        <f t="array" ref="D4">_xlfn.XLOOKUP(F4 &amp; G4,Export!P:P &amp; Export!H:H,Export!C:C)</f>
        <v>20</v>
      </c>
      <c r="E4" s="13" t="s">
        <v>569</v>
      </c>
      <c r="F4" s="13" t="s">
        <v>277</v>
      </c>
      <c r="G4" s="14">
        <v>46073</v>
      </c>
      <c r="H4" s="13" t="s">
        <v>180</v>
      </c>
      <c r="I4" s="13">
        <v>10</v>
      </c>
      <c r="J4" s="7"/>
      <c r="K4" s="7"/>
      <c r="L4" s="7"/>
      <c r="M4" s="7"/>
      <c r="N4" t="e">
        <f t="shared" si="0"/>
        <v>#N/A</v>
      </c>
    </row>
    <row r="5" spans="1:14" hidden="1">
      <c r="A5" s="13" t="s">
        <v>126</v>
      </c>
      <c r="B5" s="13" t="s">
        <v>569</v>
      </c>
      <c r="C5" s="13" t="e" cm="1">
        <f t="array" ref="C5">_xlfn.XLOOKUP('27.04'!F54 &amp; G5,Export!P:P &amp; Export!H:H,Export!B:B)</f>
        <v>#N/A</v>
      </c>
      <c r="D5" s="13" t="str" cm="1">
        <f t="array" ref="D5">_xlfn.XLOOKUP(F5 &amp; G5,Export!P:P &amp; Export!H:H,Export!C:C)</f>
        <v>40</v>
      </c>
      <c r="E5" s="13" t="s">
        <v>283</v>
      </c>
      <c r="F5" s="13" t="s">
        <v>279</v>
      </c>
      <c r="G5" s="14">
        <v>46073</v>
      </c>
      <c r="H5" s="13" t="s">
        <v>227</v>
      </c>
      <c r="I5" s="13">
        <v>15</v>
      </c>
      <c r="J5" s="7"/>
      <c r="K5" s="7"/>
      <c r="N5" t="e">
        <f t="shared" si="0"/>
        <v>#N/A</v>
      </c>
    </row>
    <row r="6" spans="1:14" hidden="1">
      <c r="A6" s="13" t="s">
        <v>126</v>
      </c>
      <c r="B6" s="13" t="s">
        <v>569</v>
      </c>
      <c r="C6" s="13" t="e" cm="1">
        <f t="array" ref="C6">_xlfn.XLOOKUP('27.04'!F53 &amp; G6,Export!P:P &amp; Export!H:H,Export!B:B)</f>
        <v>#N/A</v>
      </c>
      <c r="D6" s="13" t="str" cm="1">
        <f t="array" ref="D6">_xlfn.XLOOKUP(F6 &amp; G6,Export!P:P &amp; Export!H:H,Export!C:C)</f>
        <v>140</v>
      </c>
      <c r="E6" s="13" t="s">
        <v>283</v>
      </c>
      <c r="F6" s="13" t="s">
        <v>286</v>
      </c>
      <c r="G6" s="14">
        <v>46073</v>
      </c>
      <c r="H6" s="13" t="s">
        <v>227</v>
      </c>
      <c r="I6" s="13">
        <v>10</v>
      </c>
      <c r="J6" s="7"/>
      <c r="K6" s="7"/>
      <c r="N6" t="e">
        <f t="shared" si="0"/>
        <v>#N/A</v>
      </c>
    </row>
    <row r="7" spans="1:14" hidden="1">
      <c r="A7" s="13" t="s">
        <v>293</v>
      </c>
      <c r="B7" s="13" t="s">
        <v>293</v>
      </c>
      <c r="C7" s="13" t="e" cm="1">
        <f t="array" ref="C7">_xlfn.XLOOKUP('27.04'!F14 &amp; G7,Export!P:P &amp; Export!H:H,Export!B:B)</f>
        <v>#N/A</v>
      </c>
      <c r="D7" s="13" t="str" cm="1">
        <f t="array" ref="D7">_xlfn.XLOOKUP(F7 &amp; G7,Export!P:P &amp; Export!H:H,Export!C:C)</f>
        <v>60</v>
      </c>
      <c r="E7" s="13" t="s">
        <v>296</v>
      </c>
      <c r="F7" s="13" t="s">
        <v>289</v>
      </c>
      <c r="G7" s="14">
        <v>45922</v>
      </c>
      <c r="H7" s="13" t="s">
        <v>227</v>
      </c>
      <c r="I7" s="13">
        <v>4</v>
      </c>
      <c r="J7" s="7" t="s">
        <v>694</v>
      </c>
      <c r="K7" s="7" t="s">
        <v>694</v>
      </c>
      <c r="N7" t="e">
        <f t="shared" si="0"/>
        <v>#N/A</v>
      </c>
    </row>
    <row r="8" spans="1:14" hidden="1">
      <c r="A8" s="13" t="s">
        <v>293</v>
      </c>
      <c r="B8" s="13" t="s">
        <v>293</v>
      </c>
      <c r="C8" s="13" t="e" cm="1">
        <f t="array" ref="C8">_xlfn.XLOOKUP('27.04'!F16 &amp; G8,Export!P:P &amp; Export!H:H,Export!B:B)</f>
        <v>#N/A</v>
      </c>
      <c r="D8" s="13" t="str" cm="1">
        <f t="array" ref="D8">_xlfn.XLOOKUP(F8 &amp; G8,Export!P:P &amp; Export!H:H,Export!C:C)</f>
        <v>80</v>
      </c>
      <c r="E8" s="13" t="s">
        <v>296</v>
      </c>
      <c r="F8" s="13" t="s">
        <v>298</v>
      </c>
      <c r="G8" s="14">
        <v>45922</v>
      </c>
      <c r="H8" s="13" t="s">
        <v>227</v>
      </c>
      <c r="I8" s="13">
        <v>2</v>
      </c>
      <c r="J8" s="7" t="s">
        <v>694</v>
      </c>
      <c r="K8" s="7" t="s">
        <v>694</v>
      </c>
      <c r="N8" t="e">
        <f t="shared" si="0"/>
        <v>#N/A</v>
      </c>
    </row>
    <row r="9" spans="1:14" hidden="1">
      <c r="A9" s="13" t="s">
        <v>293</v>
      </c>
      <c r="B9" s="13" t="s">
        <v>293</v>
      </c>
      <c r="C9" s="13" t="e" cm="1">
        <f t="array" ref="C9">_xlfn.XLOOKUP('27.04'!F15 &amp; G9,Export!P:P &amp; Export!H:H,Export!B:B)</f>
        <v>#N/A</v>
      </c>
      <c r="D9" s="13" t="str" cm="1">
        <f t="array" ref="D9">_xlfn.XLOOKUP(F9 &amp; G9,Export!P:P &amp; Export!H:H,Export!C:C)</f>
        <v>70</v>
      </c>
      <c r="E9" s="13" t="s">
        <v>296</v>
      </c>
      <c r="F9" s="13" t="s">
        <v>300</v>
      </c>
      <c r="G9" s="14">
        <v>45922</v>
      </c>
      <c r="H9" s="13" t="s">
        <v>227</v>
      </c>
      <c r="I9" s="13">
        <v>2</v>
      </c>
      <c r="J9" s="7" t="s">
        <v>694</v>
      </c>
      <c r="K9" s="7" t="s">
        <v>694</v>
      </c>
      <c r="L9" s="7"/>
      <c r="N9" t="e">
        <f t="shared" si="0"/>
        <v>#N/A</v>
      </c>
    </row>
    <row r="10" spans="1:14" hidden="1">
      <c r="A10" s="13" t="s">
        <v>223</v>
      </c>
      <c r="B10" s="13" t="s">
        <v>223</v>
      </c>
      <c r="C10" s="13" t="str" cm="1">
        <f t="array" ref="C10">_xlfn.XLOOKUP('27.04'!F9 &amp; G10,Export!P:P &amp; Export!H:H,Export!B:B)</f>
        <v>16404745</v>
      </c>
      <c r="D10" s="13" t="str" cm="1">
        <f t="array" ref="D10">_xlfn.XLOOKUP(F10 &amp; G10,Export!P:P &amp; Export!H:H,Export!C:C)</f>
        <v>90</v>
      </c>
      <c r="E10" s="13" t="s">
        <v>306</v>
      </c>
      <c r="F10" s="13" t="s">
        <v>302</v>
      </c>
      <c r="G10" s="14">
        <v>45922</v>
      </c>
      <c r="H10" s="13" t="s">
        <v>227</v>
      </c>
      <c r="I10" s="13">
        <v>20</v>
      </c>
      <c r="J10" s="7"/>
      <c r="K10" s="7"/>
      <c r="L10" s="7"/>
      <c r="M10" s="11" t="s">
        <v>698</v>
      </c>
      <c r="N10" t="str">
        <f t="shared" si="0"/>
        <v>1640474590</v>
      </c>
    </row>
    <row r="11" spans="1:14" hidden="1">
      <c r="A11" s="13" t="s">
        <v>126</v>
      </c>
      <c r="B11" s="13" t="s">
        <v>569</v>
      </c>
      <c r="C11" s="13" t="e" cm="1">
        <f t="array" ref="C11">_xlfn.XLOOKUP('27.04'!F57 &amp; G11,Export!P:P &amp; Export!H:H,Export!B:B)</f>
        <v>#N/A</v>
      </c>
      <c r="D11" s="13" t="str" cm="1">
        <f t="array" ref="D11">_xlfn.XLOOKUP(F11 &amp; G11,Export!P:P &amp; Export!H:H,Export!C:C)</f>
        <v>30</v>
      </c>
      <c r="E11" s="13" t="s">
        <v>314</v>
      </c>
      <c r="F11" s="13" t="s">
        <v>309</v>
      </c>
      <c r="G11" s="14">
        <v>45904</v>
      </c>
      <c r="H11" s="13" t="s">
        <v>100</v>
      </c>
      <c r="I11" s="13">
        <v>30</v>
      </c>
      <c r="J11" s="7" t="s">
        <v>694</v>
      </c>
      <c r="K11" s="7" t="s">
        <v>694</v>
      </c>
      <c r="L11" s="7"/>
      <c r="N11" t="e">
        <f t="shared" si="0"/>
        <v>#N/A</v>
      </c>
    </row>
    <row r="12" spans="1:14" hidden="1">
      <c r="A12" s="13" t="s">
        <v>223</v>
      </c>
      <c r="B12" s="13" t="s">
        <v>223</v>
      </c>
      <c r="C12" s="13" t="e" cm="1">
        <f t="array" ref="C12">_xlfn.XLOOKUP('27.04'!F10 &amp; G12,Export!P:P &amp; Export!H:H,Export!B:B)</f>
        <v>#N/A</v>
      </c>
      <c r="D12" s="13" t="str" cm="1">
        <f t="array" ref="D12">_xlfn.XLOOKUP(F12 &amp; G12,Export!P:P &amp; Export!H:H,Export!C:C)</f>
        <v>10</v>
      </c>
      <c r="E12" s="13" t="s">
        <v>321</v>
      </c>
      <c r="F12" s="13" t="s">
        <v>317</v>
      </c>
      <c r="G12" s="14">
        <v>45855</v>
      </c>
      <c r="H12" s="13" t="s">
        <v>100</v>
      </c>
      <c r="I12" s="13">
        <v>2</v>
      </c>
      <c r="J12" s="7" t="s">
        <v>694</v>
      </c>
      <c r="K12" s="7" t="s">
        <v>694</v>
      </c>
      <c r="N12" t="e">
        <f t="shared" si="0"/>
        <v>#N/A</v>
      </c>
    </row>
    <row r="13" spans="1:14" hidden="1">
      <c r="A13" s="13" t="s">
        <v>569</v>
      </c>
      <c r="B13" s="13" t="s">
        <v>569</v>
      </c>
      <c r="C13" s="13" t="e" cm="1">
        <f t="array" ref="C13">_xlfn.XLOOKUP('27.04'!F89 &amp; G13,Export!P:P &amp; Export!H:H,Export!B:B)</f>
        <v>#N/A</v>
      </c>
      <c r="D13" s="13" t="str" cm="1">
        <f t="array" ref="D13">_xlfn.XLOOKUP(F13 &amp; G13,Export!P:P &amp; Export!H:H,Export!C:C)</f>
        <v>70</v>
      </c>
      <c r="E13" s="13" t="s">
        <v>569</v>
      </c>
      <c r="F13" s="13" t="s">
        <v>317</v>
      </c>
      <c r="G13" s="14">
        <v>46122</v>
      </c>
      <c r="H13" s="13" t="s">
        <v>585</v>
      </c>
      <c r="I13" s="13">
        <v>2</v>
      </c>
      <c r="J13" s="7"/>
      <c r="K13" s="7"/>
      <c r="N13" t="e">
        <f t="shared" si="0"/>
        <v>#N/A</v>
      </c>
    </row>
    <row r="14" spans="1:14" hidden="1">
      <c r="A14" s="13" t="s">
        <v>569</v>
      </c>
      <c r="B14" s="13" t="s">
        <v>569</v>
      </c>
      <c r="C14" s="13" t="e" cm="1">
        <f t="array" ref="C14">_xlfn.XLOOKUP('27.04'!F119 &amp; G14,Export!P:P &amp; Export!H:H,Export!B:B)</f>
        <v>#N/A</v>
      </c>
      <c r="D14" s="13" t="str" cm="1">
        <f t="array" ref="D14">_xlfn.XLOOKUP(F14 &amp; G14,Export!P:P &amp; Export!H:H,Export!C:C)</f>
        <v>50</v>
      </c>
      <c r="E14" s="13" t="s">
        <v>569</v>
      </c>
      <c r="F14" s="13" t="s">
        <v>324</v>
      </c>
      <c r="G14" s="14">
        <v>46073</v>
      </c>
      <c r="H14" s="13" t="s">
        <v>550</v>
      </c>
      <c r="I14" s="13">
        <v>1</v>
      </c>
      <c r="J14" s="7"/>
      <c r="K14" s="7"/>
      <c r="N14" t="e">
        <f t="shared" si="0"/>
        <v>#N/A</v>
      </c>
    </row>
    <row r="15" spans="1:14" hidden="1">
      <c r="A15" s="13" t="s">
        <v>126</v>
      </c>
      <c r="B15" s="13" t="s">
        <v>569</v>
      </c>
      <c r="C15" s="13" t="e" cm="1">
        <f t="array" ref="C15">_xlfn.XLOOKUP('27.04'!F59 &amp; G15,Export!P:P &amp; Export!H:H,Export!B:B)</f>
        <v>#N/A</v>
      </c>
      <c r="D15" s="13" t="str" cm="1">
        <f t="array" ref="D15">_xlfn.XLOOKUP(F15 &amp; G15,Export!P:P &amp; Export!H:H,Export!C:C)</f>
        <v>10</v>
      </c>
      <c r="E15" s="13" t="s">
        <v>329</v>
      </c>
      <c r="F15" s="13" t="s">
        <v>326</v>
      </c>
      <c r="G15" s="14">
        <v>46045</v>
      </c>
      <c r="H15" s="13" t="s">
        <v>100</v>
      </c>
      <c r="I15" s="13">
        <v>150</v>
      </c>
      <c r="J15" s="7" t="s">
        <v>694</v>
      </c>
      <c r="K15" s="7" t="s">
        <v>694</v>
      </c>
      <c r="N15" t="e">
        <f t="shared" si="0"/>
        <v>#N/A</v>
      </c>
    </row>
    <row r="16" spans="1:14" hidden="1">
      <c r="A16" s="13" t="s">
        <v>126</v>
      </c>
      <c r="B16" s="13" t="s">
        <v>569</v>
      </c>
      <c r="C16" s="13" t="e" cm="1">
        <f t="array" ref="C16">_xlfn.XLOOKUP('27.04'!F61 &amp; G16,Export!P:P &amp; Export!H:H,Export!B:B)</f>
        <v>#N/A</v>
      </c>
      <c r="D16" s="13" t="str" cm="1">
        <f t="array" ref="D16">_xlfn.XLOOKUP(F16 &amp; G16,Export!P:P &amp; Export!H:H,Export!C:C)</f>
        <v>20</v>
      </c>
      <c r="E16" s="13" t="s">
        <v>329</v>
      </c>
      <c r="F16" s="13" t="s">
        <v>331</v>
      </c>
      <c r="G16" s="14">
        <v>46045</v>
      </c>
      <c r="H16" s="13" t="s">
        <v>100</v>
      </c>
      <c r="I16" s="13">
        <v>100</v>
      </c>
      <c r="J16" s="7" t="s">
        <v>694</v>
      </c>
      <c r="K16" s="7" t="s">
        <v>694</v>
      </c>
      <c r="L16" s="7"/>
      <c r="N16" t="e">
        <f t="shared" si="0"/>
        <v>#N/A</v>
      </c>
    </row>
    <row r="17" spans="1:14" hidden="1">
      <c r="A17" s="13" t="s">
        <v>171</v>
      </c>
      <c r="B17" s="13" t="s">
        <v>171</v>
      </c>
      <c r="C17" s="13" t="e" cm="1">
        <f t="array" ref="C17">_xlfn.XLOOKUP('27.04'!F69 &amp; G17,Export!P:P &amp; Export!H:H,Export!B:B)</f>
        <v>#N/A</v>
      </c>
      <c r="D17" s="13" t="str" cm="1">
        <f t="array" ref="D17">_xlfn.XLOOKUP(F17 &amp; G17,Export!P:P &amp; Export!H:H,Export!C:C)</f>
        <v>20</v>
      </c>
      <c r="E17" s="13" t="s">
        <v>339</v>
      </c>
      <c r="F17" s="13" t="s">
        <v>334</v>
      </c>
      <c r="G17" s="14">
        <v>45930</v>
      </c>
      <c r="H17" s="13" t="s">
        <v>100</v>
      </c>
      <c r="I17" s="13">
        <v>5</v>
      </c>
      <c r="J17" s="7" t="s">
        <v>694</v>
      </c>
      <c r="K17" s="7" t="s">
        <v>694</v>
      </c>
      <c r="L17" s="7"/>
      <c r="N17" t="e">
        <f t="shared" si="0"/>
        <v>#N/A</v>
      </c>
    </row>
    <row r="18" spans="1:14" hidden="1">
      <c r="A18" s="13" t="s">
        <v>569</v>
      </c>
      <c r="B18" s="13" t="s">
        <v>232</v>
      </c>
      <c r="C18" s="13" t="e" cm="1">
        <f t="array" ref="C18">_xlfn.XLOOKUP('27.04'!F72 &amp; G18,Export!P:P &amp; Export!H:H,Export!B:B)</f>
        <v>#N/A</v>
      </c>
      <c r="D18" s="13" t="str" cm="1">
        <f t="array" ref="D18">_xlfn.XLOOKUP(F18 &amp; G18,Export!P:P &amp; Export!H:H,Export!C:C)</f>
        <v>30</v>
      </c>
      <c r="E18" s="13" t="s">
        <v>569</v>
      </c>
      <c r="F18" s="13" t="s">
        <v>341</v>
      </c>
      <c r="G18" s="14">
        <v>46073</v>
      </c>
      <c r="H18" s="13" t="s">
        <v>203</v>
      </c>
      <c r="I18" s="13">
        <v>1</v>
      </c>
      <c r="J18" s="7"/>
      <c r="K18" s="7"/>
      <c r="N18" t="e">
        <f t="shared" si="0"/>
        <v>#N/A</v>
      </c>
    </row>
    <row r="19" spans="1:14" hidden="1">
      <c r="A19" s="13" t="s">
        <v>569</v>
      </c>
      <c r="B19" s="13" t="s">
        <v>202</v>
      </c>
      <c r="C19" s="13" t="str" cm="1">
        <f t="array" ref="C19">_xlfn.XLOOKUP('27.04'!F70 &amp; G19,Export!P:P &amp; Export!H:H,Export!B:B)</f>
        <v>16429923</v>
      </c>
      <c r="D19" s="13" t="str" cm="1">
        <f t="array" ref="D19">_xlfn.XLOOKUP(F19 &amp; G19,Export!P:P &amp; Export!H:H,Export!C:C)</f>
        <v>100</v>
      </c>
      <c r="E19" s="13" t="s">
        <v>569</v>
      </c>
      <c r="F19" s="13" t="s">
        <v>343</v>
      </c>
      <c r="G19" s="14">
        <v>46073</v>
      </c>
      <c r="H19" s="13" t="s">
        <v>203</v>
      </c>
      <c r="I19" s="13">
        <v>10</v>
      </c>
      <c r="J19" s="7"/>
      <c r="K19" s="7"/>
      <c r="N19" t="str">
        <f t="shared" si="0"/>
        <v>16429923100</v>
      </c>
    </row>
    <row r="20" spans="1:14" hidden="1">
      <c r="A20" s="13" t="s">
        <v>126</v>
      </c>
      <c r="B20" s="13" t="s">
        <v>569</v>
      </c>
      <c r="C20" s="13" t="e" cm="1">
        <f t="array" ref="C20">_xlfn.XLOOKUP('27.04'!F55 &amp; G20,Export!P:P &amp; Export!H:H,Export!B:B)</f>
        <v>#N/A</v>
      </c>
      <c r="D20" s="13" t="str" cm="1">
        <f t="array" ref="D20">_xlfn.XLOOKUP(F20 &amp; G20,Export!P:P &amp; Export!H:H,Export!C:C)</f>
        <v>90</v>
      </c>
      <c r="E20" s="13" t="s">
        <v>283</v>
      </c>
      <c r="F20" s="13" t="s">
        <v>345</v>
      </c>
      <c r="G20" s="14">
        <v>46073</v>
      </c>
      <c r="H20" s="13" t="s">
        <v>227</v>
      </c>
      <c r="I20" s="13">
        <v>10</v>
      </c>
      <c r="J20" s="7"/>
      <c r="K20" s="7"/>
      <c r="N20" t="e">
        <f t="shared" si="0"/>
        <v>#N/A</v>
      </c>
    </row>
    <row r="21" spans="1:14" hidden="1">
      <c r="A21" s="13" t="s">
        <v>126</v>
      </c>
      <c r="B21" s="13" t="s">
        <v>569</v>
      </c>
      <c r="C21" s="13" t="e" cm="1">
        <f t="array" ref="C21">_xlfn.XLOOKUP('27.04'!F52 &amp; G21,Export!P:P &amp; Export!H:H,Export!B:B)</f>
        <v>#N/A</v>
      </c>
      <c r="D21" s="13" t="str" cm="1">
        <f t="array" ref="D21">_xlfn.XLOOKUP(F21 &amp; G21,Export!P:P &amp; Export!H:H,Export!C:C)</f>
        <v>110</v>
      </c>
      <c r="E21" s="13" t="s">
        <v>351</v>
      </c>
      <c r="F21" s="13" t="s">
        <v>348</v>
      </c>
      <c r="G21" s="14">
        <v>46073</v>
      </c>
      <c r="H21" s="13" t="s">
        <v>227</v>
      </c>
      <c r="I21" s="13">
        <v>10</v>
      </c>
      <c r="J21" s="7"/>
      <c r="K21" s="7"/>
      <c r="N21" t="e">
        <f t="shared" si="0"/>
        <v>#N/A</v>
      </c>
    </row>
    <row r="22" spans="1:14" hidden="1">
      <c r="A22" s="13" t="s">
        <v>569</v>
      </c>
      <c r="B22" s="13" t="s">
        <v>569</v>
      </c>
      <c r="C22" s="13" t="e" cm="1">
        <f t="array" ref="C22">_xlfn.XLOOKUP('27.04'!F99 &amp; G22,Export!P:P &amp; Export!H:H,Export!B:B)</f>
        <v>#N/A</v>
      </c>
      <c r="D22" s="13" t="str" cm="1">
        <f t="array" ref="D22">_xlfn.XLOOKUP(F22 &amp; G22,Export!P:P &amp; Export!H:H,Export!C:C)</f>
        <v>140</v>
      </c>
      <c r="E22" s="13" t="s">
        <v>569</v>
      </c>
      <c r="F22" s="13" t="s">
        <v>646</v>
      </c>
      <c r="G22" s="14">
        <v>46122</v>
      </c>
      <c r="H22" s="13" t="s">
        <v>585</v>
      </c>
      <c r="I22" s="13">
        <v>21</v>
      </c>
      <c r="J22" s="7"/>
      <c r="K22" s="7"/>
      <c r="N22" t="e">
        <f t="shared" si="0"/>
        <v>#N/A</v>
      </c>
    </row>
    <row r="23" spans="1:14" hidden="1">
      <c r="A23" s="13" t="s">
        <v>569</v>
      </c>
      <c r="B23" s="13" t="s">
        <v>569</v>
      </c>
      <c r="C23" s="13" t="e" cm="1">
        <f t="array" ref="C23">_xlfn.XLOOKUP('27.04'!F100 &amp; G23,Export!P:P &amp; Export!H:H,Export!B:B)</f>
        <v>#N/A</v>
      </c>
      <c r="D23" s="13" t="str" cm="1">
        <f t="array" ref="D23">_xlfn.XLOOKUP(F23 &amp; G23,Export!P:P &amp; Export!H:H,Export!C:C)</f>
        <v>150</v>
      </c>
      <c r="E23" s="13" t="s">
        <v>569</v>
      </c>
      <c r="F23" s="13" t="s">
        <v>644</v>
      </c>
      <c r="G23" s="14">
        <v>46122</v>
      </c>
      <c r="H23" s="13" t="s">
        <v>585</v>
      </c>
      <c r="I23" s="13">
        <v>21</v>
      </c>
      <c r="J23" s="7"/>
      <c r="K23" s="7"/>
      <c r="N23" t="e">
        <f t="shared" si="0"/>
        <v>#N/A</v>
      </c>
    </row>
    <row r="24" spans="1:14" hidden="1">
      <c r="A24" s="13" t="s">
        <v>569</v>
      </c>
      <c r="B24" s="13" t="s">
        <v>569</v>
      </c>
      <c r="C24" s="13" t="e" cm="1">
        <f t="array" ref="C24">_xlfn.XLOOKUP('27.04'!F101 &amp; G24,Export!P:P &amp; Export!H:H,Export!B:B)</f>
        <v>#N/A</v>
      </c>
      <c r="D24" s="13" t="str" cm="1">
        <f t="array" ref="D24">_xlfn.XLOOKUP(F24 &amp; G24,Export!P:P &amp; Export!H:H,Export!C:C)</f>
        <v>160</v>
      </c>
      <c r="E24" s="13" t="s">
        <v>569</v>
      </c>
      <c r="F24" s="13" t="s">
        <v>642</v>
      </c>
      <c r="G24" s="14">
        <v>46122</v>
      </c>
      <c r="H24" s="13" t="s">
        <v>585</v>
      </c>
      <c r="I24" s="13">
        <v>21</v>
      </c>
      <c r="J24" s="7"/>
      <c r="K24" s="7"/>
      <c r="N24" t="e">
        <f t="shared" si="0"/>
        <v>#N/A</v>
      </c>
    </row>
    <row r="25" spans="1:14" hidden="1">
      <c r="A25" s="13" t="s">
        <v>569</v>
      </c>
      <c r="B25" s="13" t="s">
        <v>569</v>
      </c>
      <c r="C25" s="13" t="e" cm="1">
        <f t="array" ref="C25">_xlfn.XLOOKUP('27.04'!F102 &amp; G25,Export!P:P &amp; Export!H:H,Export!B:B)</f>
        <v>#N/A</v>
      </c>
      <c r="D25" s="13" t="str" cm="1">
        <f t="array" ref="D25">_xlfn.XLOOKUP(F25 &amp; G25,Export!P:P &amp; Export!H:H,Export!C:C)</f>
        <v>20</v>
      </c>
      <c r="E25" s="13" t="s">
        <v>569</v>
      </c>
      <c r="F25" s="13" t="s">
        <v>640</v>
      </c>
      <c r="G25" s="14">
        <v>46122</v>
      </c>
      <c r="H25" s="13" t="s">
        <v>585</v>
      </c>
      <c r="I25" s="13">
        <v>27</v>
      </c>
      <c r="J25" s="7"/>
      <c r="K25" s="7"/>
      <c r="N25" t="e">
        <f t="shared" si="0"/>
        <v>#N/A</v>
      </c>
    </row>
    <row r="26" spans="1:14" hidden="1">
      <c r="A26" s="13" t="s">
        <v>569</v>
      </c>
      <c r="B26" s="13" t="s">
        <v>569</v>
      </c>
      <c r="C26" s="13" t="e" cm="1">
        <f t="array" ref="C26">_xlfn.XLOOKUP('27.04'!F103 &amp; G26,Export!P:P &amp; Export!H:H,Export!B:B)</f>
        <v>#N/A</v>
      </c>
      <c r="D26" s="13" t="str" cm="1">
        <f t="array" ref="D26">_xlfn.XLOOKUP(F26 &amp; G26,Export!P:P &amp; Export!H:H,Export!C:C)</f>
        <v>30</v>
      </c>
      <c r="E26" s="13" t="s">
        <v>569</v>
      </c>
      <c r="F26" s="13" t="s">
        <v>638</v>
      </c>
      <c r="G26" s="14">
        <v>46122</v>
      </c>
      <c r="H26" s="13" t="s">
        <v>585</v>
      </c>
      <c r="I26" s="13">
        <v>27</v>
      </c>
      <c r="J26" s="7"/>
      <c r="K26" s="7"/>
      <c r="N26" t="e">
        <f t="shared" si="0"/>
        <v>#N/A</v>
      </c>
    </row>
    <row r="27" spans="1:14" hidden="1">
      <c r="A27" s="13" t="s">
        <v>569</v>
      </c>
      <c r="B27" s="13" t="s">
        <v>569</v>
      </c>
      <c r="C27" s="13" t="e" cm="1">
        <f t="array" ref="C27">_xlfn.XLOOKUP('27.04'!F104 &amp; G27,Export!P:P &amp; Export!H:H,Export!B:B)</f>
        <v>#N/A</v>
      </c>
      <c r="D27" s="13" t="str" cm="1">
        <f t="array" ref="D27">_xlfn.XLOOKUP(F27 &amp; G27,Export!P:P &amp; Export!H:H,Export!C:C)</f>
        <v>40</v>
      </c>
      <c r="E27" s="13" t="s">
        <v>569</v>
      </c>
      <c r="F27" s="13" t="s">
        <v>636</v>
      </c>
      <c r="G27" s="14">
        <v>46122</v>
      </c>
      <c r="H27" s="13" t="s">
        <v>585</v>
      </c>
      <c r="I27" s="13">
        <v>21</v>
      </c>
      <c r="J27" s="7"/>
      <c r="K27" s="7"/>
      <c r="N27" t="e">
        <f t="shared" si="0"/>
        <v>#N/A</v>
      </c>
    </row>
    <row r="28" spans="1:14" hidden="1">
      <c r="A28" s="13" t="s">
        <v>569</v>
      </c>
      <c r="B28" s="13" t="s">
        <v>569</v>
      </c>
      <c r="C28" s="13" t="e" cm="1">
        <f t="array" ref="C28">_xlfn.XLOOKUP('27.04'!F105 &amp; G28,Export!P:P &amp; Export!H:H,Export!B:B)</f>
        <v>#N/A</v>
      </c>
      <c r="D28" s="13" t="str" cm="1">
        <f t="array" ref="D28">_xlfn.XLOOKUP(F28 &amp; G28,Export!P:P &amp; Export!H:H,Export!C:C)</f>
        <v>50</v>
      </c>
      <c r="E28" s="13" t="s">
        <v>569</v>
      </c>
      <c r="F28" s="13" t="s">
        <v>634</v>
      </c>
      <c r="G28" s="14">
        <v>46122</v>
      </c>
      <c r="H28" s="13" t="s">
        <v>585</v>
      </c>
      <c r="I28" s="13">
        <v>21</v>
      </c>
      <c r="J28" s="7"/>
      <c r="K28" s="7"/>
      <c r="N28" t="e">
        <f t="shared" si="0"/>
        <v>#N/A</v>
      </c>
    </row>
    <row r="29" spans="1:14" hidden="1">
      <c r="A29" s="13" t="s">
        <v>569</v>
      </c>
      <c r="B29" s="13" t="s">
        <v>569</v>
      </c>
      <c r="C29" s="13" t="e" cm="1">
        <f t="array" ref="C29">_xlfn.XLOOKUP('27.04'!F106 &amp; G29,Export!P:P &amp; Export!H:H,Export!B:B)</f>
        <v>#N/A</v>
      </c>
      <c r="D29" s="13" t="str" cm="1">
        <f t="array" ref="D29">_xlfn.XLOOKUP(F29 &amp; G29,Export!P:P &amp; Export!H:H,Export!C:C)</f>
        <v>60</v>
      </c>
      <c r="E29" s="13" t="s">
        <v>569</v>
      </c>
      <c r="F29" s="13" t="s">
        <v>632</v>
      </c>
      <c r="G29" s="14">
        <v>46122</v>
      </c>
      <c r="H29" s="13" t="s">
        <v>585</v>
      </c>
      <c r="I29" s="13">
        <v>27</v>
      </c>
      <c r="J29" s="7"/>
      <c r="K29" s="7"/>
      <c r="N29" t="e">
        <f t="shared" si="0"/>
        <v>#N/A</v>
      </c>
    </row>
    <row r="30" spans="1:14" hidden="1">
      <c r="A30" s="13" t="s">
        <v>569</v>
      </c>
      <c r="B30" s="13" t="s">
        <v>569</v>
      </c>
      <c r="C30" s="13" t="e" cm="1">
        <f t="array" ref="C30">_xlfn.XLOOKUP('27.04'!F107 &amp; G30,Export!P:P &amp; Export!H:H,Export!B:B)</f>
        <v>#N/A</v>
      </c>
      <c r="D30" s="13" t="str" cm="1">
        <f t="array" ref="D30">_xlfn.XLOOKUP(F30 &amp; G30,Export!P:P &amp; Export!H:H,Export!C:C)</f>
        <v>70</v>
      </c>
      <c r="E30" s="13" t="s">
        <v>569</v>
      </c>
      <c r="F30" s="13" t="s">
        <v>630</v>
      </c>
      <c r="G30" s="14">
        <v>46122</v>
      </c>
      <c r="H30" s="13" t="s">
        <v>585</v>
      </c>
      <c r="I30" s="13">
        <v>27</v>
      </c>
      <c r="J30" s="7"/>
      <c r="K30" s="7"/>
      <c r="N30" t="e">
        <f t="shared" si="0"/>
        <v>#N/A</v>
      </c>
    </row>
    <row r="31" spans="1:14" hidden="1">
      <c r="A31" s="13" t="s">
        <v>569</v>
      </c>
      <c r="B31" s="13" t="s">
        <v>569</v>
      </c>
      <c r="C31" s="13" t="e" cm="1">
        <f t="array" ref="C31">_xlfn.XLOOKUP('27.04'!F108 &amp; G31,Export!P:P &amp; Export!H:H,Export!B:B)</f>
        <v>#N/A</v>
      </c>
      <c r="D31" s="13" t="str" cm="1">
        <f t="array" ref="D31">_xlfn.XLOOKUP(F31 &amp; G31,Export!P:P &amp; Export!H:H,Export!C:C)</f>
        <v>80</v>
      </c>
      <c r="E31" s="13" t="s">
        <v>569</v>
      </c>
      <c r="F31" s="13" t="s">
        <v>628</v>
      </c>
      <c r="G31" s="14">
        <v>46122</v>
      </c>
      <c r="H31" s="13" t="s">
        <v>585</v>
      </c>
      <c r="I31" s="13">
        <v>27</v>
      </c>
      <c r="J31" s="7"/>
      <c r="K31" s="7"/>
      <c r="N31" t="e">
        <f t="shared" si="0"/>
        <v>#N/A</v>
      </c>
    </row>
    <row r="32" spans="1:14" hidden="1">
      <c r="A32" s="13" t="s">
        <v>569</v>
      </c>
      <c r="B32" s="13" t="s">
        <v>569</v>
      </c>
      <c r="C32" s="13" t="e" cm="1">
        <f t="array" ref="C32">_xlfn.XLOOKUP('27.04'!F109 &amp; G32,Export!P:P &amp; Export!H:H,Export!B:B)</f>
        <v>#N/A</v>
      </c>
      <c r="D32" s="13" t="str" cm="1">
        <f t="array" ref="D32">_xlfn.XLOOKUP(F32 &amp; G32,Export!P:P &amp; Export!H:H,Export!C:C)</f>
        <v>90</v>
      </c>
      <c r="E32" s="13" t="s">
        <v>569</v>
      </c>
      <c r="F32" s="13" t="s">
        <v>626</v>
      </c>
      <c r="G32" s="14">
        <v>46122</v>
      </c>
      <c r="H32" s="13" t="s">
        <v>585</v>
      </c>
      <c r="I32" s="13">
        <v>21</v>
      </c>
      <c r="J32" s="7"/>
      <c r="K32" s="7"/>
      <c r="N32" t="e">
        <f t="shared" si="0"/>
        <v>#N/A</v>
      </c>
    </row>
    <row r="33" spans="1:14" hidden="1">
      <c r="A33" s="13" t="s">
        <v>569</v>
      </c>
      <c r="B33" s="13" t="s">
        <v>569</v>
      </c>
      <c r="C33" s="13" t="e" cm="1">
        <f t="array" ref="C33">_xlfn.XLOOKUP('27.04'!F95 &amp; G33,Export!P:P &amp; Export!H:H,Export!B:B)</f>
        <v>#N/A</v>
      </c>
      <c r="D33" s="13" t="str" cm="1">
        <f t="array" ref="D33">_xlfn.XLOOKUP(F33 &amp; G33,Export!P:P &amp; Export!H:H,Export!C:C)</f>
        <v>100</v>
      </c>
      <c r="E33" s="13" t="s">
        <v>569</v>
      </c>
      <c r="F33" s="13" t="s">
        <v>624</v>
      </c>
      <c r="G33" s="14">
        <v>46122</v>
      </c>
      <c r="H33" s="13" t="s">
        <v>585</v>
      </c>
      <c r="I33" s="13">
        <v>21</v>
      </c>
      <c r="J33" s="7"/>
      <c r="K33" s="7"/>
      <c r="N33" t="e">
        <f t="shared" si="0"/>
        <v>#N/A</v>
      </c>
    </row>
    <row r="34" spans="1:14" hidden="1">
      <c r="A34" s="13" t="s">
        <v>569</v>
      </c>
      <c r="B34" s="13" t="s">
        <v>569</v>
      </c>
      <c r="C34" s="13" t="e" cm="1">
        <f t="array" ref="C34">_xlfn.XLOOKUP('27.04'!F96 &amp; G34,Export!P:P &amp; Export!H:H,Export!B:B)</f>
        <v>#N/A</v>
      </c>
      <c r="D34" s="13" t="str" cm="1">
        <f t="array" ref="D34">_xlfn.XLOOKUP(F34 &amp; G34,Export!P:P &amp; Export!H:H,Export!C:C)</f>
        <v>110</v>
      </c>
      <c r="E34" s="13" t="s">
        <v>569</v>
      </c>
      <c r="F34" s="13" t="s">
        <v>622</v>
      </c>
      <c r="G34" s="14">
        <v>46122</v>
      </c>
      <c r="H34" s="13" t="s">
        <v>585</v>
      </c>
      <c r="I34" s="13">
        <v>21</v>
      </c>
      <c r="J34" s="7"/>
      <c r="K34" s="7"/>
      <c r="N34" t="e">
        <f t="shared" ref="N34:N65" si="1">C34&amp;D34</f>
        <v>#N/A</v>
      </c>
    </row>
    <row r="35" spans="1:14" hidden="1">
      <c r="A35" s="13" t="s">
        <v>569</v>
      </c>
      <c r="B35" s="13" t="s">
        <v>569</v>
      </c>
      <c r="C35" s="13" t="e" cm="1">
        <f t="array" ref="C35">_xlfn.XLOOKUP('27.04'!F97 &amp; G35,Export!P:P &amp; Export!H:H,Export!B:B)</f>
        <v>#N/A</v>
      </c>
      <c r="D35" s="13" t="str" cm="1">
        <f t="array" ref="D35">_xlfn.XLOOKUP(F35 &amp; G35,Export!P:P &amp; Export!H:H,Export!C:C)</f>
        <v>120</v>
      </c>
      <c r="E35" s="13" t="s">
        <v>569</v>
      </c>
      <c r="F35" s="13" t="s">
        <v>620</v>
      </c>
      <c r="G35" s="14">
        <v>46122</v>
      </c>
      <c r="H35" s="13" t="s">
        <v>585</v>
      </c>
      <c r="I35" s="13">
        <v>21</v>
      </c>
      <c r="J35" s="7"/>
      <c r="K35" s="7"/>
      <c r="N35" t="e">
        <f t="shared" si="1"/>
        <v>#N/A</v>
      </c>
    </row>
    <row r="36" spans="1:14" hidden="1">
      <c r="A36" s="13" t="s">
        <v>569</v>
      </c>
      <c r="B36" s="13" t="s">
        <v>569</v>
      </c>
      <c r="C36" s="13" t="e" cm="1">
        <f t="array" ref="C36">_xlfn.XLOOKUP('27.04'!F98 &amp; G36,Export!P:P &amp; Export!H:H,Export!B:B)</f>
        <v>#N/A</v>
      </c>
      <c r="D36" s="13" t="str" cm="1">
        <f t="array" ref="D36">_xlfn.XLOOKUP(F36 &amp; G36,Export!P:P &amp; Export!H:H,Export!C:C)</f>
        <v>130</v>
      </c>
      <c r="E36" s="13" t="s">
        <v>569</v>
      </c>
      <c r="F36" s="13" t="s">
        <v>618</v>
      </c>
      <c r="G36" s="14">
        <v>46122</v>
      </c>
      <c r="H36" s="13" t="s">
        <v>585</v>
      </c>
      <c r="I36" s="13">
        <v>21</v>
      </c>
      <c r="J36" s="7"/>
      <c r="K36" s="7"/>
      <c r="N36" t="e">
        <f t="shared" si="1"/>
        <v>#N/A</v>
      </c>
    </row>
    <row r="37" spans="1:14" hidden="1">
      <c r="A37" s="13" t="s">
        <v>569</v>
      </c>
      <c r="B37" s="13" t="s">
        <v>569</v>
      </c>
      <c r="C37" s="13" t="e" cm="1">
        <f t="array" ref="C37">_xlfn.XLOOKUP('27.04'!F86 &amp; G37,Export!P:P &amp; Export!H:H,Export!B:B)</f>
        <v>#N/A</v>
      </c>
      <c r="D37" s="13" t="str" cm="1">
        <f t="array" ref="D37">_xlfn.XLOOKUP(F37 &amp; G37,Export!P:P &amp; Export!H:H,Export!C:C)</f>
        <v>40</v>
      </c>
      <c r="E37" s="13" t="s">
        <v>569</v>
      </c>
      <c r="F37" s="13" t="s">
        <v>615</v>
      </c>
      <c r="G37" s="14">
        <v>46122</v>
      </c>
      <c r="H37" s="13" t="s">
        <v>585</v>
      </c>
      <c r="I37" s="13">
        <v>10</v>
      </c>
      <c r="J37" s="7"/>
      <c r="K37" s="7"/>
      <c r="N37" t="e">
        <f t="shared" si="1"/>
        <v>#N/A</v>
      </c>
    </row>
    <row r="38" spans="1:14" hidden="1">
      <c r="A38" s="13" t="s">
        <v>569</v>
      </c>
      <c r="B38" s="13" t="s">
        <v>569</v>
      </c>
      <c r="C38" s="13" t="e" cm="1">
        <f t="array" ref="C38">_xlfn.XLOOKUP('27.04'!F120 &amp; G38,Export!P:P &amp; Export!H:H,Export!B:B)</f>
        <v>#N/A</v>
      </c>
      <c r="D38" s="13" t="str" cm="1">
        <f t="array" ref="D38">_xlfn.XLOOKUP(F38 &amp; G38,Export!P:P &amp; Export!H:H,Export!C:C)</f>
        <v>10</v>
      </c>
      <c r="E38" s="13" t="s">
        <v>569</v>
      </c>
      <c r="F38" s="13" t="s">
        <v>615</v>
      </c>
      <c r="G38" s="14">
        <v>46111</v>
      </c>
      <c r="H38" s="13" t="s">
        <v>550</v>
      </c>
      <c r="I38" s="13">
        <v>1</v>
      </c>
      <c r="J38" s="7"/>
      <c r="K38" s="7"/>
      <c r="N38" t="e">
        <f t="shared" si="1"/>
        <v>#N/A</v>
      </c>
    </row>
    <row r="39" spans="1:14" hidden="1">
      <c r="A39" s="13" t="s">
        <v>569</v>
      </c>
      <c r="B39" s="13" t="s">
        <v>569</v>
      </c>
      <c r="C39" s="13" t="e" cm="1">
        <f t="array" ref="C39">_xlfn.XLOOKUP('27.04'!F93 &amp; G39,Export!P:P &amp; Export!H:H,Export!B:B)</f>
        <v>#N/A</v>
      </c>
      <c r="D39" s="13" t="str" cm="1">
        <f t="array" ref="D39">_xlfn.XLOOKUP(F39 &amp; G39,Export!P:P &amp; Export!H:H,Export!C:C)</f>
        <v>30</v>
      </c>
      <c r="E39" s="13" t="s">
        <v>569</v>
      </c>
      <c r="F39" s="13" t="s">
        <v>353</v>
      </c>
      <c r="G39" s="14">
        <v>46122</v>
      </c>
      <c r="H39" s="13" t="s">
        <v>585</v>
      </c>
      <c r="I39" s="13">
        <v>5</v>
      </c>
      <c r="J39" s="7"/>
      <c r="K39" s="7"/>
      <c r="N39" t="e">
        <f t="shared" si="1"/>
        <v>#N/A</v>
      </c>
    </row>
    <row r="40" spans="1:14" hidden="1">
      <c r="A40" s="13" t="s">
        <v>569</v>
      </c>
      <c r="B40" s="13" t="s">
        <v>569</v>
      </c>
      <c r="C40" s="13" t="e" cm="1">
        <f t="array" ref="C40">_xlfn.XLOOKUP('27.04'!F111 &amp; G40,Export!P:P &amp; Export!H:H,Export!B:B)</f>
        <v>#N/A</v>
      </c>
      <c r="D40" s="13" t="str" cm="1">
        <f t="array" ref="D40">_xlfn.XLOOKUP(F40 &amp; G40,Export!P:P &amp; Export!H:H,Export!C:C)</f>
        <v>50</v>
      </c>
      <c r="E40" s="13" t="s">
        <v>569</v>
      </c>
      <c r="F40" s="13" t="s">
        <v>353</v>
      </c>
      <c r="G40" s="14">
        <v>45902</v>
      </c>
      <c r="H40" s="13" t="s">
        <v>176</v>
      </c>
      <c r="I40" s="13">
        <v>1</v>
      </c>
      <c r="J40" s="7"/>
      <c r="K40" s="7"/>
      <c r="N40" t="e">
        <f t="shared" si="1"/>
        <v>#N/A</v>
      </c>
    </row>
    <row r="41" spans="1:14" hidden="1">
      <c r="A41" s="13" t="s">
        <v>569</v>
      </c>
      <c r="B41" s="13" t="s">
        <v>569</v>
      </c>
      <c r="C41" s="13" t="e" cm="1">
        <f t="array" ref="C41">_xlfn.XLOOKUP('27.04'!F94 &amp; G41,Export!P:P &amp; Export!H:H,Export!B:B)</f>
        <v>#N/A</v>
      </c>
      <c r="D41" s="13" t="str" cm="1">
        <f t="array" ref="D41">_xlfn.XLOOKUP(F41 &amp; G41,Export!P:P &amp; Export!H:H,Export!C:C)</f>
        <v>40</v>
      </c>
      <c r="E41" s="13" t="s">
        <v>569</v>
      </c>
      <c r="F41" s="13" t="s">
        <v>355</v>
      </c>
      <c r="G41" s="14">
        <v>46122</v>
      </c>
      <c r="H41" s="13" t="s">
        <v>585</v>
      </c>
      <c r="I41" s="13">
        <v>5</v>
      </c>
      <c r="J41" s="7"/>
      <c r="K41" s="7"/>
      <c r="N41" t="e">
        <f t="shared" si="1"/>
        <v>#N/A</v>
      </c>
    </row>
    <row r="42" spans="1:14" hidden="1">
      <c r="A42" s="13" t="s">
        <v>569</v>
      </c>
      <c r="B42" s="13" t="s">
        <v>569</v>
      </c>
      <c r="C42" s="13" t="e" cm="1">
        <f t="array" ref="C42">_xlfn.XLOOKUP('27.04'!F112 &amp; G42,Export!P:P &amp; Export!H:H,Export!B:B)</f>
        <v>#N/A</v>
      </c>
      <c r="D42" s="13" t="str" cm="1">
        <f t="array" ref="D42">_xlfn.XLOOKUP(F42 &amp; G42,Export!P:P &amp; Export!H:H,Export!C:C)</f>
        <v>60</v>
      </c>
      <c r="E42" s="13" t="s">
        <v>569</v>
      </c>
      <c r="F42" s="13" t="s">
        <v>355</v>
      </c>
      <c r="G42" s="14">
        <v>45902</v>
      </c>
      <c r="H42" s="13" t="s">
        <v>176</v>
      </c>
      <c r="I42" s="13">
        <v>1</v>
      </c>
      <c r="J42" s="7"/>
      <c r="K42" s="7"/>
      <c r="N42" t="e">
        <f t="shared" si="1"/>
        <v>#N/A</v>
      </c>
    </row>
    <row r="43" spans="1:14" hidden="1">
      <c r="A43" s="13" t="s">
        <v>569</v>
      </c>
      <c r="B43" s="13" t="s">
        <v>569</v>
      </c>
      <c r="C43" s="13" t="e" cm="1">
        <f t="array" ref="C43">_xlfn.XLOOKUP('27.04'!F92 &amp; G43,Export!P:P &amp; Export!H:H,Export!B:B)</f>
        <v>#N/A</v>
      </c>
      <c r="D43" s="13" t="str" cm="1">
        <f t="array" ref="D43">_xlfn.XLOOKUP(F43 &amp; G43,Export!P:P &amp; Export!H:H,Export!C:C)</f>
        <v>20</v>
      </c>
      <c r="E43" s="13" t="s">
        <v>569</v>
      </c>
      <c r="F43" s="13" t="s">
        <v>612</v>
      </c>
      <c r="G43" s="14">
        <v>46122</v>
      </c>
      <c r="H43" s="13" t="s">
        <v>585</v>
      </c>
      <c r="I43" s="13">
        <v>5</v>
      </c>
      <c r="J43" s="7"/>
      <c r="K43" s="7"/>
      <c r="N43" t="e">
        <f t="shared" si="1"/>
        <v>#N/A</v>
      </c>
    </row>
    <row r="44" spans="1:14" hidden="1">
      <c r="A44" s="13" t="s">
        <v>136</v>
      </c>
      <c r="B44" s="13" t="s">
        <v>136</v>
      </c>
      <c r="C44" s="13" t="e" cm="1">
        <f t="array" ref="C44">_xlfn.XLOOKUP('27.04'!F28 &amp; G44,Export!P:P &amp; Export!H:H,Export!B:B)</f>
        <v>#N/A</v>
      </c>
      <c r="D44" s="13" t="str" cm="1">
        <f t="array" ref="D44">_xlfn.XLOOKUP(F44 &amp; G44,Export!P:P &amp; Export!H:H,Export!C:C)</f>
        <v>30</v>
      </c>
      <c r="E44" s="13" t="s">
        <v>360</v>
      </c>
      <c r="F44" s="13" t="s">
        <v>358</v>
      </c>
      <c r="G44" s="14">
        <v>46063</v>
      </c>
      <c r="H44" s="13" t="s">
        <v>100</v>
      </c>
      <c r="I44" s="13">
        <v>2</v>
      </c>
      <c r="J44" s="7" t="s">
        <v>694</v>
      </c>
      <c r="K44" s="7" t="s">
        <v>694</v>
      </c>
      <c r="N44" t="e">
        <f t="shared" si="1"/>
        <v>#N/A</v>
      </c>
    </row>
    <row r="45" spans="1:14" hidden="1">
      <c r="A45" s="13" t="s">
        <v>569</v>
      </c>
      <c r="B45" s="13" t="s">
        <v>569</v>
      </c>
      <c r="C45" s="13" t="e" cm="1">
        <f t="array" ref="C45">_xlfn.XLOOKUP('27.04'!F85 &amp; G45,Export!P:P &amp; Export!H:H,Export!B:B)</f>
        <v>#N/A</v>
      </c>
      <c r="D45" s="13" t="str" cm="1">
        <f t="array" ref="D45">_xlfn.XLOOKUP(F45 &amp; G45,Export!P:P &amp; Export!H:H,Export!C:C)</f>
        <v>10</v>
      </c>
      <c r="E45" s="13" t="s">
        <v>569</v>
      </c>
      <c r="F45" s="13" t="s">
        <v>609</v>
      </c>
      <c r="G45" s="14">
        <v>46111</v>
      </c>
      <c r="H45" s="13" t="s">
        <v>180</v>
      </c>
      <c r="I45" s="13">
        <v>1</v>
      </c>
      <c r="J45" s="7"/>
      <c r="K45" s="7"/>
      <c r="N45" t="e">
        <f t="shared" si="1"/>
        <v>#N/A</v>
      </c>
    </row>
    <row r="46" spans="1:14" hidden="1">
      <c r="A46" s="13" t="s">
        <v>126</v>
      </c>
      <c r="B46" s="13" t="s">
        <v>569</v>
      </c>
      <c r="C46" s="13" t="e" cm="1">
        <f t="array" ref="C46">_xlfn.XLOOKUP('27.04'!F60 &amp; G46,Export!P:P &amp; Export!H:H,Export!B:B)</f>
        <v>#N/A</v>
      </c>
      <c r="D46" s="13" t="str" cm="1">
        <f t="array" ref="D46">_xlfn.XLOOKUP(F46 &amp; G46,Export!P:P &amp; Export!H:H,Export!C:C)</f>
        <v>100</v>
      </c>
      <c r="E46" s="13" t="s">
        <v>367</v>
      </c>
      <c r="F46" s="13" t="s">
        <v>362</v>
      </c>
      <c r="G46" s="14">
        <v>46045</v>
      </c>
      <c r="H46" s="13" t="s">
        <v>100</v>
      </c>
      <c r="I46" s="13">
        <v>15</v>
      </c>
      <c r="J46" s="7" t="s">
        <v>694</v>
      </c>
      <c r="K46" s="7" t="s">
        <v>694</v>
      </c>
      <c r="N46" t="e">
        <f t="shared" si="1"/>
        <v>#N/A</v>
      </c>
    </row>
    <row r="47" spans="1:14" hidden="1">
      <c r="A47" s="13" t="s">
        <v>372</v>
      </c>
      <c r="B47" s="13" t="s">
        <v>372</v>
      </c>
      <c r="C47" s="13" t="e" cm="1">
        <f t="array" ref="C47">_xlfn.XLOOKUP('27.04'!F45 &amp; G47,Export!P:P &amp; Export!H:H,Export!B:B)</f>
        <v>#N/A</v>
      </c>
      <c r="D47" s="13" t="str" cm="1">
        <f t="array" ref="D47">_xlfn.XLOOKUP(F47 &amp; G47,Export!P:P &amp; Export!H:H,Export!C:C)</f>
        <v>40</v>
      </c>
      <c r="E47" s="13" t="s">
        <v>375</v>
      </c>
      <c r="F47" s="13" t="s">
        <v>369</v>
      </c>
      <c r="G47" s="14">
        <v>46073</v>
      </c>
      <c r="H47" s="13" t="s">
        <v>227</v>
      </c>
      <c r="I47" s="13">
        <v>2</v>
      </c>
      <c r="J47" s="7"/>
      <c r="K47" s="7"/>
      <c r="N47" t="e">
        <f t="shared" si="1"/>
        <v>#N/A</v>
      </c>
    </row>
    <row r="48" spans="1:14" hidden="1">
      <c r="A48" s="13" t="s">
        <v>90</v>
      </c>
      <c r="B48" s="13" t="s">
        <v>90</v>
      </c>
      <c r="C48" s="13" t="e" cm="1">
        <f t="array" ref="C48">_xlfn.XLOOKUP('27.04'!F63 &amp; G48,Export!P:P &amp; Export!H:H,Export!B:B)</f>
        <v>#N/A</v>
      </c>
      <c r="D48" s="13" t="str" cm="1">
        <f t="array" ref="D48">_xlfn.XLOOKUP(F48 &amp; G48,Export!P:P &amp; Export!H:H,Export!C:C)</f>
        <v>60</v>
      </c>
      <c r="E48" s="13" t="s">
        <v>605</v>
      </c>
      <c r="F48" s="13" t="s">
        <v>377</v>
      </c>
      <c r="G48" s="14">
        <v>46090</v>
      </c>
      <c r="H48" s="13" t="s">
        <v>227</v>
      </c>
      <c r="I48" s="13">
        <v>2</v>
      </c>
      <c r="J48" s="7"/>
      <c r="K48" s="7"/>
      <c r="N48" t="e">
        <f t="shared" si="1"/>
        <v>#N/A</v>
      </c>
    </row>
    <row r="49" spans="1:14" hidden="1">
      <c r="A49" s="13" t="s">
        <v>90</v>
      </c>
      <c r="B49" s="13" t="s">
        <v>90</v>
      </c>
      <c r="C49" s="13" t="e" cm="1">
        <f t="array" ref="C49">_xlfn.XLOOKUP('27.04'!F64 &amp; G49,Export!P:P &amp; Export!H:H,Export!B:B)</f>
        <v>#N/A</v>
      </c>
      <c r="D49" s="13" t="str" cm="1">
        <f t="array" ref="D49">_xlfn.XLOOKUP(F49 &amp; G49,Export!P:P &amp; Export!H:H,Export!C:C)</f>
        <v>70</v>
      </c>
      <c r="E49" s="13" t="s">
        <v>606</v>
      </c>
      <c r="F49" s="13" t="s">
        <v>379</v>
      </c>
      <c r="G49" s="14">
        <v>46090</v>
      </c>
      <c r="H49" s="13" t="s">
        <v>227</v>
      </c>
      <c r="I49" s="13">
        <v>5</v>
      </c>
      <c r="J49" s="7"/>
      <c r="K49" s="7"/>
      <c r="L49" s="7"/>
      <c r="N49" t="e">
        <f t="shared" si="1"/>
        <v>#N/A</v>
      </c>
    </row>
    <row r="50" spans="1:14" hidden="1">
      <c r="A50" s="13" t="s">
        <v>90</v>
      </c>
      <c r="B50" s="13" t="s">
        <v>90</v>
      </c>
      <c r="C50" s="13" t="e" cm="1">
        <f t="array" ref="C50">_xlfn.XLOOKUP('27.04'!F65 &amp; G50,Export!P:P &amp; Export!H:H,Export!B:B)</f>
        <v>#N/A</v>
      </c>
      <c r="D50" s="13" t="str" cm="1">
        <f t="array" ref="D50">_xlfn.XLOOKUP(F50 &amp; G50,Export!P:P &amp; Export!H:H,Export!C:C)</f>
        <v>80</v>
      </c>
      <c r="E50" s="13" t="s">
        <v>605</v>
      </c>
      <c r="F50" s="13" t="s">
        <v>381</v>
      </c>
      <c r="G50" s="14">
        <v>46090</v>
      </c>
      <c r="H50" s="13" t="s">
        <v>227</v>
      </c>
      <c r="I50" s="13">
        <v>5</v>
      </c>
      <c r="J50" s="7"/>
      <c r="K50" s="7"/>
      <c r="L50" s="7"/>
      <c r="N50" t="e">
        <f t="shared" si="1"/>
        <v>#N/A</v>
      </c>
    </row>
    <row r="51" spans="1:14" hidden="1">
      <c r="A51" s="13" t="s">
        <v>126</v>
      </c>
      <c r="B51" s="13" t="s">
        <v>569</v>
      </c>
      <c r="C51" s="13" t="e" cm="1">
        <f t="array" ref="C51">_xlfn.XLOOKUP('27.04'!F56 &amp; G51,Export!P:P &amp; Export!H:H,Export!B:B)</f>
        <v>#N/A</v>
      </c>
      <c r="D51" s="13" t="str" cm="1">
        <f t="array" ref="D51">_xlfn.XLOOKUP(F51 &amp; G51,Export!P:P &amp; Export!H:H,Export!C:C)</f>
        <v>20</v>
      </c>
      <c r="E51" s="13" t="s">
        <v>601</v>
      </c>
      <c r="F51" s="13" t="s">
        <v>383</v>
      </c>
      <c r="G51" s="14">
        <v>46090</v>
      </c>
      <c r="H51" s="13" t="s">
        <v>227</v>
      </c>
      <c r="I51" s="13">
        <v>15</v>
      </c>
      <c r="J51" s="7"/>
      <c r="K51" s="7"/>
      <c r="N51" t="e">
        <f t="shared" si="1"/>
        <v>#N/A</v>
      </c>
    </row>
    <row r="52" spans="1:14" hidden="1">
      <c r="A52" s="13" t="s">
        <v>293</v>
      </c>
      <c r="B52" s="13" t="s">
        <v>293</v>
      </c>
      <c r="C52" s="13" t="e" cm="1">
        <f t="array" ref="C52">_xlfn.XLOOKUP('27.04'!F27 &amp; G52,Export!P:P &amp; Export!H:H,Export!B:B)</f>
        <v>#N/A</v>
      </c>
      <c r="D52" s="13" t="str" cm="1">
        <f t="array" ref="D52">_xlfn.XLOOKUP(F52 &amp; G52,Export!P:P &amp; Export!H:H,Export!C:C)</f>
        <v>50</v>
      </c>
      <c r="E52" s="13" t="s">
        <v>388</v>
      </c>
      <c r="F52" s="13" t="s">
        <v>386</v>
      </c>
      <c r="G52" s="14">
        <v>45922</v>
      </c>
      <c r="H52" s="13" t="s">
        <v>100</v>
      </c>
      <c r="I52" s="13">
        <v>4</v>
      </c>
      <c r="J52" s="7" t="s">
        <v>694</v>
      </c>
      <c r="K52" s="7" t="s">
        <v>694</v>
      </c>
      <c r="N52" t="e">
        <f t="shared" si="1"/>
        <v>#N/A</v>
      </c>
    </row>
    <row r="53" spans="1:14" hidden="1">
      <c r="A53" s="13" t="s">
        <v>293</v>
      </c>
      <c r="B53" s="13" t="s">
        <v>293</v>
      </c>
      <c r="C53" s="13" t="e" cm="1">
        <f t="array" ref="C53">_xlfn.XLOOKUP('27.04'!F26 &amp; G53,Export!P:P &amp; Export!H:H,Export!B:B)</f>
        <v>#N/A</v>
      </c>
      <c r="D53" s="13" t="str" cm="1">
        <f t="array" ref="D53">_xlfn.XLOOKUP(F53 &amp; G53,Export!P:P &amp; Export!H:H,Export!C:C)</f>
        <v>40</v>
      </c>
      <c r="E53" s="13" t="s">
        <v>388</v>
      </c>
      <c r="F53" s="13" t="s">
        <v>390</v>
      </c>
      <c r="G53" s="14">
        <v>45922</v>
      </c>
      <c r="H53" s="13" t="s">
        <v>100</v>
      </c>
      <c r="I53" s="13">
        <v>4</v>
      </c>
      <c r="J53" s="7" t="s">
        <v>694</v>
      </c>
      <c r="K53" s="7" t="s">
        <v>694</v>
      </c>
      <c r="N53" t="e">
        <f t="shared" si="1"/>
        <v>#N/A</v>
      </c>
    </row>
    <row r="54" spans="1:14" hidden="1">
      <c r="A54" s="13" t="s">
        <v>293</v>
      </c>
      <c r="B54" s="13" t="s">
        <v>293</v>
      </c>
      <c r="C54" s="13" t="e" cm="1">
        <f t="array" ref="C54">_xlfn.XLOOKUP('27.04'!F25 &amp; G54,Export!P:P &amp; Export!H:H,Export!B:B)</f>
        <v>#N/A</v>
      </c>
      <c r="D54" s="13" t="str" cm="1">
        <f t="array" ref="D54">_xlfn.XLOOKUP(F54 &amp; G54,Export!P:P &amp; Export!H:H,Export!C:C)</f>
        <v>30</v>
      </c>
      <c r="E54" s="13" t="s">
        <v>388</v>
      </c>
      <c r="F54" s="13" t="s">
        <v>392</v>
      </c>
      <c r="G54" s="14">
        <v>45922</v>
      </c>
      <c r="H54" s="13" t="s">
        <v>100</v>
      </c>
      <c r="I54" s="13">
        <v>2</v>
      </c>
      <c r="J54" s="7" t="s">
        <v>694</v>
      </c>
      <c r="K54" s="7" t="s">
        <v>694</v>
      </c>
      <c r="N54" t="e">
        <f t="shared" si="1"/>
        <v>#N/A</v>
      </c>
    </row>
    <row r="55" spans="1:14" hidden="1">
      <c r="A55" s="13" t="s">
        <v>126</v>
      </c>
      <c r="B55" s="13" t="s">
        <v>569</v>
      </c>
      <c r="C55" s="13" t="e" cm="1">
        <f t="array" ref="C55">_xlfn.XLOOKUP('27.04'!F47 &amp; G55,Export!P:P &amp; Export!H:H,Export!B:B)</f>
        <v>#N/A</v>
      </c>
      <c r="D55" s="13" t="str" cm="1">
        <f t="array" ref="D55">_xlfn.XLOOKUP(F55 &amp; G55,Export!P:P &amp; Export!H:H,Export!C:C)</f>
        <v>210</v>
      </c>
      <c r="E55" s="13" t="s">
        <v>402</v>
      </c>
      <c r="F55" s="13" t="s">
        <v>395</v>
      </c>
      <c r="G55" s="14">
        <v>46056</v>
      </c>
      <c r="H55" s="13" t="s">
        <v>227</v>
      </c>
      <c r="I55" s="13">
        <v>20</v>
      </c>
      <c r="J55" s="7"/>
      <c r="K55" s="7"/>
      <c r="L55" s="7"/>
      <c r="N55" t="e">
        <f t="shared" si="1"/>
        <v>#N/A</v>
      </c>
    </row>
    <row r="56" spans="1:14" hidden="1">
      <c r="A56" s="13" t="s">
        <v>159</v>
      </c>
      <c r="B56" s="13" t="s">
        <v>159</v>
      </c>
      <c r="C56" s="13" t="e" cm="1">
        <f t="array" ref="C56">_xlfn.XLOOKUP('27.04'!F7 &amp; G56,Export!P:P &amp; Export!H:H,Export!B:B)</f>
        <v>#N/A</v>
      </c>
      <c r="D56" s="13" t="str" cm="1">
        <f t="array" ref="D56">_xlfn.XLOOKUP(F56 &amp; G56,Export!P:P &amp; Export!H:H,Export!C:C)</f>
        <v>200</v>
      </c>
      <c r="E56" s="13" t="s">
        <v>599</v>
      </c>
      <c r="F56" s="13" t="s">
        <v>405</v>
      </c>
      <c r="G56" s="14">
        <v>46056</v>
      </c>
      <c r="H56" s="13" t="s">
        <v>227</v>
      </c>
      <c r="I56" s="13">
        <v>20</v>
      </c>
      <c r="J56" s="7"/>
      <c r="K56" s="7"/>
      <c r="N56" t="e">
        <f t="shared" si="1"/>
        <v>#N/A</v>
      </c>
    </row>
    <row r="57" spans="1:14" hidden="1">
      <c r="A57" s="13" t="s">
        <v>126</v>
      </c>
      <c r="B57" s="13" t="s">
        <v>569</v>
      </c>
      <c r="C57" s="13" t="e" cm="1">
        <f t="array" ref="C57">_xlfn.XLOOKUP('27.04'!F48 &amp; G57,Export!P:P &amp; Export!H:H,Export!B:B)</f>
        <v>#N/A</v>
      </c>
      <c r="D57" s="13" t="str" cm="1">
        <f t="array" ref="D57">_xlfn.XLOOKUP(F57 &amp; G57,Export!P:P &amp; Export!H:H,Export!C:C)</f>
        <v>220</v>
      </c>
      <c r="E57" s="13" t="s">
        <v>402</v>
      </c>
      <c r="F57" s="13" t="s">
        <v>409</v>
      </c>
      <c r="G57" s="14">
        <v>46056</v>
      </c>
      <c r="H57" s="13" t="s">
        <v>227</v>
      </c>
      <c r="I57" s="13">
        <v>20</v>
      </c>
      <c r="J57" s="7"/>
      <c r="K57" s="7"/>
      <c r="N57" t="e">
        <f t="shared" si="1"/>
        <v>#N/A</v>
      </c>
    </row>
    <row r="58" spans="1:14" hidden="1">
      <c r="A58" s="13" t="s">
        <v>159</v>
      </c>
      <c r="B58" s="13" t="s">
        <v>159</v>
      </c>
      <c r="C58" s="13" t="e" cm="1">
        <f t="array" ref="C58">_xlfn.XLOOKUP('27.04'!F2 &amp; G58,Export!P:P &amp; Export!H:H,Export!B:B)</f>
        <v>#N/A</v>
      </c>
      <c r="D58" s="13" t="str" cm="1">
        <f t="array" ref="D58">_xlfn.XLOOKUP(F58 &amp; G58,Export!P:P &amp; Export!H:H,Export!C:C)</f>
        <v>150</v>
      </c>
      <c r="E58" s="13" t="s">
        <v>599</v>
      </c>
      <c r="F58" s="13" t="s">
        <v>412</v>
      </c>
      <c r="G58" s="14">
        <v>46056</v>
      </c>
      <c r="H58" s="13" t="s">
        <v>227</v>
      </c>
      <c r="I58" s="13">
        <v>15</v>
      </c>
      <c r="J58" s="7"/>
      <c r="K58" s="7"/>
      <c r="L58" s="11" t="s">
        <v>98</v>
      </c>
      <c r="M58" s="11" t="s">
        <v>696</v>
      </c>
      <c r="N58" t="e">
        <f t="shared" si="1"/>
        <v>#N/A</v>
      </c>
    </row>
    <row r="59" spans="1:14" hidden="1">
      <c r="A59" s="13" t="s">
        <v>159</v>
      </c>
      <c r="B59" s="13" t="s">
        <v>159</v>
      </c>
      <c r="C59" s="13" t="e" cm="1">
        <f t="array" ref="C59">_xlfn.XLOOKUP('27.04'!F3 &amp; G59,Export!P:P &amp; Export!H:H,Export!B:B)</f>
        <v>#N/A</v>
      </c>
      <c r="D59" s="13" t="str" cm="1">
        <f t="array" ref="D59">_xlfn.XLOOKUP(F59 &amp; G59,Export!P:P &amp; Export!H:H,Export!C:C)</f>
        <v>160</v>
      </c>
      <c r="E59" s="13" t="s">
        <v>599</v>
      </c>
      <c r="F59" s="13" t="s">
        <v>414</v>
      </c>
      <c r="G59" s="14">
        <v>46056</v>
      </c>
      <c r="H59" s="13" t="s">
        <v>227</v>
      </c>
      <c r="I59" s="13">
        <v>15</v>
      </c>
      <c r="J59" s="7"/>
      <c r="K59" s="7"/>
      <c r="L59" s="11" t="s">
        <v>98</v>
      </c>
      <c r="M59" s="11" t="s">
        <v>696</v>
      </c>
      <c r="N59" t="e">
        <f t="shared" si="1"/>
        <v>#N/A</v>
      </c>
    </row>
    <row r="60" spans="1:14" hidden="1">
      <c r="A60" s="13" t="s">
        <v>159</v>
      </c>
      <c r="B60" s="13" t="s">
        <v>159</v>
      </c>
      <c r="C60" s="13" t="e" cm="1">
        <f t="array" ref="C60">_xlfn.XLOOKUP('27.04'!F4 &amp; G60,Export!P:P &amp; Export!H:H,Export!B:B)</f>
        <v>#N/A</v>
      </c>
      <c r="D60" s="13" t="str" cm="1">
        <f t="array" ref="D60">_xlfn.XLOOKUP(F60 &amp; G60,Export!P:P &amp; Export!H:H,Export!C:C)</f>
        <v>170</v>
      </c>
      <c r="E60" s="13" t="s">
        <v>599</v>
      </c>
      <c r="F60" s="13" t="s">
        <v>416</v>
      </c>
      <c r="G60" s="14">
        <v>46056</v>
      </c>
      <c r="H60" s="13" t="s">
        <v>227</v>
      </c>
      <c r="I60" s="13">
        <v>10</v>
      </c>
      <c r="J60" s="7"/>
      <c r="K60" s="7"/>
      <c r="L60" s="11" t="s">
        <v>98</v>
      </c>
      <c r="M60" s="11" t="s">
        <v>696</v>
      </c>
      <c r="N60" t="e">
        <f t="shared" si="1"/>
        <v>#N/A</v>
      </c>
    </row>
    <row r="61" spans="1:14" hidden="1">
      <c r="A61" s="13" t="s">
        <v>159</v>
      </c>
      <c r="B61" s="13" t="s">
        <v>159</v>
      </c>
      <c r="C61" s="13" t="e" cm="1">
        <f t="array" ref="C61">_xlfn.XLOOKUP('27.04'!F5 &amp; G61,Export!P:P &amp; Export!H:H,Export!B:B)</f>
        <v>#N/A</v>
      </c>
      <c r="D61" s="13" t="str" cm="1">
        <f t="array" ref="D61">_xlfn.XLOOKUP(F61 &amp; G61,Export!P:P &amp; Export!H:H,Export!C:C)</f>
        <v>180</v>
      </c>
      <c r="E61" s="13" t="s">
        <v>599</v>
      </c>
      <c r="F61" s="13" t="s">
        <v>419</v>
      </c>
      <c r="G61" s="14">
        <v>46056</v>
      </c>
      <c r="H61" s="13" t="s">
        <v>227</v>
      </c>
      <c r="I61" s="13">
        <v>15</v>
      </c>
      <c r="J61" s="7"/>
      <c r="K61" s="7"/>
      <c r="L61" s="11" t="s">
        <v>98</v>
      </c>
      <c r="M61" s="11" t="s">
        <v>696</v>
      </c>
      <c r="N61" t="e">
        <f t="shared" si="1"/>
        <v>#N/A</v>
      </c>
    </row>
    <row r="62" spans="1:14" hidden="1">
      <c r="A62" s="13" t="s">
        <v>159</v>
      </c>
      <c r="B62" s="13" t="s">
        <v>159</v>
      </c>
      <c r="C62" s="13" t="e" cm="1">
        <f t="array" ref="C62">_xlfn.XLOOKUP('27.04'!F6 &amp; G62,Export!P:P &amp; Export!H:H,Export!B:B)</f>
        <v>#N/A</v>
      </c>
      <c r="D62" s="13" t="str" cm="1">
        <f t="array" ref="D62">_xlfn.XLOOKUP(F62 &amp; G62,Export!P:P &amp; Export!H:H,Export!C:C)</f>
        <v>190</v>
      </c>
      <c r="E62" s="13" t="s">
        <v>599</v>
      </c>
      <c r="F62" s="13" t="s">
        <v>422</v>
      </c>
      <c r="G62" s="14">
        <v>46056</v>
      </c>
      <c r="H62" s="13" t="s">
        <v>227</v>
      </c>
      <c r="I62" s="13">
        <v>10</v>
      </c>
      <c r="J62" s="11" t="s">
        <v>82</v>
      </c>
      <c r="K62" s="11" t="s">
        <v>82</v>
      </c>
      <c r="L62" s="11" t="s">
        <v>98</v>
      </c>
      <c r="M62" s="11" t="s">
        <v>695</v>
      </c>
      <c r="N62" t="e">
        <f t="shared" si="1"/>
        <v>#N/A</v>
      </c>
    </row>
    <row r="63" spans="1:14" hidden="1">
      <c r="A63" s="13" t="s">
        <v>105</v>
      </c>
      <c r="B63" s="13" t="s">
        <v>105</v>
      </c>
      <c r="C63" s="13" t="e" cm="1">
        <f t="array" ref="C63">_xlfn.XLOOKUP('27.04'!F67 &amp; G63,Export!P:P &amp; Export!H:H,Export!B:B)</f>
        <v>#N/A</v>
      </c>
      <c r="D63" s="13" t="str" cm="1">
        <f t="array" ref="D63">_xlfn.XLOOKUP(F63 &amp; G63,Export!P:P &amp; Export!H:H,Export!C:C)</f>
        <v>10</v>
      </c>
      <c r="E63" s="13" t="s">
        <v>428</v>
      </c>
      <c r="F63" s="13" t="s">
        <v>424</v>
      </c>
      <c r="G63" s="14">
        <v>46063</v>
      </c>
      <c r="H63" s="13" t="s">
        <v>100</v>
      </c>
      <c r="I63" s="13">
        <v>3</v>
      </c>
      <c r="J63" s="7" t="s">
        <v>694</v>
      </c>
      <c r="K63" s="7" t="s">
        <v>694</v>
      </c>
      <c r="L63" s="7"/>
      <c r="N63" t="e">
        <f t="shared" si="1"/>
        <v>#N/A</v>
      </c>
    </row>
    <row r="64" spans="1:14" hidden="1">
      <c r="A64" s="13" t="s">
        <v>90</v>
      </c>
      <c r="B64" s="13" t="s">
        <v>90</v>
      </c>
      <c r="C64" s="13" t="e" cm="1">
        <f t="array" ref="C64">_xlfn.XLOOKUP('27.04'!F66 &amp; G64,Export!P:P &amp; Export!H:H,Export!B:B)</f>
        <v>#N/A</v>
      </c>
      <c r="D64" s="13" t="str" cm="1">
        <f t="array" ref="D64">_xlfn.XLOOKUP(F64 &amp; G64,Export!P:P &amp; Export!H:H,Export!C:C)</f>
        <v>10</v>
      </c>
      <c r="E64" s="13" t="s">
        <v>97</v>
      </c>
      <c r="F64" s="13" t="s">
        <v>430</v>
      </c>
      <c r="G64" s="14">
        <v>46024</v>
      </c>
      <c r="H64" s="13" t="s">
        <v>100</v>
      </c>
      <c r="I64" s="13">
        <v>10</v>
      </c>
      <c r="J64" s="7" t="s">
        <v>694</v>
      </c>
      <c r="K64" s="7" t="s">
        <v>694</v>
      </c>
      <c r="N64" t="e">
        <f t="shared" si="1"/>
        <v>#N/A</v>
      </c>
    </row>
    <row r="65" spans="1:14" hidden="1">
      <c r="A65" s="13" t="s">
        <v>105</v>
      </c>
      <c r="B65" s="13" t="s">
        <v>105</v>
      </c>
      <c r="C65" s="13" t="e" cm="1">
        <f t="array" ref="C65">_xlfn.XLOOKUP('27.04'!F68 &amp; G65,Export!P:P &amp; Export!H:H,Export!B:B)</f>
        <v>#N/A</v>
      </c>
      <c r="D65" s="13" t="str" cm="1">
        <f t="array" ref="D65">_xlfn.XLOOKUP(F65 &amp; G65,Export!P:P &amp; Export!H:H,Export!C:C)</f>
        <v>10</v>
      </c>
      <c r="E65" s="13" t="s">
        <v>431</v>
      </c>
      <c r="F65" s="13" t="s">
        <v>430</v>
      </c>
      <c r="G65" s="14">
        <v>46073</v>
      </c>
      <c r="H65" s="13" t="s">
        <v>100</v>
      </c>
      <c r="I65" s="13">
        <v>10</v>
      </c>
      <c r="J65" s="7"/>
      <c r="K65" s="7"/>
      <c r="N65" t="e">
        <f t="shared" si="1"/>
        <v>#N/A</v>
      </c>
    </row>
    <row r="66" spans="1:14" hidden="1">
      <c r="A66" s="13" t="s">
        <v>569</v>
      </c>
      <c r="B66" s="13" t="s">
        <v>569</v>
      </c>
      <c r="C66" s="13" t="e" cm="1">
        <f t="array" ref="C66">_xlfn.XLOOKUP('27.04'!F91 &amp; G66,Export!P:P &amp; Export!H:H,Export!B:B)</f>
        <v>#N/A</v>
      </c>
      <c r="D66" s="13" t="str" cm="1">
        <f t="array" ref="D66">_xlfn.XLOOKUP(F66 &amp; G66,Export!P:P &amp; Export!H:H,Export!C:C)</f>
        <v>20</v>
      </c>
      <c r="E66" s="13" t="s">
        <v>569</v>
      </c>
      <c r="F66" s="13" t="s">
        <v>596</v>
      </c>
      <c r="G66" s="14">
        <v>46125</v>
      </c>
      <c r="H66" s="13" t="s">
        <v>585</v>
      </c>
      <c r="I66" s="13">
        <v>1</v>
      </c>
      <c r="J66" s="7"/>
      <c r="K66" s="7"/>
      <c r="N66" t="e">
        <f t="shared" ref="N66:N97" si="2">C66&amp;D66</f>
        <v>#N/A</v>
      </c>
    </row>
    <row r="67" spans="1:14" hidden="1">
      <c r="A67" s="13" t="s">
        <v>569</v>
      </c>
      <c r="B67" s="13" t="s">
        <v>569</v>
      </c>
      <c r="C67" s="13" t="e" cm="1">
        <f t="array" ref="C67">_xlfn.XLOOKUP('27.04'!F90 &amp; G67,Export!P:P &amp; Export!H:H,Export!B:B)</f>
        <v>#N/A</v>
      </c>
      <c r="D67" s="13" t="str" cm="1">
        <f t="array" ref="D67">_xlfn.XLOOKUP(F67 &amp; G67,Export!P:P &amp; Export!H:H,Export!C:C)</f>
        <v>10</v>
      </c>
      <c r="E67" s="13" t="s">
        <v>569</v>
      </c>
      <c r="F67" s="13" t="s">
        <v>594</v>
      </c>
      <c r="G67" s="14">
        <v>46125</v>
      </c>
      <c r="H67" s="13" t="s">
        <v>585</v>
      </c>
      <c r="I67" s="13">
        <v>1</v>
      </c>
      <c r="J67" s="7"/>
      <c r="K67" s="7"/>
      <c r="N67" t="e">
        <f t="shared" si="2"/>
        <v>#N/A</v>
      </c>
    </row>
    <row r="68" spans="1:14" hidden="1">
      <c r="A68" s="13" t="s">
        <v>569</v>
      </c>
      <c r="B68" s="13" t="s">
        <v>569</v>
      </c>
      <c r="C68" s="13" t="e" cm="1">
        <f t="array" ref="C68">_xlfn.XLOOKUP('27.04'!F82 &amp; G68,Export!P:P &amp; Export!H:H,Export!B:B)</f>
        <v>#N/A</v>
      </c>
      <c r="D68" s="13" t="str" cm="1">
        <f t="array" ref="D68">_xlfn.XLOOKUP(F68 &amp; G68,Export!P:P &amp; Export!H:H,Export!C:C)</f>
        <v>30</v>
      </c>
      <c r="E68" s="13" t="s">
        <v>569</v>
      </c>
      <c r="F68" s="13" t="s">
        <v>433</v>
      </c>
      <c r="G68" s="14">
        <v>46090</v>
      </c>
      <c r="H68" s="13" t="s">
        <v>180</v>
      </c>
      <c r="I68" s="13">
        <v>15</v>
      </c>
      <c r="J68" s="7"/>
      <c r="K68" s="7"/>
      <c r="N68" t="e">
        <f t="shared" si="2"/>
        <v>#N/A</v>
      </c>
    </row>
    <row r="69" spans="1:14" hidden="1">
      <c r="A69" s="13" t="s">
        <v>372</v>
      </c>
      <c r="B69" s="13" t="s">
        <v>372</v>
      </c>
      <c r="C69" s="13" t="e" cm="1">
        <f t="array" ref="C69">_xlfn.XLOOKUP('27.04'!F44 &amp; G69,Export!P:P &amp; Export!H:H,Export!B:B)</f>
        <v>#N/A</v>
      </c>
      <c r="D69" s="13" t="str" cm="1">
        <f t="array" ref="D69">_xlfn.XLOOKUP(F69 &amp; G69,Export!P:P &amp; Export!H:H,Export!C:C)</f>
        <v>20</v>
      </c>
      <c r="E69" s="13" t="s">
        <v>375</v>
      </c>
      <c r="F69" s="13" t="s">
        <v>435</v>
      </c>
      <c r="G69" s="14">
        <v>46073</v>
      </c>
      <c r="H69" s="13" t="s">
        <v>227</v>
      </c>
      <c r="I69" s="13">
        <v>1</v>
      </c>
      <c r="J69" s="7"/>
      <c r="K69" s="7"/>
      <c r="N69" t="e">
        <f t="shared" si="2"/>
        <v>#N/A</v>
      </c>
    </row>
    <row r="70" spans="1:14" hidden="1">
      <c r="A70" s="13" t="s">
        <v>126</v>
      </c>
      <c r="B70" s="13" t="s">
        <v>569</v>
      </c>
      <c r="C70" s="13" t="e" cm="1">
        <f t="array" ref="C70">_xlfn.XLOOKUP('27.04'!F50 &amp; G70,Export!P:P &amp; Export!H:H,Export!B:B)</f>
        <v>#N/A</v>
      </c>
      <c r="D70" s="13" t="str" cm="1">
        <f t="array" ref="D70">_xlfn.XLOOKUP(F70 &amp; G70,Export!P:P &amp; Export!H:H,Export!C:C)</f>
        <v>10</v>
      </c>
      <c r="E70" s="13" t="s">
        <v>439</v>
      </c>
      <c r="F70" s="13" t="s">
        <v>437</v>
      </c>
      <c r="G70" s="14">
        <v>46073</v>
      </c>
      <c r="H70" s="13" t="s">
        <v>227</v>
      </c>
      <c r="I70" s="13">
        <v>1</v>
      </c>
      <c r="J70" s="7"/>
      <c r="K70" s="7"/>
      <c r="N70" t="e">
        <f t="shared" si="2"/>
        <v>#N/A</v>
      </c>
    </row>
    <row r="71" spans="1:14" hidden="1">
      <c r="A71" s="13" t="s">
        <v>588</v>
      </c>
      <c r="B71" s="13" t="s">
        <v>588</v>
      </c>
      <c r="C71" s="13" t="e" cm="1">
        <f t="array" ref="C71">_xlfn.XLOOKUP('27.04'!F29 &amp; G71,Export!P:P &amp; Export!H:H,Export!B:B)</f>
        <v>#N/A</v>
      </c>
      <c r="D71" s="13" t="str" cm="1">
        <f t="array" ref="D71">_xlfn.XLOOKUP(F71 &amp; G71,Export!P:P &amp; Export!H:H,Export!C:C)</f>
        <v>20</v>
      </c>
      <c r="E71" s="13" t="s">
        <v>591</v>
      </c>
      <c r="F71" s="13" t="s">
        <v>441</v>
      </c>
      <c r="G71" s="14">
        <v>46090</v>
      </c>
      <c r="H71" s="13" t="s">
        <v>100</v>
      </c>
      <c r="I71" s="13">
        <v>5</v>
      </c>
      <c r="J71" s="7" t="s">
        <v>98</v>
      </c>
      <c r="K71" s="7" t="s">
        <v>98</v>
      </c>
      <c r="N71" t="e">
        <f t="shared" si="2"/>
        <v>#N/A</v>
      </c>
    </row>
    <row r="72" spans="1:14" hidden="1">
      <c r="A72" s="13" t="s">
        <v>569</v>
      </c>
      <c r="B72" s="13" t="s">
        <v>569</v>
      </c>
      <c r="C72" s="13" t="e" cm="1">
        <f t="array" ref="C72">_xlfn.XLOOKUP('27.04'!F87 &amp; G72,Export!P:P &amp; Export!H:H,Export!B:B)</f>
        <v>#N/A</v>
      </c>
      <c r="D72" s="13" t="str" cm="1">
        <f t="array" ref="D72">_xlfn.XLOOKUP(F72 &amp; G72,Export!P:P &amp; Export!H:H,Export!C:C)</f>
        <v>50</v>
      </c>
      <c r="E72" s="13" t="s">
        <v>569</v>
      </c>
      <c r="F72" s="13" t="s">
        <v>443</v>
      </c>
      <c r="G72" s="14">
        <v>46122</v>
      </c>
      <c r="H72" s="13" t="s">
        <v>585</v>
      </c>
      <c r="I72" s="13">
        <v>10</v>
      </c>
      <c r="J72" s="7"/>
      <c r="K72" s="7"/>
      <c r="N72" t="e">
        <f t="shared" si="2"/>
        <v>#N/A</v>
      </c>
    </row>
    <row r="73" spans="1:14" hidden="1">
      <c r="A73" s="13" t="s">
        <v>569</v>
      </c>
      <c r="B73" s="13" t="s">
        <v>569</v>
      </c>
      <c r="C73" s="13" t="e" cm="1">
        <f t="array" ref="C73">_xlfn.XLOOKUP('27.04'!F114 &amp; G73,Export!P:P &amp; Export!H:H,Export!B:B)</f>
        <v>#N/A</v>
      </c>
      <c r="D73" s="13" t="str" cm="1">
        <f t="array" ref="D73">_xlfn.XLOOKUP(F73 &amp; G73,Export!P:P &amp; Export!H:H,Export!C:C)</f>
        <v>50</v>
      </c>
      <c r="E73" s="13" t="s">
        <v>569</v>
      </c>
      <c r="F73" s="13" t="s">
        <v>443</v>
      </c>
      <c r="G73" s="14">
        <v>46045</v>
      </c>
      <c r="H73" s="13" t="s">
        <v>176</v>
      </c>
      <c r="I73" s="13">
        <v>10</v>
      </c>
      <c r="J73" s="7"/>
      <c r="K73" s="7"/>
      <c r="N73" t="e">
        <f t="shared" si="2"/>
        <v>#N/A</v>
      </c>
    </row>
    <row r="74" spans="1:14" hidden="1">
      <c r="A74" s="13" t="s">
        <v>569</v>
      </c>
      <c r="B74" s="13" t="s">
        <v>569</v>
      </c>
      <c r="C74" s="13" t="e" cm="1">
        <f t="array" ref="C74">_xlfn.XLOOKUP('27.04'!F88 &amp; G74,Export!P:P &amp; Export!H:H,Export!B:B)</f>
        <v>#N/A</v>
      </c>
      <c r="D74" s="13" t="str" cm="1">
        <f t="array" ref="D74">_xlfn.XLOOKUP(F74 &amp; G74,Export!P:P &amp; Export!H:H,Export!C:C)</f>
        <v>60</v>
      </c>
      <c r="E74" s="13" t="s">
        <v>569</v>
      </c>
      <c r="F74" s="13" t="s">
        <v>445</v>
      </c>
      <c r="G74" s="14">
        <v>46122</v>
      </c>
      <c r="H74" s="13" t="s">
        <v>585</v>
      </c>
      <c r="I74" s="13">
        <v>10</v>
      </c>
      <c r="J74" s="7"/>
      <c r="K74" s="7"/>
      <c r="N74" t="e">
        <f t="shared" si="2"/>
        <v>#N/A</v>
      </c>
    </row>
    <row r="75" spans="1:14" hidden="1">
      <c r="A75" s="13" t="s">
        <v>569</v>
      </c>
      <c r="B75" s="13" t="s">
        <v>569</v>
      </c>
      <c r="C75" s="13" t="str" cm="1">
        <f t="array" ref="C75">_xlfn.XLOOKUP('27.04'!F115 &amp; G75,Export!P:P &amp; Export!H:H,Export!B:B)</f>
        <v>16425056</v>
      </c>
      <c r="D75" s="13" t="str" cm="1">
        <f t="array" ref="D75">_xlfn.XLOOKUP(F75 &amp; G75,Export!P:P &amp; Export!H:H,Export!C:C)</f>
        <v>70</v>
      </c>
      <c r="E75" s="13" t="s">
        <v>569</v>
      </c>
      <c r="F75" s="13" t="s">
        <v>445</v>
      </c>
      <c r="G75" s="14">
        <v>46045</v>
      </c>
      <c r="H75" s="13" t="s">
        <v>176</v>
      </c>
      <c r="I75" s="13">
        <v>5</v>
      </c>
      <c r="J75" s="7"/>
      <c r="K75" s="7"/>
      <c r="N75" t="str">
        <f t="shared" si="2"/>
        <v>1642505670</v>
      </c>
    </row>
    <row r="76" spans="1:14" hidden="1">
      <c r="A76" s="13" t="s">
        <v>293</v>
      </c>
      <c r="B76" s="13" t="s">
        <v>293</v>
      </c>
      <c r="C76" s="13" t="e" cm="1">
        <f t="array" ref="C76">_xlfn.XLOOKUP('27.04'!F21 &amp; G76,Export!P:P &amp; Export!H:H,Export!B:B)</f>
        <v>#N/A</v>
      </c>
      <c r="D76" s="13" t="str" cm="1">
        <f t="array" ref="D76">_xlfn.XLOOKUP(F76 &amp; G76,Export!P:P &amp; Export!H:H,Export!C:C)</f>
        <v>110</v>
      </c>
      <c r="E76" s="13" t="s">
        <v>449</v>
      </c>
      <c r="F76" s="13" t="s">
        <v>447</v>
      </c>
      <c r="G76" s="14">
        <v>45922</v>
      </c>
      <c r="H76" s="13" t="s">
        <v>100</v>
      </c>
      <c r="I76" s="13">
        <v>50</v>
      </c>
      <c r="J76" s="7"/>
      <c r="K76" s="7"/>
      <c r="N76" t="e">
        <f t="shared" si="2"/>
        <v>#N/A</v>
      </c>
    </row>
    <row r="77" spans="1:14" hidden="1">
      <c r="A77" s="13" t="s">
        <v>293</v>
      </c>
      <c r="B77" s="13" t="s">
        <v>293</v>
      </c>
      <c r="C77" s="13" t="e" cm="1">
        <f t="array" ref="C77">_xlfn.XLOOKUP('27.04'!F22 &amp; G77,Export!P:P &amp; Export!H:H,Export!B:B)</f>
        <v>#N/A</v>
      </c>
      <c r="D77" s="13" t="str" cm="1">
        <f t="array" ref="D77">_xlfn.XLOOKUP(F77 &amp; G77,Export!P:P &amp; Export!H:H,Export!C:C)</f>
        <v>120</v>
      </c>
      <c r="E77" s="13" t="s">
        <v>449</v>
      </c>
      <c r="F77" s="13" t="s">
        <v>451</v>
      </c>
      <c r="G77" s="14">
        <v>45922</v>
      </c>
      <c r="H77" s="13" t="s">
        <v>100</v>
      </c>
      <c r="I77" s="13">
        <v>100</v>
      </c>
      <c r="J77" s="7"/>
      <c r="K77" s="7"/>
      <c r="N77" t="e">
        <f t="shared" si="2"/>
        <v>#N/A</v>
      </c>
    </row>
    <row r="78" spans="1:14" hidden="1">
      <c r="A78" s="13" t="s">
        <v>293</v>
      </c>
      <c r="B78" s="13" t="s">
        <v>293</v>
      </c>
      <c r="C78" s="13" t="e" cm="1">
        <f t="array" ref="C78">_xlfn.XLOOKUP('27.04'!F23 &amp; G78,Export!P:P &amp; Export!H:H,Export!B:B)</f>
        <v>#N/A</v>
      </c>
      <c r="D78" s="13" t="str" cm="1">
        <f t="array" ref="D78">_xlfn.XLOOKUP(F78 &amp; G78,Export!P:P &amp; Export!H:H,Export!C:C)</f>
        <v>130</v>
      </c>
      <c r="E78" s="13" t="s">
        <v>449</v>
      </c>
      <c r="F78" s="13" t="s">
        <v>453</v>
      </c>
      <c r="G78" s="14">
        <v>45922</v>
      </c>
      <c r="H78" s="13" t="s">
        <v>100</v>
      </c>
      <c r="I78" s="13">
        <v>100</v>
      </c>
      <c r="J78" s="7"/>
      <c r="K78" s="7"/>
      <c r="N78" t="e">
        <f t="shared" si="2"/>
        <v>#N/A</v>
      </c>
    </row>
    <row r="79" spans="1:14" hidden="1">
      <c r="A79" s="13" t="s">
        <v>293</v>
      </c>
      <c r="B79" s="13" t="s">
        <v>293</v>
      </c>
      <c r="C79" s="13" t="e" cm="1">
        <f t="array" ref="C79">_xlfn.XLOOKUP('27.04'!F24 &amp; G79,Export!P:P &amp; Export!H:H,Export!B:B)</f>
        <v>#N/A</v>
      </c>
      <c r="D79" s="13" t="str" cm="1">
        <f t="array" ref="D79">_xlfn.XLOOKUP(F79 &amp; G79,Export!P:P &amp; Export!H:H,Export!C:C)</f>
        <v>140</v>
      </c>
      <c r="E79" s="13" t="s">
        <v>449</v>
      </c>
      <c r="F79" s="13" t="s">
        <v>455</v>
      </c>
      <c r="G79" s="14">
        <v>45922</v>
      </c>
      <c r="H79" s="13" t="s">
        <v>100</v>
      </c>
      <c r="I79" s="13">
        <v>50</v>
      </c>
      <c r="J79" s="7"/>
      <c r="K79" s="7"/>
      <c r="N79" t="e">
        <f t="shared" si="2"/>
        <v>#N/A</v>
      </c>
    </row>
    <row r="80" spans="1:14" hidden="1">
      <c r="A80" s="13" t="s">
        <v>569</v>
      </c>
      <c r="B80" s="13" t="s">
        <v>202</v>
      </c>
      <c r="C80" s="13" t="e" cm="1">
        <f t="array" ref="C80">_xlfn.XLOOKUP('27.04'!F110 &amp; G80,Export!P:P &amp; Export!H:H,Export!B:B)</f>
        <v>#N/A</v>
      </c>
      <c r="D80" s="13" t="str" cm="1">
        <f t="array" ref="D80">_xlfn.XLOOKUP(F80 &amp; G80,Export!P:P &amp; Export!H:H,Export!C:C)</f>
        <v>40</v>
      </c>
      <c r="E80" s="13" t="s">
        <v>569</v>
      </c>
      <c r="F80" s="13" t="s">
        <v>458</v>
      </c>
      <c r="G80" s="14">
        <v>46063</v>
      </c>
      <c r="H80" s="13" t="s">
        <v>176</v>
      </c>
      <c r="I80" s="13">
        <v>15</v>
      </c>
      <c r="J80" s="7"/>
      <c r="K80" s="7"/>
      <c r="N80" t="e">
        <f t="shared" si="2"/>
        <v>#N/A</v>
      </c>
    </row>
    <row r="81" spans="1:14" hidden="1">
      <c r="A81" s="13" t="s">
        <v>126</v>
      </c>
      <c r="B81" s="13" t="s">
        <v>569</v>
      </c>
      <c r="C81" s="13" t="e" cm="1">
        <f t="array" ref="C81">_xlfn.XLOOKUP('27.04'!F62 &amp; G81,Export!P:P &amp; Export!H:H,Export!B:B)</f>
        <v>#N/A</v>
      </c>
      <c r="D81" s="13" t="str" cm="1">
        <f t="array" ref="D81">_xlfn.XLOOKUP(F81 &amp; G81,Export!P:P &amp; Export!H:H,Export!C:C)</f>
        <v>50</v>
      </c>
      <c r="E81" s="13" t="s">
        <v>462</v>
      </c>
      <c r="F81" s="13" t="s">
        <v>460</v>
      </c>
      <c r="G81" s="14">
        <v>46063</v>
      </c>
      <c r="H81" s="13" t="s">
        <v>100</v>
      </c>
      <c r="I81" s="13">
        <v>15</v>
      </c>
      <c r="J81" s="7" t="s">
        <v>694</v>
      </c>
      <c r="K81" s="7" t="s">
        <v>694</v>
      </c>
      <c r="N81" t="e">
        <f t="shared" si="2"/>
        <v>#N/A</v>
      </c>
    </row>
    <row r="82" spans="1:14" hidden="1">
      <c r="A82" s="13" t="s">
        <v>159</v>
      </c>
      <c r="B82" s="13" t="s">
        <v>159</v>
      </c>
      <c r="C82" s="13" t="e" cm="1">
        <f t="array" ref="C82">_xlfn.XLOOKUP('27.04'!F8 &amp; G82,Export!P:P &amp; Export!H:H,Export!B:B)</f>
        <v>#N/A</v>
      </c>
      <c r="D82" s="13" t="str" cm="1">
        <f t="array" ref="D82">_xlfn.XLOOKUP(F82 &amp; G82,Export!P:P &amp; Export!H:H,Export!C:C)</f>
        <v>30</v>
      </c>
      <c r="E82" s="13" t="s">
        <v>581</v>
      </c>
      <c r="F82" s="13" t="s">
        <v>464</v>
      </c>
      <c r="G82" s="14">
        <v>46073</v>
      </c>
      <c r="H82" s="13" t="s">
        <v>227</v>
      </c>
      <c r="I82" s="13">
        <v>15</v>
      </c>
      <c r="J82" s="7"/>
      <c r="K82" s="7"/>
      <c r="L82" s="7"/>
      <c r="M82" s="7"/>
      <c r="N82" t="e">
        <f t="shared" si="2"/>
        <v>#N/A</v>
      </c>
    </row>
    <row r="83" spans="1:14" hidden="1">
      <c r="A83" s="13" t="s">
        <v>126</v>
      </c>
      <c r="B83" s="13" t="s">
        <v>569</v>
      </c>
      <c r="C83" s="13" t="e" cm="1">
        <f t="array" ref="C83">_xlfn.XLOOKUP('27.04'!F49 &amp; G83,Export!P:P &amp; Export!H:H,Export!B:B)</f>
        <v>#N/A</v>
      </c>
      <c r="D83" s="13" t="str" cm="1">
        <f t="array" ref="D83">_xlfn.XLOOKUP(F83 &amp; G83,Export!P:P &amp; Export!H:H,Export!C:C)</f>
        <v>20</v>
      </c>
      <c r="E83" s="13" t="s">
        <v>471</v>
      </c>
      <c r="F83" s="13" t="s">
        <v>467</v>
      </c>
      <c r="G83" s="14">
        <v>46063</v>
      </c>
      <c r="H83" s="13" t="s">
        <v>227</v>
      </c>
      <c r="I83" s="13">
        <v>3</v>
      </c>
      <c r="J83" s="7"/>
      <c r="K83" s="7"/>
      <c r="L83" s="7"/>
      <c r="N83" t="e">
        <f t="shared" si="2"/>
        <v>#N/A</v>
      </c>
    </row>
    <row r="84" spans="1:14">
      <c r="A84" s="13" t="s">
        <v>372</v>
      </c>
      <c r="B84" s="13" t="s">
        <v>372</v>
      </c>
      <c r="C84" s="13" t="e" cm="1">
        <f t="array" ref="C84">_xlfn.XLOOKUP('27.04'!F32 &amp; G84,Export!P:P &amp; Export!H:H,Export!B:B)</f>
        <v>#N/A</v>
      </c>
      <c r="D84" s="13" t="str" cm="1">
        <f t="array" ref="D84">_xlfn.XLOOKUP(F84 &amp; G84,Export!P:P &amp; Export!H:H,Export!C:C)</f>
        <v>10</v>
      </c>
      <c r="E84" s="13" t="s">
        <v>577</v>
      </c>
      <c r="F84" s="13" t="s">
        <v>473</v>
      </c>
      <c r="G84" s="14">
        <v>46056</v>
      </c>
      <c r="H84" s="13" t="s">
        <v>227</v>
      </c>
      <c r="I84" s="13">
        <v>4</v>
      </c>
      <c r="J84" s="7"/>
      <c r="K84" s="7"/>
      <c r="L84" s="12" t="s">
        <v>98</v>
      </c>
      <c r="M84" s="12" t="s">
        <v>697</v>
      </c>
      <c r="N84" t="e">
        <f t="shared" si="2"/>
        <v>#N/A</v>
      </c>
    </row>
    <row r="85" spans="1:14">
      <c r="A85" s="13" t="s">
        <v>372</v>
      </c>
      <c r="B85" s="13" t="s">
        <v>372</v>
      </c>
      <c r="C85" s="13" t="e" cm="1">
        <f t="array" ref="C85">_xlfn.XLOOKUP('27.04'!F37 &amp; G85,Export!P:P &amp; Export!H:H,Export!B:B)</f>
        <v>#N/A</v>
      </c>
      <c r="D85" s="13" t="str" cm="1">
        <f t="array" ref="D85">_xlfn.XLOOKUP(F85 &amp; G85,Export!P:P &amp; Export!H:H,Export!C:C)</f>
        <v>20</v>
      </c>
      <c r="E85" s="13" t="s">
        <v>577</v>
      </c>
      <c r="F85" s="13" t="s">
        <v>476</v>
      </c>
      <c r="G85" s="14">
        <v>46056</v>
      </c>
      <c r="H85" s="13" t="s">
        <v>227</v>
      </c>
      <c r="I85" s="13">
        <v>4</v>
      </c>
      <c r="J85" s="7"/>
      <c r="K85" s="7"/>
      <c r="L85" s="12" t="s">
        <v>98</v>
      </c>
      <c r="M85" s="12" t="s">
        <v>697</v>
      </c>
      <c r="N85" t="e">
        <f t="shared" si="2"/>
        <v>#N/A</v>
      </c>
    </row>
    <row r="86" spans="1:14">
      <c r="A86" s="13" t="s">
        <v>293</v>
      </c>
      <c r="B86" s="13" t="s">
        <v>293</v>
      </c>
      <c r="C86" s="13" t="e" cm="1">
        <f t="array" ref="C86">_xlfn.XLOOKUP('27.04'!F18 &amp; G86,Export!P:P &amp; Export!H:H,Export!B:B)</f>
        <v>#N/A</v>
      </c>
      <c r="D86" s="13" t="str" cm="1">
        <f t="array" ref="D86">_xlfn.XLOOKUP(F86 &amp; G86,Export!P:P &amp; Export!H:H,Export!C:C)</f>
        <v>20</v>
      </c>
      <c r="E86" s="13" t="s">
        <v>482</v>
      </c>
      <c r="F86" s="13" t="s">
        <v>478</v>
      </c>
      <c r="G86" s="14">
        <v>45922</v>
      </c>
      <c r="H86" s="13" t="s">
        <v>483</v>
      </c>
      <c r="I86" s="13">
        <v>3</v>
      </c>
      <c r="J86" s="7"/>
      <c r="K86" s="7"/>
      <c r="N86" t="e">
        <f t="shared" si="2"/>
        <v>#N/A</v>
      </c>
    </row>
    <row r="87" spans="1:14">
      <c r="A87" s="13" t="s">
        <v>372</v>
      </c>
      <c r="B87" s="13" t="s">
        <v>372</v>
      </c>
      <c r="C87" s="13" t="e" cm="1">
        <f t="array" ref="C87">_xlfn.XLOOKUP('27.04'!F38 &amp; G87,Export!P:P &amp; Export!H:H,Export!B:B)</f>
        <v>#N/A</v>
      </c>
      <c r="D87" s="13" t="str" cm="1">
        <f t="array" ref="D87">_xlfn.XLOOKUP(F87 &amp; G87,Export!P:P &amp; Export!H:H,Export!C:C)</f>
        <v>30</v>
      </c>
      <c r="E87" s="13" t="s">
        <v>577</v>
      </c>
      <c r="F87" s="13" t="s">
        <v>485</v>
      </c>
      <c r="G87" s="14">
        <v>46056</v>
      </c>
      <c r="H87" s="13" t="s">
        <v>227</v>
      </c>
      <c r="I87" s="13">
        <v>4</v>
      </c>
      <c r="J87" s="7"/>
      <c r="K87" s="7"/>
      <c r="L87" s="12" t="s">
        <v>98</v>
      </c>
      <c r="M87" s="12" t="s">
        <v>697</v>
      </c>
      <c r="N87" t="e">
        <f t="shared" si="2"/>
        <v>#N/A</v>
      </c>
    </row>
    <row r="88" spans="1:14">
      <c r="A88" s="13" t="s">
        <v>372</v>
      </c>
      <c r="B88" s="13" t="s">
        <v>372</v>
      </c>
      <c r="C88" s="13" t="e" cm="1">
        <f t="array" ref="C88">_xlfn.XLOOKUP('27.04'!F39 &amp; G88,Export!P:P &amp; Export!H:H,Export!B:B)</f>
        <v>#N/A</v>
      </c>
      <c r="D88" s="13" t="str" cm="1">
        <f t="array" ref="D88">_xlfn.XLOOKUP(F88 &amp; G88,Export!P:P &amp; Export!H:H,Export!C:C)</f>
        <v>50</v>
      </c>
      <c r="E88" s="13" t="s">
        <v>577</v>
      </c>
      <c r="F88" s="13" t="s">
        <v>487</v>
      </c>
      <c r="G88" s="14">
        <v>46056</v>
      </c>
      <c r="H88" s="13" t="s">
        <v>227</v>
      </c>
      <c r="I88" s="13">
        <v>5</v>
      </c>
      <c r="J88" s="7"/>
      <c r="K88" s="7"/>
      <c r="L88" s="12" t="s">
        <v>98</v>
      </c>
      <c r="M88" s="12" t="s">
        <v>697</v>
      </c>
      <c r="N88" t="e">
        <f t="shared" si="2"/>
        <v>#N/A</v>
      </c>
    </row>
    <row r="89" spans="1:14">
      <c r="A89" s="13" t="s">
        <v>372</v>
      </c>
      <c r="B89" s="13" t="s">
        <v>372</v>
      </c>
      <c r="C89" s="13" t="e" cm="1">
        <f t="array" ref="C89">_xlfn.XLOOKUP('27.04'!F40 &amp; G89,Export!P:P &amp; Export!H:H,Export!B:B)</f>
        <v>#N/A</v>
      </c>
      <c r="D89" s="13" t="str" cm="1">
        <f t="array" ref="D89">_xlfn.XLOOKUP(F89 &amp; G89,Export!P:P &amp; Export!H:H,Export!C:C)</f>
        <v>60</v>
      </c>
      <c r="E89" s="13" t="s">
        <v>577</v>
      </c>
      <c r="F89" s="13" t="s">
        <v>489</v>
      </c>
      <c r="G89" s="14">
        <v>46056</v>
      </c>
      <c r="H89" s="13" t="s">
        <v>227</v>
      </c>
      <c r="I89" s="13">
        <v>5</v>
      </c>
      <c r="J89" s="7"/>
      <c r="K89" s="7"/>
      <c r="L89" s="12" t="s">
        <v>98</v>
      </c>
      <c r="M89" s="12" t="s">
        <v>697</v>
      </c>
      <c r="N89" t="e">
        <f t="shared" si="2"/>
        <v>#N/A</v>
      </c>
    </row>
    <row r="90" spans="1:14">
      <c r="A90" s="13" t="s">
        <v>372</v>
      </c>
      <c r="B90" s="13" t="s">
        <v>372</v>
      </c>
      <c r="C90" s="13" t="e" cm="1">
        <f t="array" ref="C90">_xlfn.XLOOKUP('27.04'!F35 &amp; G90,Export!P:P &amp; Export!H:H,Export!B:B)</f>
        <v>#N/A</v>
      </c>
      <c r="D90" s="13" t="str" cm="1">
        <f t="array" ref="D90">_xlfn.XLOOKUP(F90 &amp; G90,Export!P:P &amp; Export!H:H,Export!C:C)</f>
        <v>130</v>
      </c>
      <c r="E90" s="13" t="s">
        <v>577</v>
      </c>
      <c r="F90" s="13" t="s">
        <v>491</v>
      </c>
      <c r="G90" s="14">
        <v>46056</v>
      </c>
      <c r="H90" s="13" t="s">
        <v>227</v>
      </c>
      <c r="I90" s="13">
        <v>10</v>
      </c>
      <c r="J90" s="7"/>
      <c r="K90" s="7"/>
      <c r="L90" s="12" t="s">
        <v>98</v>
      </c>
      <c r="M90" s="12" t="s">
        <v>697</v>
      </c>
      <c r="N90" t="e">
        <f t="shared" si="2"/>
        <v>#N/A</v>
      </c>
    </row>
    <row r="91" spans="1:14">
      <c r="A91" s="13" t="s">
        <v>293</v>
      </c>
      <c r="B91" s="13" t="s">
        <v>293</v>
      </c>
      <c r="C91" s="13" t="e" cm="1">
        <f t="array" ref="C91">_xlfn.XLOOKUP('27.04'!F13 &amp; G91,Export!P:P &amp; Export!H:H,Export!B:B)</f>
        <v>#N/A</v>
      </c>
      <c r="D91" s="13" t="str" cm="1">
        <f t="array" ref="D91">_xlfn.XLOOKUP(F91 &amp; G91,Export!P:P &amp; Export!H:H,Export!C:C)</f>
        <v>40</v>
      </c>
      <c r="E91" s="13" t="s">
        <v>494</v>
      </c>
      <c r="F91" s="13" t="s">
        <v>493</v>
      </c>
      <c r="G91" s="14">
        <v>45902</v>
      </c>
      <c r="H91" s="13" t="s">
        <v>227</v>
      </c>
      <c r="I91" s="13">
        <v>6</v>
      </c>
      <c r="J91" s="7"/>
      <c r="K91" s="7"/>
      <c r="N91" t="e">
        <f t="shared" si="2"/>
        <v>#N/A</v>
      </c>
    </row>
    <row r="92" spans="1:14">
      <c r="A92" s="13" t="s">
        <v>372</v>
      </c>
      <c r="B92" s="13" t="s">
        <v>372</v>
      </c>
      <c r="C92" s="13" t="e" cm="1">
        <f t="array" ref="C92">_xlfn.XLOOKUP('27.04'!F31 &amp; G92,Export!P:P &amp; Export!H:H,Export!B:B)</f>
        <v>#N/A</v>
      </c>
      <c r="D92" s="13" t="str" cm="1">
        <f t="array" ref="D92">_xlfn.XLOOKUP(F92 &amp; G92,Export!P:P &amp; Export!H:H,Export!C:C)</f>
        <v>40</v>
      </c>
      <c r="E92" s="13" t="s">
        <v>580</v>
      </c>
      <c r="F92" s="13" t="s">
        <v>493</v>
      </c>
      <c r="G92" s="14">
        <v>46045</v>
      </c>
      <c r="H92" s="13" t="s">
        <v>227</v>
      </c>
      <c r="I92" s="13">
        <v>15</v>
      </c>
      <c r="J92" s="7"/>
      <c r="K92" s="7"/>
      <c r="L92" s="12" t="s">
        <v>98</v>
      </c>
      <c r="M92" s="12" t="s">
        <v>697</v>
      </c>
      <c r="N92" t="e">
        <f t="shared" si="2"/>
        <v>#N/A</v>
      </c>
    </row>
    <row r="93" spans="1:14">
      <c r="A93" s="13" t="s">
        <v>372</v>
      </c>
      <c r="B93" s="13" t="s">
        <v>372</v>
      </c>
      <c r="C93" s="13" t="e" cm="1">
        <f t="array" ref="C93">_xlfn.XLOOKUP('27.04'!F41 &amp; G93,Export!P:P &amp; Export!H:H,Export!B:B)</f>
        <v>#N/A</v>
      </c>
      <c r="D93" s="13" t="str" cm="1">
        <f t="array" ref="D93">_xlfn.XLOOKUP(F93 &amp; G93,Export!P:P &amp; Export!H:H,Export!C:C)</f>
        <v>70</v>
      </c>
      <c r="E93" s="13" t="s">
        <v>577</v>
      </c>
      <c r="F93" s="13" t="s">
        <v>497</v>
      </c>
      <c r="G93" s="14">
        <v>46056</v>
      </c>
      <c r="H93" s="13" t="s">
        <v>227</v>
      </c>
      <c r="I93" s="13">
        <v>8</v>
      </c>
      <c r="J93" s="7"/>
      <c r="K93" s="7"/>
      <c r="L93" s="12" t="s">
        <v>98</v>
      </c>
      <c r="M93" s="12" t="s">
        <v>697</v>
      </c>
      <c r="N93" t="e">
        <f t="shared" si="2"/>
        <v>#N/A</v>
      </c>
    </row>
    <row r="94" spans="1:14">
      <c r="A94" s="13" t="s">
        <v>372</v>
      </c>
      <c r="B94" s="13" t="s">
        <v>372</v>
      </c>
      <c r="C94" s="13" t="e" cm="1">
        <f t="array" ref="C94">_xlfn.XLOOKUP('27.04'!F36 &amp; G94,Export!P:P &amp; Export!H:H,Export!B:B)</f>
        <v>#N/A</v>
      </c>
      <c r="D94" s="13" t="str" cm="1">
        <f t="array" ref="D94">_xlfn.XLOOKUP(F94 &amp; G94,Export!P:P &amp; Export!H:H,Export!C:C)</f>
        <v>140</v>
      </c>
      <c r="E94" s="13" t="s">
        <v>577</v>
      </c>
      <c r="F94" s="13" t="s">
        <v>499</v>
      </c>
      <c r="G94" s="14">
        <v>46056</v>
      </c>
      <c r="H94" s="13" t="s">
        <v>227</v>
      </c>
      <c r="I94" s="13">
        <v>4</v>
      </c>
      <c r="J94" s="7"/>
      <c r="K94" s="7"/>
      <c r="L94" s="12" t="s">
        <v>98</v>
      </c>
      <c r="M94" s="12" t="s">
        <v>697</v>
      </c>
      <c r="N94" t="e">
        <f t="shared" si="2"/>
        <v>#N/A</v>
      </c>
    </row>
    <row r="95" spans="1:14">
      <c r="A95" s="13" t="s">
        <v>293</v>
      </c>
      <c r="B95" s="13" t="s">
        <v>293</v>
      </c>
      <c r="C95" s="13" t="e" cm="1">
        <f t="array" ref="C95">_xlfn.XLOOKUP('27.04'!F17 &amp; G95,Export!P:P &amp; Export!H:H,Export!B:B)</f>
        <v>#N/A</v>
      </c>
      <c r="D95" s="13" t="str" cm="1">
        <f t="array" ref="D95">_xlfn.XLOOKUP(F95 &amp; G95,Export!P:P &amp; Export!H:H,Export!C:C)</f>
        <v>10</v>
      </c>
      <c r="E95" s="13" t="s">
        <v>482</v>
      </c>
      <c r="F95" s="13" t="s">
        <v>501</v>
      </c>
      <c r="G95" s="14">
        <v>45922</v>
      </c>
      <c r="H95" s="13" t="s">
        <v>483</v>
      </c>
      <c r="I95" s="13">
        <v>6</v>
      </c>
      <c r="J95" s="7"/>
      <c r="K95" s="7"/>
      <c r="N95" t="e">
        <f t="shared" si="2"/>
        <v>#N/A</v>
      </c>
    </row>
    <row r="96" spans="1:14">
      <c r="A96" s="13" t="s">
        <v>372</v>
      </c>
      <c r="B96" s="13" t="s">
        <v>372</v>
      </c>
      <c r="C96" s="13" t="e" cm="1">
        <f t="array" ref="C96">_xlfn.XLOOKUP('27.04'!F42 &amp; G96,Export!P:P &amp; Export!H:H,Export!B:B)</f>
        <v>#N/A</v>
      </c>
      <c r="D96" s="13" t="str" cm="1">
        <f t="array" ref="D96">_xlfn.XLOOKUP(F96 &amp; G96,Export!P:P &amp; Export!H:H,Export!C:C)</f>
        <v>80</v>
      </c>
      <c r="E96" s="13" t="s">
        <v>577</v>
      </c>
      <c r="F96" s="13" t="s">
        <v>503</v>
      </c>
      <c r="G96" s="14">
        <v>46056</v>
      </c>
      <c r="H96" s="13" t="s">
        <v>227</v>
      </c>
      <c r="I96" s="13">
        <v>10</v>
      </c>
      <c r="J96" s="7"/>
      <c r="K96" s="7"/>
      <c r="L96" s="12" t="s">
        <v>98</v>
      </c>
      <c r="M96" s="12" t="s">
        <v>697</v>
      </c>
      <c r="N96" t="e">
        <f t="shared" si="2"/>
        <v>#N/A</v>
      </c>
    </row>
    <row r="97" spans="1:14">
      <c r="A97" s="13" t="s">
        <v>293</v>
      </c>
      <c r="B97" s="13" t="s">
        <v>293</v>
      </c>
      <c r="C97" s="13" t="e" cm="1">
        <f t="array" ref="C97">_xlfn.XLOOKUP('27.04'!F12 &amp; G97,Export!P:P &amp; Export!H:H,Export!B:B)</f>
        <v>#N/A</v>
      </c>
      <c r="D97" s="13" t="str" cm="1">
        <f t="array" ref="D97">_xlfn.XLOOKUP(F97 &amp; G97,Export!P:P &amp; Export!H:H,Export!C:C)</f>
        <v>30</v>
      </c>
      <c r="E97" s="13" t="s">
        <v>494</v>
      </c>
      <c r="F97" s="13" t="s">
        <v>505</v>
      </c>
      <c r="G97" s="14">
        <v>45902</v>
      </c>
      <c r="H97" s="13" t="s">
        <v>227</v>
      </c>
      <c r="I97" s="13">
        <v>6</v>
      </c>
      <c r="J97" s="7"/>
      <c r="K97" s="7"/>
      <c r="N97" t="e">
        <f t="shared" si="2"/>
        <v>#N/A</v>
      </c>
    </row>
    <row r="98" spans="1:14">
      <c r="A98" s="13" t="s">
        <v>372</v>
      </c>
      <c r="B98" s="13" t="s">
        <v>372</v>
      </c>
      <c r="C98" s="13" t="e" cm="1">
        <f t="array" ref="C98">_xlfn.XLOOKUP('27.04'!F30 &amp; G98,Export!P:P &amp; Export!H:H,Export!B:B)</f>
        <v>#N/A</v>
      </c>
      <c r="D98" s="13" t="str" cm="1">
        <f t="array" ref="D98">_xlfn.XLOOKUP(F98 &amp; G98,Export!P:P &amp; Export!H:H,Export!C:C)</f>
        <v>30</v>
      </c>
      <c r="E98" s="13" t="s">
        <v>580</v>
      </c>
      <c r="F98" s="13" t="s">
        <v>505</v>
      </c>
      <c r="G98" s="14">
        <v>46045</v>
      </c>
      <c r="H98" s="13" t="s">
        <v>227</v>
      </c>
      <c r="I98" s="13">
        <v>15</v>
      </c>
      <c r="J98" s="7"/>
      <c r="K98" s="7"/>
      <c r="L98" s="12" t="s">
        <v>98</v>
      </c>
      <c r="M98" s="12" t="s">
        <v>697</v>
      </c>
      <c r="N98" t="e">
        <f t="shared" ref="N98:N120" si="3">C98&amp;D98</f>
        <v>#N/A</v>
      </c>
    </row>
    <row r="99" spans="1:14">
      <c r="A99" s="13" t="s">
        <v>372</v>
      </c>
      <c r="B99" s="13" t="s">
        <v>372</v>
      </c>
      <c r="C99" s="13" t="e" cm="1">
        <f t="array" ref="C99">_xlfn.XLOOKUP('27.04'!F43 &amp; G99,Export!P:P &amp; Export!H:H,Export!B:B)</f>
        <v>#N/A</v>
      </c>
      <c r="D99" s="13" t="str" cm="1">
        <f t="array" ref="D99">_xlfn.XLOOKUP(F99 &amp; G99,Export!P:P &amp; Export!H:H,Export!C:C)</f>
        <v>90</v>
      </c>
      <c r="E99" s="13" t="s">
        <v>577</v>
      </c>
      <c r="F99" s="13" t="s">
        <v>507</v>
      </c>
      <c r="G99" s="14">
        <v>46056</v>
      </c>
      <c r="H99" s="13" t="s">
        <v>227</v>
      </c>
      <c r="I99" s="13">
        <v>4</v>
      </c>
      <c r="J99" s="7"/>
      <c r="K99" s="7"/>
      <c r="L99" s="12" t="s">
        <v>98</v>
      </c>
      <c r="M99" s="12" t="s">
        <v>697</v>
      </c>
      <c r="N99" t="e">
        <f t="shared" si="3"/>
        <v>#N/A</v>
      </c>
    </row>
    <row r="100" spans="1:14">
      <c r="A100" s="13" t="s">
        <v>372</v>
      </c>
      <c r="B100" s="13" t="s">
        <v>372</v>
      </c>
      <c r="C100" s="13" t="e" cm="1">
        <f t="array" ref="C100">_xlfn.XLOOKUP('27.04'!F33 &amp; G100,Export!P:P &amp; Export!H:H,Export!B:B)</f>
        <v>#N/A</v>
      </c>
      <c r="D100" s="13" t="str" cm="1">
        <f t="array" ref="D100">_xlfn.XLOOKUP(F100 &amp; G100,Export!P:P &amp; Export!H:H,Export!C:C)</f>
        <v>100</v>
      </c>
      <c r="E100" s="13" t="s">
        <v>577</v>
      </c>
      <c r="F100" s="13" t="s">
        <v>509</v>
      </c>
      <c r="G100" s="14">
        <v>46056</v>
      </c>
      <c r="H100" s="13" t="s">
        <v>227</v>
      </c>
      <c r="I100" s="13">
        <v>4</v>
      </c>
      <c r="J100" s="7"/>
      <c r="K100" s="7"/>
      <c r="L100" s="12" t="s">
        <v>98</v>
      </c>
      <c r="M100" s="12" t="s">
        <v>697</v>
      </c>
      <c r="N100" t="e">
        <f t="shared" si="3"/>
        <v>#N/A</v>
      </c>
    </row>
    <row r="101" spans="1:14">
      <c r="A101" s="13" t="s">
        <v>569</v>
      </c>
      <c r="B101" s="13" t="s">
        <v>569</v>
      </c>
      <c r="C101" s="13" t="e" cm="1">
        <f t="array" ref="C101">_xlfn.XLOOKUP('27.04'!F84 &amp; G101,Export!P:P &amp; Export!H:H,Export!B:B)</f>
        <v>#N/A</v>
      </c>
      <c r="D101" s="13" t="str" cm="1">
        <f t="array" ref="D101">_xlfn.XLOOKUP(F101 &amp; G101,Export!P:P &amp; Export!H:H,Export!C:C)</f>
        <v>50</v>
      </c>
      <c r="E101" s="13" t="s">
        <v>569</v>
      </c>
      <c r="F101" s="13" t="s">
        <v>511</v>
      </c>
      <c r="G101" s="14">
        <v>46090</v>
      </c>
      <c r="H101" s="13" t="s">
        <v>180</v>
      </c>
      <c r="I101" s="13">
        <v>6</v>
      </c>
      <c r="J101" s="7"/>
      <c r="K101" s="7"/>
      <c r="N101" t="e">
        <f t="shared" si="3"/>
        <v>#N/A</v>
      </c>
    </row>
    <row r="102" spans="1:14">
      <c r="A102" s="13" t="s">
        <v>372</v>
      </c>
      <c r="B102" s="13" t="s">
        <v>372</v>
      </c>
      <c r="C102" s="13" t="e" cm="1">
        <f t="array" ref="C102">_xlfn.XLOOKUP('27.04'!F34 &amp; G102,Export!P:P &amp; Export!H:H,Export!B:B)</f>
        <v>#N/A</v>
      </c>
      <c r="D102" s="13" t="str" cm="1">
        <f t="array" ref="D102">_xlfn.XLOOKUP(F102 &amp; G102,Export!P:P &amp; Export!H:H,Export!C:C)</f>
        <v>110</v>
      </c>
      <c r="E102" s="13" t="s">
        <v>577</v>
      </c>
      <c r="F102" s="13" t="s">
        <v>513</v>
      </c>
      <c r="G102" s="14">
        <v>46056</v>
      </c>
      <c r="H102" s="13" t="s">
        <v>227</v>
      </c>
      <c r="I102" s="13">
        <v>4</v>
      </c>
      <c r="J102" s="7"/>
      <c r="K102" s="7"/>
      <c r="L102" s="12" t="s">
        <v>98</v>
      </c>
      <c r="M102" s="12" t="s">
        <v>697</v>
      </c>
      <c r="N102" t="e">
        <f t="shared" si="3"/>
        <v>#N/A</v>
      </c>
    </row>
    <row r="103" spans="1:14">
      <c r="A103" s="13" t="s">
        <v>569</v>
      </c>
      <c r="B103" s="13" t="s">
        <v>569</v>
      </c>
      <c r="C103" s="13" t="e" cm="1">
        <f t="array" ref="C103">_xlfn.XLOOKUP('27.04'!F83 &amp; G103,Export!P:P &amp; Export!H:H,Export!B:B)</f>
        <v>#N/A</v>
      </c>
      <c r="D103" s="13" t="str" cm="1">
        <f t="array" ref="D103">_xlfn.XLOOKUP(F103 &amp; G103,Export!P:P &amp; Export!H:H,Export!C:C)</f>
        <v>40</v>
      </c>
      <c r="E103" s="13" t="s">
        <v>569</v>
      </c>
      <c r="F103" s="13" t="s">
        <v>515</v>
      </c>
      <c r="G103" s="14">
        <v>46090</v>
      </c>
      <c r="H103" s="13" t="s">
        <v>180</v>
      </c>
      <c r="I103" s="13">
        <v>6</v>
      </c>
      <c r="J103" s="7"/>
      <c r="K103" s="7"/>
      <c r="L103" s="7"/>
      <c r="M103" s="7"/>
      <c r="N103" t="e">
        <f t="shared" si="3"/>
        <v>#N/A</v>
      </c>
    </row>
    <row r="104" spans="1:14" hidden="1">
      <c r="A104" s="13" t="s">
        <v>521</v>
      </c>
      <c r="B104" s="13" t="s">
        <v>521</v>
      </c>
      <c r="C104" s="13" t="e" cm="1">
        <f t="array" ref="C104">_xlfn.XLOOKUP('27.04'!F46 &amp; G104,Export!P:P &amp; Export!H:H,Export!B:B)</f>
        <v>#N/A</v>
      </c>
      <c r="D104" s="13" t="str" cm="1">
        <f t="array" ref="D104">_xlfn.XLOOKUP(F104 &amp; G104,Export!P:P &amp; Export!H:H,Export!C:C)</f>
        <v>10</v>
      </c>
      <c r="E104" s="13" t="s">
        <v>524</v>
      </c>
      <c r="F104" s="13" t="s">
        <v>517</v>
      </c>
      <c r="G104" s="14">
        <v>45930</v>
      </c>
      <c r="H104" s="13" t="s">
        <v>100</v>
      </c>
      <c r="I104" s="13">
        <v>1</v>
      </c>
      <c r="J104" s="7" t="s">
        <v>694</v>
      </c>
      <c r="K104" s="7" t="s">
        <v>694</v>
      </c>
      <c r="N104" t="e">
        <f t="shared" si="3"/>
        <v>#N/A</v>
      </c>
    </row>
    <row r="105" spans="1:14" hidden="1">
      <c r="A105" s="13" t="s">
        <v>569</v>
      </c>
      <c r="B105" s="13" t="s">
        <v>372</v>
      </c>
      <c r="C105" s="13" t="e" cm="1">
        <f t="array" ref="C105">_xlfn.XLOOKUP('27.04'!F76 &amp; G105,Export!P:P &amp; Export!H:H,Export!B:B)</f>
        <v>#N/A</v>
      </c>
      <c r="D105" s="13" t="str" cm="1">
        <f t="array" ref="D105">_xlfn.XLOOKUP(F105 &amp; G105,Export!P:P &amp; Export!H:H,Export!C:C)</f>
        <v>250</v>
      </c>
      <c r="E105" s="13" t="s">
        <v>569</v>
      </c>
      <c r="F105" s="13" t="s">
        <v>527</v>
      </c>
      <c r="G105" s="14">
        <v>46056</v>
      </c>
      <c r="H105" s="13" t="s">
        <v>203</v>
      </c>
      <c r="I105" s="13">
        <v>7</v>
      </c>
      <c r="J105" s="7"/>
      <c r="K105" s="7"/>
      <c r="N105" t="e">
        <f t="shared" si="3"/>
        <v>#N/A</v>
      </c>
    </row>
    <row r="106" spans="1:14" hidden="1">
      <c r="A106" s="13" t="s">
        <v>569</v>
      </c>
      <c r="B106" s="13" t="s">
        <v>372</v>
      </c>
      <c r="C106" s="13" t="e" cm="1">
        <f t="array" ref="C106">_xlfn.XLOOKUP('27.04'!F80 &amp; G106,Export!P:P &amp; Export!H:H,Export!B:B)</f>
        <v>#N/A</v>
      </c>
      <c r="D106" s="13" t="str" cm="1">
        <f t="array" ref="D106">_xlfn.XLOOKUP(F106 &amp; G106,Export!P:P &amp; Export!H:H,Export!C:C)</f>
        <v>180</v>
      </c>
      <c r="E106" s="13" t="s">
        <v>569</v>
      </c>
      <c r="F106" s="13" t="s">
        <v>527</v>
      </c>
      <c r="G106" s="14">
        <v>46073</v>
      </c>
      <c r="H106" s="13" t="s">
        <v>203</v>
      </c>
      <c r="I106" s="13">
        <v>7</v>
      </c>
      <c r="J106" s="7"/>
      <c r="K106" s="7"/>
      <c r="N106" t="e">
        <f t="shared" si="3"/>
        <v>#N/A</v>
      </c>
    </row>
    <row r="107" spans="1:14" hidden="1">
      <c r="A107" s="13" t="s">
        <v>293</v>
      </c>
      <c r="B107" s="13" t="s">
        <v>293</v>
      </c>
      <c r="C107" s="13" t="e" cm="1">
        <f t="array" ref="C107">_xlfn.XLOOKUP('27.04'!F19 &amp; G107,Export!P:P &amp; Export!H:H,Export!B:B)</f>
        <v>#N/A</v>
      </c>
      <c r="D107" s="13" t="str" cm="1">
        <f t="array" ref="D107">_xlfn.XLOOKUP(F107 &amp; G107,Export!P:P &amp; Export!H:H,Export!C:C)</f>
        <v>10</v>
      </c>
      <c r="E107" s="13" t="s">
        <v>533</v>
      </c>
      <c r="F107" s="13" t="s">
        <v>531</v>
      </c>
      <c r="G107" s="14">
        <v>45904</v>
      </c>
      <c r="H107" s="13" t="s">
        <v>100</v>
      </c>
      <c r="I107" s="13">
        <v>10</v>
      </c>
      <c r="J107" s="7" t="s">
        <v>694</v>
      </c>
      <c r="K107" s="7" t="s">
        <v>694</v>
      </c>
      <c r="N107" t="e">
        <f t="shared" si="3"/>
        <v>#N/A</v>
      </c>
    </row>
    <row r="108" spans="1:14" hidden="1">
      <c r="A108" s="13" t="s">
        <v>569</v>
      </c>
      <c r="B108" s="13" t="s">
        <v>372</v>
      </c>
      <c r="C108" s="13" t="e" cm="1">
        <f t="array" ref="C108">_xlfn.XLOOKUP('27.04'!F74 &amp; G108,Export!P:P &amp; Export!H:H,Export!B:B)</f>
        <v>#N/A</v>
      </c>
      <c r="D108" s="13" t="str" cm="1">
        <f t="array" ref="D108">_xlfn.XLOOKUP(F108 &amp; G108,Export!P:P &amp; Export!H:H,Export!C:C)</f>
        <v>230</v>
      </c>
      <c r="E108" s="13" t="s">
        <v>569</v>
      </c>
      <c r="F108" s="13" t="s">
        <v>531</v>
      </c>
      <c r="G108" s="14">
        <v>46056</v>
      </c>
      <c r="H108" s="13" t="s">
        <v>203</v>
      </c>
      <c r="I108" s="13">
        <v>10</v>
      </c>
      <c r="J108" s="7"/>
      <c r="K108" s="7"/>
      <c r="N108" t="e">
        <f t="shared" si="3"/>
        <v>#N/A</v>
      </c>
    </row>
    <row r="109" spans="1:14" hidden="1">
      <c r="A109" s="13" t="s">
        <v>569</v>
      </c>
      <c r="B109" s="13" t="s">
        <v>372</v>
      </c>
      <c r="C109" s="13" t="e" cm="1">
        <f t="array" ref="C109">_xlfn.XLOOKUP('27.04'!F78 &amp; G109,Export!P:P &amp; Export!H:H,Export!B:B)</f>
        <v>#N/A</v>
      </c>
      <c r="D109" s="13" t="str" cm="1">
        <f t="array" ref="D109">_xlfn.XLOOKUP(F109 &amp; G109,Export!P:P &amp; Export!H:H,Export!C:C)</f>
        <v>160</v>
      </c>
      <c r="E109" s="13" t="s">
        <v>569</v>
      </c>
      <c r="F109" s="13" t="s">
        <v>531</v>
      </c>
      <c r="G109" s="14">
        <v>46073</v>
      </c>
      <c r="H109" s="13" t="s">
        <v>203</v>
      </c>
      <c r="I109" s="13">
        <v>20</v>
      </c>
      <c r="J109" s="7"/>
      <c r="K109" s="7"/>
      <c r="N109" t="e">
        <f t="shared" si="3"/>
        <v>#N/A</v>
      </c>
    </row>
    <row r="110" spans="1:14" hidden="1">
      <c r="A110" s="13" t="s">
        <v>293</v>
      </c>
      <c r="B110" s="13" t="s">
        <v>293</v>
      </c>
      <c r="C110" s="13" t="e" cm="1">
        <f t="array" ref="C110">_xlfn.XLOOKUP('27.04'!F20 &amp; G110,Export!P:P &amp; Export!H:H,Export!B:B)</f>
        <v>#N/A</v>
      </c>
      <c r="D110" s="13" t="str" cm="1">
        <f t="array" ref="D110">_xlfn.XLOOKUP(F110 &amp; G110,Export!P:P &amp; Export!H:H,Export!C:C)</f>
        <v>20</v>
      </c>
      <c r="E110" s="13" t="s">
        <v>533</v>
      </c>
      <c r="F110" s="13" t="s">
        <v>535</v>
      </c>
      <c r="G110" s="14">
        <v>45904</v>
      </c>
      <c r="H110" s="13" t="s">
        <v>100</v>
      </c>
      <c r="I110" s="13">
        <v>10</v>
      </c>
      <c r="J110" s="7" t="s">
        <v>694</v>
      </c>
      <c r="K110" s="7" t="s">
        <v>694</v>
      </c>
      <c r="N110" t="e">
        <f t="shared" si="3"/>
        <v>#N/A</v>
      </c>
    </row>
    <row r="111" spans="1:14" hidden="1">
      <c r="A111" s="13" t="s">
        <v>569</v>
      </c>
      <c r="B111" s="13" t="s">
        <v>372</v>
      </c>
      <c r="C111" s="13" t="e" cm="1">
        <f t="array" ref="C111">_xlfn.XLOOKUP('27.04'!F75 &amp; G111,Export!P:P &amp; Export!H:H,Export!B:B)</f>
        <v>#N/A</v>
      </c>
      <c r="D111" s="13" t="str" cm="1">
        <f t="array" ref="D111">_xlfn.XLOOKUP(F111 &amp; G111,Export!P:P &amp; Export!H:H,Export!C:C)</f>
        <v>240</v>
      </c>
      <c r="E111" s="13" t="s">
        <v>569</v>
      </c>
      <c r="F111" s="13" t="s">
        <v>535</v>
      </c>
      <c r="G111" s="14">
        <v>46056</v>
      </c>
      <c r="H111" s="13" t="s">
        <v>203</v>
      </c>
      <c r="I111" s="13">
        <v>10</v>
      </c>
      <c r="J111" s="7"/>
      <c r="K111" s="7"/>
      <c r="N111" t="e">
        <f t="shared" si="3"/>
        <v>#N/A</v>
      </c>
    </row>
    <row r="112" spans="1:14" hidden="1">
      <c r="A112" s="13" t="s">
        <v>569</v>
      </c>
      <c r="B112" s="13" t="s">
        <v>372</v>
      </c>
      <c r="C112" s="13" t="e" cm="1">
        <f t="array" ref="C112">_xlfn.XLOOKUP('27.04'!F79 &amp; G112,Export!P:P &amp; Export!H:H,Export!B:B)</f>
        <v>#N/A</v>
      </c>
      <c r="D112" s="13" t="str" cm="1">
        <f t="array" ref="D112">_xlfn.XLOOKUP(F112 &amp; G112,Export!P:P &amp; Export!H:H,Export!C:C)</f>
        <v>170</v>
      </c>
      <c r="E112" s="13" t="s">
        <v>569</v>
      </c>
      <c r="F112" s="13" t="s">
        <v>535</v>
      </c>
      <c r="G112" s="14">
        <v>46073</v>
      </c>
      <c r="H112" s="13" t="s">
        <v>203</v>
      </c>
      <c r="I112" s="13">
        <v>20</v>
      </c>
      <c r="J112" s="7"/>
      <c r="K112" s="7"/>
      <c r="N112" t="e">
        <f t="shared" si="3"/>
        <v>#N/A</v>
      </c>
    </row>
    <row r="113" spans="1:14" hidden="1">
      <c r="A113" s="13" t="s">
        <v>569</v>
      </c>
      <c r="B113" s="13" t="s">
        <v>372</v>
      </c>
      <c r="C113" s="13" t="e" cm="1">
        <f t="array" ref="C113">_xlfn.XLOOKUP('27.04'!F77 &amp; G113,Export!P:P &amp; Export!H:H,Export!B:B)</f>
        <v>#N/A</v>
      </c>
      <c r="D113" s="13" t="str" cm="1">
        <f t="array" ref="D113">_xlfn.XLOOKUP(F113 &amp; G113,Export!P:P &amp; Export!H:H,Export!C:C)</f>
        <v>260</v>
      </c>
      <c r="E113" s="13" t="s">
        <v>569</v>
      </c>
      <c r="F113" s="13" t="s">
        <v>539</v>
      </c>
      <c r="G113" s="14">
        <v>46056</v>
      </c>
      <c r="H113" s="13" t="s">
        <v>203</v>
      </c>
      <c r="I113" s="13">
        <v>5</v>
      </c>
      <c r="J113" s="7"/>
      <c r="K113" s="7"/>
      <c r="N113" t="e">
        <f t="shared" si="3"/>
        <v>#N/A</v>
      </c>
    </row>
    <row r="114" spans="1:14" hidden="1">
      <c r="A114" s="13" t="s">
        <v>569</v>
      </c>
      <c r="B114" s="13" t="s">
        <v>232</v>
      </c>
      <c r="C114" s="13" t="e" cm="1">
        <f t="array" ref="C114">_xlfn.XLOOKUP('27.04'!F73 &amp; G114,Export!P:P &amp; Export!H:H,Export!B:B)</f>
        <v>#N/A</v>
      </c>
      <c r="D114" s="13" t="str" cm="1">
        <f t="array" ref="D114">_xlfn.XLOOKUP(F114 &amp; G114,Export!P:P &amp; Export!H:H,Export!C:C)</f>
        <v>10</v>
      </c>
      <c r="E114" s="13" t="s">
        <v>569</v>
      </c>
      <c r="F114" s="13" t="s">
        <v>541</v>
      </c>
      <c r="G114" s="14">
        <v>46090</v>
      </c>
      <c r="H114" s="13" t="s">
        <v>203</v>
      </c>
      <c r="I114" s="13">
        <v>4</v>
      </c>
      <c r="J114" s="7"/>
      <c r="K114" s="7"/>
      <c r="N114" t="e">
        <f t="shared" si="3"/>
        <v>#N/A</v>
      </c>
    </row>
    <row r="115" spans="1:14" hidden="1">
      <c r="A115" s="13" t="s">
        <v>188</v>
      </c>
      <c r="B115" s="13" t="s">
        <v>569</v>
      </c>
      <c r="C115" s="13" t="e" cm="1">
        <f t="array" ref="C115">_xlfn.XLOOKUP('27.04'!F11 &amp; G115,Export!P:P &amp; Export!H:H,Export!B:B)</f>
        <v>#N/A</v>
      </c>
      <c r="D115" s="13" t="str" cm="1">
        <f t="array" ref="D115">_xlfn.XLOOKUP(F115 &amp; G115,Export!P:P &amp; Export!H:H,Export!C:C)</f>
        <v>60</v>
      </c>
      <c r="E115" s="13" t="s">
        <v>546</v>
      </c>
      <c r="F115" s="13" t="s">
        <v>543</v>
      </c>
      <c r="G115" s="14">
        <v>46045</v>
      </c>
      <c r="H115" s="13" t="s">
        <v>100</v>
      </c>
      <c r="I115" s="13">
        <v>5</v>
      </c>
      <c r="J115" s="7" t="s">
        <v>694</v>
      </c>
      <c r="K115" s="7" t="s">
        <v>694</v>
      </c>
      <c r="N115" t="e">
        <f t="shared" si="3"/>
        <v>#N/A</v>
      </c>
    </row>
    <row r="116" spans="1:14" hidden="1">
      <c r="A116" s="13" t="s">
        <v>569</v>
      </c>
      <c r="B116" s="13" t="s">
        <v>569</v>
      </c>
      <c r="C116" s="13" t="str" cm="1">
        <f t="array" ref="C116">_xlfn.XLOOKUP('27.04'!F118 &amp; G116,Export!P:P &amp; Export!H:H,Export!B:B)</f>
        <v>16407867</v>
      </c>
      <c r="D116" s="13" t="str" cm="1">
        <f t="array" ref="D116">_xlfn.XLOOKUP(F116 &amp; G116,Export!P:P &amp; Export!H:H,Export!C:C)</f>
        <v>40</v>
      </c>
      <c r="E116" s="13" t="s">
        <v>569</v>
      </c>
      <c r="F116" s="13" t="s">
        <v>549</v>
      </c>
      <c r="G116" s="14">
        <v>45940</v>
      </c>
      <c r="H116" s="13" t="s">
        <v>550</v>
      </c>
      <c r="I116" s="13">
        <v>6</v>
      </c>
      <c r="J116" s="7"/>
      <c r="K116" s="7"/>
      <c r="N116" t="str">
        <f t="shared" si="3"/>
        <v>1640786740</v>
      </c>
    </row>
    <row r="117" spans="1:14" hidden="1">
      <c r="A117" s="13" t="s">
        <v>126</v>
      </c>
      <c r="B117" s="13" t="s">
        <v>569</v>
      </c>
      <c r="C117" s="13" t="e" cm="1">
        <f t="array" ref="C117">_xlfn.XLOOKUP('27.04'!F58 &amp; G117,Export!P:P &amp; Export!H:H,Export!B:B)</f>
        <v>#N/A</v>
      </c>
      <c r="D117" s="13" t="str" cm="1">
        <f t="array" ref="D117">_xlfn.XLOOKUP(F117 &amp; G117,Export!P:P &amp; Export!H:H,Export!C:C)</f>
        <v>50</v>
      </c>
      <c r="E117" s="13" t="s">
        <v>561</v>
      </c>
      <c r="F117" s="13" t="s">
        <v>552</v>
      </c>
      <c r="G117" s="14">
        <v>45940</v>
      </c>
      <c r="H117" s="13" t="s">
        <v>100</v>
      </c>
      <c r="I117" s="13">
        <v>4</v>
      </c>
      <c r="J117" s="7"/>
      <c r="K117" s="7"/>
      <c r="N117" t="e">
        <f t="shared" si="3"/>
        <v>#N/A</v>
      </c>
    </row>
    <row r="118" spans="1:14" hidden="1">
      <c r="A118" s="13" t="s">
        <v>569</v>
      </c>
      <c r="B118" s="13" t="s">
        <v>569</v>
      </c>
      <c r="C118" s="13" t="str" cm="1">
        <f t="array" ref="C118">_xlfn.XLOOKUP('27.04'!F116 &amp; G118,Export!P:P &amp; Export!H:H,Export!B:B)</f>
        <v>16407867</v>
      </c>
      <c r="D118" s="13" t="str" cm="1">
        <f t="array" ref="D118">_xlfn.XLOOKUP(F118 &amp; G118,Export!P:P &amp; Export!H:H,Export!C:C)</f>
        <v>10</v>
      </c>
      <c r="E118" s="13" t="s">
        <v>569</v>
      </c>
      <c r="F118" s="13" t="s">
        <v>563</v>
      </c>
      <c r="G118" s="14">
        <v>45940</v>
      </c>
      <c r="H118" s="13" t="s">
        <v>550</v>
      </c>
      <c r="I118" s="13">
        <v>10</v>
      </c>
      <c r="J118" s="7"/>
      <c r="K118" s="7"/>
      <c r="N118" t="str">
        <f t="shared" si="3"/>
        <v>1640786710</v>
      </c>
    </row>
    <row r="119" spans="1:14" hidden="1">
      <c r="A119" s="13" t="s">
        <v>569</v>
      </c>
      <c r="B119" s="13" t="s">
        <v>569</v>
      </c>
      <c r="C119" s="13" t="e" cm="1">
        <f t="array" ref="C119">_xlfn.XLOOKUP('27.04'!F113 &amp; G119,Export!P:P &amp; Export!H:H,Export!B:B)</f>
        <v>#N/A</v>
      </c>
      <c r="D119" s="13" t="str" cm="1">
        <f t="array" ref="D119">_xlfn.XLOOKUP(F119 &amp; G119,Export!P:P &amp; Export!H:H,Export!C:C)</f>
        <v>30</v>
      </c>
      <c r="E119" s="13" t="s">
        <v>569</v>
      </c>
      <c r="F119" s="13" t="s">
        <v>565</v>
      </c>
      <c r="G119" s="14">
        <v>45940</v>
      </c>
      <c r="H119" s="13" t="s">
        <v>176</v>
      </c>
      <c r="I119" s="13">
        <v>2</v>
      </c>
      <c r="J119" s="7"/>
      <c r="K119" s="7"/>
      <c r="N119" t="e">
        <f t="shared" si="3"/>
        <v>#N/A</v>
      </c>
    </row>
    <row r="120" spans="1:14" hidden="1">
      <c r="A120" s="13" t="s">
        <v>569</v>
      </c>
      <c r="B120" s="13" t="s">
        <v>569</v>
      </c>
      <c r="C120" s="13" t="str" cm="1">
        <f t="array" ref="C120">_xlfn.XLOOKUP('27.04'!F117 &amp; G120,Export!P:P &amp; Export!H:H,Export!B:B)</f>
        <v>16407867</v>
      </c>
      <c r="D120" s="13" t="str" cm="1">
        <f t="array" ref="D120">_xlfn.XLOOKUP(F120 &amp; G120,Export!P:P &amp; Export!H:H,Export!C:C)</f>
        <v>20</v>
      </c>
      <c r="E120" s="13" t="s">
        <v>569</v>
      </c>
      <c r="F120" s="13" t="s">
        <v>567</v>
      </c>
      <c r="G120" s="14">
        <v>45940</v>
      </c>
      <c r="H120" s="13" t="s">
        <v>550</v>
      </c>
      <c r="I120" s="13">
        <v>10</v>
      </c>
      <c r="J120" s="7"/>
      <c r="K120" s="7"/>
      <c r="N120" t="str">
        <f t="shared" si="3"/>
        <v>1640786720</v>
      </c>
    </row>
    <row r="121" spans="1:14">
      <c r="A121" s="13"/>
    </row>
  </sheetData>
  <autoFilter ref="A1:N120" xr:uid="{D48B0C41-E118-41F8-AE17-71D6A75926A3}">
    <filterColumn colId="5">
      <filters>
        <filter val="ROLAMENTO ESF RIG 6202-2ZC3 SKF"/>
        <filter val="ROLAMENTO ESF RIG 6203Z SKF"/>
        <filter val="ROLAMENTO ESF RIG 6203ZZ B EEMS NSK"/>
        <filter val="ROLAMENTO ESF RIG 6204-2Z SKF"/>
        <filter val="ROLAMENTO ESF RIG 6206 SKF"/>
        <filter val="ROLAMENTO ESF RIG 6207-2Z/C3 SKF"/>
        <filter val="ROLAMENTO ESF RIG 6208-2Z SKF"/>
        <filter val="ROLAMENTO ESF RIG 6209 ZZ C3 SKF"/>
        <filter val="ROLAMENTO ESF RIG 6211ZC3 SKF"/>
        <filter val="ROLAMENTO ESF RIG 6212C3 SKF"/>
        <filter val="ROLAMENTO ESF RIG 6213ZC3 NSK"/>
        <filter val="ROLAMENTO ESF RIG 6307-2Z SKF"/>
        <filter val="ROLAMENTO ESF RIG 6309-2Z/C3 SKF"/>
        <filter val="ROLAMENTO ESF RIG 6310-2Z/C3 SKF"/>
        <filter val="ROLAMENTO ESF RIG 6311ZZC3 FAG"/>
        <filter val="ROLAMENTO ESF RIG 6312-ZZ SKF"/>
        <filter val="ROLAMENTO ESF RIG 6314 Z C3"/>
        <filter val="ROLAMENTO RIG ESF RAD 6411 C3"/>
      </filters>
    </filterColumn>
    <sortState xmlns:xlrd2="http://schemas.microsoft.com/office/spreadsheetml/2017/richdata2" ref="A2:N120">
      <sortCondition ref="F1:F120"/>
    </sortState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A011-B01E-480E-B3B9-EB6EACD09EBB}">
  <dimension ref="A1:N163"/>
  <sheetViews>
    <sheetView topLeftCell="D1" workbookViewId="0">
      <pane ySplit="1" topLeftCell="A2" activePane="bottomLeft" state="frozen"/>
      <selection activeCell="B1" sqref="B1"/>
      <selection pane="bottomLeft" activeCell="N2" sqref="N2"/>
    </sheetView>
  </sheetViews>
  <sheetFormatPr defaultRowHeight="15"/>
  <cols>
    <col min="1" max="1" width="18.28515625" bestFit="1" customWidth="1"/>
    <col min="2" max="2" width="19.28515625" bestFit="1" customWidth="1"/>
    <col min="3" max="3" width="11" bestFit="1" customWidth="1"/>
    <col min="4" max="4" width="8.28515625" bestFit="1" customWidth="1"/>
    <col min="5" max="5" width="11" bestFit="1" customWidth="1"/>
    <col min="6" max="6" width="43.5703125" bestFit="1" customWidth="1"/>
    <col min="7" max="7" width="13.7109375" bestFit="1" customWidth="1"/>
    <col min="8" max="8" width="26.85546875" bestFit="1" customWidth="1"/>
    <col min="9" max="9" width="8.5703125" bestFit="1" customWidth="1"/>
    <col min="10" max="10" width="11.85546875" bestFit="1" customWidth="1"/>
    <col min="11" max="11" width="12.85546875" bestFit="1" customWidth="1"/>
    <col min="12" max="12" width="18.42578125" bestFit="1" customWidth="1"/>
    <col min="13" max="13" width="62.140625" bestFit="1" customWidth="1"/>
    <col min="14" max="14" width="13.140625" bestFit="1" customWidth="1"/>
  </cols>
  <sheetData>
    <row r="1" spans="1:14">
      <c r="A1" s="8" t="s">
        <v>568</v>
      </c>
      <c r="B1" s="8" t="s">
        <v>32</v>
      </c>
      <c r="C1" s="8" t="s">
        <v>1</v>
      </c>
      <c r="D1" s="8" t="s">
        <v>2</v>
      </c>
      <c r="E1" s="8" t="s">
        <v>47</v>
      </c>
      <c r="F1" s="8" t="s">
        <v>15</v>
      </c>
      <c r="G1" s="8" t="s">
        <v>7</v>
      </c>
      <c r="H1" s="8" t="s">
        <v>66</v>
      </c>
      <c r="I1" s="8" t="s">
        <v>16</v>
      </c>
      <c r="J1" s="10" t="s">
        <v>692</v>
      </c>
      <c r="K1" s="10" t="s">
        <v>693</v>
      </c>
      <c r="L1" s="10" t="s">
        <v>572</v>
      </c>
      <c r="M1" s="10" t="s">
        <v>571</v>
      </c>
      <c r="N1" s="16" t="s">
        <v>699</v>
      </c>
    </row>
    <row r="2" spans="1:14">
      <c r="A2" s="7" t="s">
        <v>136</v>
      </c>
      <c r="B2" s="7" t="s">
        <v>136</v>
      </c>
      <c r="C2" s="7" t="s">
        <v>127</v>
      </c>
      <c r="D2" s="7" t="s">
        <v>128</v>
      </c>
      <c r="E2" s="7" t="s">
        <v>139</v>
      </c>
      <c r="F2" s="7" t="s">
        <v>131</v>
      </c>
      <c r="G2" s="9">
        <v>45659</v>
      </c>
      <c r="H2" s="7" t="s">
        <v>100</v>
      </c>
      <c r="I2" s="7">
        <v>2</v>
      </c>
      <c r="J2" s="7" t="s">
        <v>694</v>
      </c>
      <c r="K2" s="7" t="s">
        <v>694</v>
      </c>
      <c r="L2" s="7"/>
      <c r="N2" t="str">
        <f t="shared" ref="N2:N33" si="0">C2&amp;D2</f>
        <v>163621992130</v>
      </c>
    </row>
    <row r="3" spans="1:14">
      <c r="A3" s="7" t="s">
        <v>136</v>
      </c>
      <c r="B3" s="7" t="s">
        <v>136</v>
      </c>
      <c r="C3" s="7" t="s">
        <v>127</v>
      </c>
      <c r="D3" s="7" t="s">
        <v>141</v>
      </c>
      <c r="E3" s="7" t="s">
        <v>139</v>
      </c>
      <c r="F3" s="7" t="s">
        <v>131</v>
      </c>
      <c r="G3" s="9">
        <v>45659</v>
      </c>
      <c r="H3" s="7" t="s">
        <v>100</v>
      </c>
      <c r="I3" s="7">
        <v>2</v>
      </c>
      <c r="J3" s="7" t="s">
        <v>694</v>
      </c>
      <c r="K3" s="7" t="s">
        <v>694</v>
      </c>
      <c r="L3" s="7"/>
      <c r="N3" t="str">
        <f t="shared" si="0"/>
        <v>16362199500</v>
      </c>
    </row>
    <row r="4" spans="1:14">
      <c r="A4" s="7" t="s">
        <v>159</v>
      </c>
      <c r="B4" s="7" t="s">
        <v>159</v>
      </c>
      <c r="C4" s="7" t="s">
        <v>153</v>
      </c>
      <c r="D4" s="7" t="s">
        <v>109</v>
      </c>
      <c r="E4" s="7" t="s">
        <v>162</v>
      </c>
      <c r="F4" s="7" t="s">
        <v>155</v>
      </c>
      <c r="G4" s="9">
        <v>45754</v>
      </c>
      <c r="H4" s="7" t="s">
        <v>111</v>
      </c>
      <c r="I4" s="7">
        <v>4</v>
      </c>
      <c r="J4" s="7"/>
      <c r="K4" s="7"/>
      <c r="L4" s="7"/>
      <c r="N4" t="str">
        <f t="shared" si="0"/>
        <v>1637822110</v>
      </c>
    </row>
    <row r="5" spans="1:14">
      <c r="A5" s="7" t="s">
        <v>223</v>
      </c>
      <c r="B5" s="7" t="s">
        <v>223</v>
      </c>
      <c r="C5" s="7" t="s">
        <v>315</v>
      </c>
      <c r="D5" s="7" t="s">
        <v>109</v>
      </c>
      <c r="E5" s="7" t="s">
        <v>321</v>
      </c>
      <c r="F5" s="7" t="s">
        <v>317</v>
      </c>
      <c r="G5" s="9">
        <v>45855</v>
      </c>
      <c r="H5" s="7" t="s">
        <v>100</v>
      </c>
      <c r="I5" s="7">
        <v>2</v>
      </c>
      <c r="J5" s="7" t="s">
        <v>694</v>
      </c>
      <c r="K5" s="7" t="s">
        <v>694</v>
      </c>
      <c r="L5" s="7"/>
      <c r="N5" t="str">
        <f t="shared" si="0"/>
        <v>1639407110</v>
      </c>
    </row>
    <row r="6" spans="1:14">
      <c r="A6" s="7" t="s">
        <v>569</v>
      </c>
      <c r="B6" s="7" t="s">
        <v>569</v>
      </c>
      <c r="C6" s="7" t="s">
        <v>172</v>
      </c>
      <c r="D6" s="7" t="s">
        <v>109</v>
      </c>
      <c r="E6" s="7" t="s">
        <v>569</v>
      </c>
      <c r="F6" s="7" t="s">
        <v>174</v>
      </c>
      <c r="G6" s="9">
        <v>45855</v>
      </c>
      <c r="H6" s="7" t="s">
        <v>176</v>
      </c>
      <c r="I6" s="7">
        <v>10</v>
      </c>
      <c r="J6" s="11" t="s">
        <v>701</v>
      </c>
      <c r="K6" s="11" t="s">
        <v>701</v>
      </c>
      <c r="L6" s="7"/>
      <c r="M6" s="7" t="s">
        <v>702</v>
      </c>
      <c r="N6" t="str">
        <f t="shared" si="0"/>
        <v>1639407510</v>
      </c>
    </row>
    <row r="7" spans="1:14">
      <c r="A7" s="7" t="s">
        <v>223</v>
      </c>
      <c r="B7" s="7" t="s">
        <v>223</v>
      </c>
      <c r="C7" s="7" t="s">
        <v>217</v>
      </c>
      <c r="D7" s="7" t="s">
        <v>109</v>
      </c>
      <c r="E7" s="7" t="s">
        <v>226</v>
      </c>
      <c r="F7" s="7" t="s">
        <v>219</v>
      </c>
      <c r="G7" s="9">
        <v>45902</v>
      </c>
      <c r="H7" s="7" t="s">
        <v>227</v>
      </c>
      <c r="I7" s="7">
        <v>3</v>
      </c>
      <c r="J7" s="7" t="s">
        <v>694</v>
      </c>
      <c r="K7" s="11" t="s">
        <v>701</v>
      </c>
      <c r="L7" s="7"/>
      <c r="N7" t="str">
        <f t="shared" si="0"/>
        <v>1640151010</v>
      </c>
    </row>
    <row r="8" spans="1:14">
      <c r="A8" s="7" t="s">
        <v>569</v>
      </c>
      <c r="B8" s="7" t="s">
        <v>569</v>
      </c>
      <c r="C8" s="7" t="s">
        <v>217</v>
      </c>
      <c r="D8" s="7" t="s">
        <v>69</v>
      </c>
      <c r="E8" s="7" t="s">
        <v>569</v>
      </c>
      <c r="F8" s="7" t="s">
        <v>247</v>
      </c>
      <c r="G8" s="9">
        <v>45902</v>
      </c>
      <c r="H8" s="7" t="s">
        <v>176</v>
      </c>
      <c r="I8" s="7">
        <v>30</v>
      </c>
      <c r="J8" s="11" t="s">
        <v>701</v>
      </c>
      <c r="K8" s="11" t="s">
        <v>701</v>
      </c>
      <c r="L8" s="7"/>
      <c r="M8" s="7" t="s">
        <v>702</v>
      </c>
      <c r="N8" t="str">
        <f t="shared" si="0"/>
        <v>1640151020</v>
      </c>
    </row>
    <row r="9" spans="1:14">
      <c r="A9" s="7" t="s">
        <v>569</v>
      </c>
      <c r="B9" s="7" t="s">
        <v>569</v>
      </c>
      <c r="C9" s="7" t="s">
        <v>217</v>
      </c>
      <c r="D9" s="7" t="s">
        <v>262</v>
      </c>
      <c r="E9" s="7" t="s">
        <v>569</v>
      </c>
      <c r="F9" s="7" t="s">
        <v>353</v>
      </c>
      <c r="G9" s="9">
        <v>45902</v>
      </c>
      <c r="H9" s="7" t="s">
        <v>176</v>
      </c>
      <c r="I9" s="7">
        <v>1</v>
      </c>
      <c r="J9" s="11" t="s">
        <v>701</v>
      </c>
      <c r="K9" s="11" t="s">
        <v>701</v>
      </c>
      <c r="L9" s="7"/>
      <c r="M9" s="7" t="s">
        <v>702</v>
      </c>
      <c r="N9" t="str">
        <f t="shared" si="0"/>
        <v>1640151050</v>
      </c>
    </row>
    <row r="10" spans="1:14">
      <c r="A10" s="7" t="s">
        <v>569</v>
      </c>
      <c r="B10" s="7" t="s">
        <v>569</v>
      </c>
      <c r="C10" s="7" t="s">
        <v>217</v>
      </c>
      <c r="D10" s="7" t="s">
        <v>259</v>
      </c>
      <c r="E10" s="7" t="s">
        <v>569</v>
      </c>
      <c r="F10" s="7" t="s">
        <v>355</v>
      </c>
      <c r="G10" s="9">
        <v>45902</v>
      </c>
      <c r="H10" s="7" t="s">
        <v>176</v>
      </c>
      <c r="I10" s="7">
        <v>1</v>
      </c>
      <c r="J10" s="11" t="s">
        <v>701</v>
      </c>
      <c r="K10" s="11" t="s">
        <v>701</v>
      </c>
      <c r="L10" s="17"/>
      <c r="M10" s="7" t="s">
        <v>702</v>
      </c>
      <c r="N10" t="str">
        <f t="shared" si="0"/>
        <v>1640151060</v>
      </c>
    </row>
    <row r="11" spans="1:14">
      <c r="A11" s="7" t="s">
        <v>293</v>
      </c>
      <c r="B11" s="7" t="s">
        <v>293</v>
      </c>
      <c r="C11" s="7" t="s">
        <v>217</v>
      </c>
      <c r="D11" s="7" t="s">
        <v>178</v>
      </c>
      <c r="E11" s="7" t="s">
        <v>494</v>
      </c>
      <c r="F11" s="7" t="s">
        <v>493</v>
      </c>
      <c r="G11" s="9">
        <v>45902</v>
      </c>
      <c r="H11" s="7" t="s">
        <v>227</v>
      </c>
      <c r="I11" s="7">
        <v>6</v>
      </c>
      <c r="J11" s="7"/>
      <c r="K11" s="7"/>
      <c r="L11" s="7"/>
      <c r="N11" t="str">
        <f t="shared" si="0"/>
        <v>1640151040</v>
      </c>
    </row>
    <row r="12" spans="1:14">
      <c r="A12" s="7" t="s">
        <v>293</v>
      </c>
      <c r="B12" s="7" t="s">
        <v>293</v>
      </c>
      <c r="C12" s="7" t="s">
        <v>217</v>
      </c>
      <c r="D12" s="7" t="s">
        <v>143</v>
      </c>
      <c r="E12" s="7" t="s">
        <v>494</v>
      </c>
      <c r="F12" s="7" t="s">
        <v>505</v>
      </c>
      <c r="G12" s="9">
        <v>45902</v>
      </c>
      <c r="H12" s="7" t="s">
        <v>227</v>
      </c>
      <c r="I12" s="7">
        <v>6</v>
      </c>
      <c r="J12" s="7"/>
      <c r="K12" s="7"/>
      <c r="L12" s="7"/>
      <c r="N12" t="str">
        <f t="shared" si="0"/>
        <v>1640151030</v>
      </c>
    </row>
    <row r="13" spans="1:14">
      <c r="A13" s="7" t="s">
        <v>126</v>
      </c>
      <c r="B13" s="7" t="s">
        <v>569</v>
      </c>
      <c r="C13" s="7" t="s">
        <v>307</v>
      </c>
      <c r="D13" s="7" t="s">
        <v>143</v>
      </c>
      <c r="E13" s="7" t="s">
        <v>314</v>
      </c>
      <c r="F13" s="7" t="s">
        <v>309</v>
      </c>
      <c r="G13" s="9">
        <v>45904</v>
      </c>
      <c r="H13" s="7" t="s">
        <v>100</v>
      </c>
      <c r="I13" s="7">
        <v>30</v>
      </c>
      <c r="J13" s="7" t="s">
        <v>694</v>
      </c>
      <c r="K13" s="7" t="s">
        <v>694</v>
      </c>
      <c r="L13" s="7"/>
      <c r="N13" t="str">
        <f t="shared" si="0"/>
        <v>1640186030</v>
      </c>
    </row>
    <row r="14" spans="1:14">
      <c r="A14" s="7" t="s">
        <v>293</v>
      </c>
      <c r="B14" s="7" t="s">
        <v>293</v>
      </c>
      <c r="C14" s="7" t="s">
        <v>307</v>
      </c>
      <c r="D14" s="7" t="s">
        <v>109</v>
      </c>
      <c r="E14" s="7" t="s">
        <v>533</v>
      </c>
      <c r="F14" s="7" t="s">
        <v>531</v>
      </c>
      <c r="G14" s="9">
        <v>45904</v>
      </c>
      <c r="H14" s="7" t="s">
        <v>100</v>
      </c>
      <c r="I14" s="7">
        <v>10</v>
      </c>
      <c r="J14" s="7" t="s">
        <v>694</v>
      </c>
      <c r="K14" s="7" t="s">
        <v>694</v>
      </c>
      <c r="L14" s="7"/>
      <c r="N14" t="str">
        <f t="shared" si="0"/>
        <v>1640186010</v>
      </c>
    </row>
    <row r="15" spans="1:14">
      <c r="A15" s="7" t="s">
        <v>293</v>
      </c>
      <c r="B15" s="7" t="s">
        <v>293</v>
      </c>
      <c r="C15" s="7" t="s">
        <v>307</v>
      </c>
      <c r="D15" s="7" t="s">
        <v>69</v>
      </c>
      <c r="E15" s="7" t="s">
        <v>533</v>
      </c>
      <c r="F15" s="7" t="s">
        <v>535</v>
      </c>
      <c r="G15" s="9">
        <v>45904</v>
      </c>
      <c r="H15" s="7" t="s">
        <v>100</v>
      </c>
      <c r="I15" s="7">
        <v>10</v>
      </c>
      <c r="J15" s="7" t="s">
        <v>694</v>
      </c>
      <c r="K15" s="7" t="s">
        <v>694</v>
      </c>
      <c r="L15" s="7"/>
      <c r="N15" t="str">
        <f t="shared" si="0"/>
        <v>1640186020</v>
      </c>
    </row>
    <row r="16" spans="1:14">
      <c r="A16" s="7" t="s">
        <v>126</v>
      </c>
      <c r="B16" s="7" t="s">
        <v>569</v>
      </c>
      <c r="C16" s="7" t="s">
        <v>144</v>
      </c>
      <c r="D16" s="7" t="s">
        <v>192</v>
      </c>
      <c r="E16" s="7" t="s">
        <v>191</v>
      </c>
      <c r="F16" s="7" t="s">
        <v>194</v>
      </c>
      <c r="G16" s="9">
        <v>45922</v>
      </c>
      <c r="H16" s="7" t="s">
        <v>100</v>
      </c>
      <c r="I16" s="7">
        <v>600</v>
      </c>
      <c r="J16" s="7" t="s">
        <v>694</v>
      </c>
      <c r="K16" s="7" t="s">
        <v>694</v>
      </c>
      <c r="L16" s="7"/>
      <c r="N16" t="str">
        <f t="shared" si="0"/>
        <v>16404745150</v>
      </c>
    </row>
    <row r="17" spans="1:14">
      <c r="A17" s="7" t="s">
        <v>126</v>
      </c>
      <c r="B17" s="7" t="s">
        <v>569</v>
      </c>
      <c r="C17" s="7" t="s">
        <v>144</v>
      </c>
      <c r="D17" s="7" t="s">
        <v>181</v>
      </c>
      <c r="E17" s="7" t="s">
        <v>191</v>
      </c>
      <c r="F17" s="7" t="s">
        <v>183</v>
      </c>
      <c r="G17" s="9">
        <v>45922</v>
      </c>
      <c r="H17" s="7" t="s">
        <v>100</v>
      </c>
      <c r="I17" s="7">
        <v>600</v>
      </c>
      <c r="J17" s="7" t="s">
        <v>694</v>
      </c>
      <c r="K17" s="7" t="s">
        <v>694</v>
      </c>
      <c r="L17" s="7"/>
      <c r="N17" t="str">
        <f t="shared" si="0"/>
        <v>16404745160</v>
      </c>
    </row>
    <row r="18" spans="1:14">
      <c r="A18" s="7" t="s">
        <v>136</v>
      </c>
      <c r="B18" s="7" t="s">
        <v>136</v>
      </c>
      <c r="C18" s="7" t="s">
        <v>144</v>
      </c>
      <c r="D18" s="7" t="s">
        <v>145</v>
      </c>
      <c r="E18" s="7" t="s">
        <v>152</v>
      </c>
      <c r="F18" s="7" t="s">
        <v>147</v>
      </c>
      <c r="G18" s="9">
        <v>45922</v>
      </c>
      <c r="H18" s="7" t="s">
        <v>100</v>
      </c>
      <c r="I18" s="7">
        <v>10</v>
      </c>
      <c r="J18" s="7"/>
      <c r="K18" s="7"/>
      <c r="L18" s="7"/>
      <c r="N18" t="str">
        <f t="shared" si="0"/>
        <v>16404745100</v>
      </c>
    </row>
    <row r="19" spans="1:14">
      <c r="A19" s="7" t="s">
        <v>293</v>
      </c>
      <c r="B19" s="7" t="s">
        <v>293</v>
      </c>
      <c r="C19" s="7" t="s">
        <v>144</v>
      </c>
      <c r="D19" s="7" t="s">
        <v>69</v>
      </c>
      <c r="E19" s="7" t="s">
        <v>482</v>
      </c>
      <c r="F19" s="7" t="s">
        <v>478</v>
      </c>
      <c r="G19" s="9">
        <v>45922</v>
      </c>
      <c r="H19" s="7" t="s">
        <v>483</v>
      </c>
      <c r="I19" s="7">
        <v>3</v>
      </c>
      <c r="J19" s="7"/>
      <c r="K19" s="7"/>
      <c r="L19" s="7"/>
      <c r="N19" t="str">
        <f t="shared" si="0"/>
        <v>1640474520</v>
      </c>
    </row>
    <row r="20" spans="1:14">
      <c r="A20" s="7" t="s">
        <v>293</v>
      </c>
      <c r="B20" s="7" t="s">
        <v>293</v>
      </c>
      <c r="C20" s="7" t="s">
        <v>144</v>
      </c>
      <c r="D20" s="7" t="s">
        <v>346</v>
      </c>
      <c r="E20" s="7" t="s">
        <v>449</v>
      </c>
      <c r="F20" s="7" t="s">
        <v>447</v>
      </c>
      <c r="G20" s="9">
        <v>45922</v>
      </c>
      <c r="H20" s="7" t="s">
        <v>100</v>
      </c>
      <c r="I20" s="7">
        <v>50</v>
      </c>
      <c r="J20" s="7"/>
      <c r="K20" s="7"/>
      <c r="L20" s="7"/>
      <c r="N20" t="str">
        <f t="shared" si="0"/>
        <v>16404745110</v>
      </c>
    </row>
    <row r="21" spans="1:14">
      <c r="A21" s="7" t="s">
        <v>293</v>
      </c>
      <c r="B21" s="7" t="s">
        <v>293</v>
      </c>
      <c r="C21" s="7" t="s">
        <v>144</v>
      </c>
      <c r="D21" s="7" t="s">
        <v>420</v>
      </c>
      <c r="E21" s="7" t="s">
        <v>449</v>
      </c>
      <c r="F21" s="7" t="s">
        <v>451</v>
      </c>
      <c r="G21" s="9">
        <v>45922</v>
      </c>
      <c r="H21" s="7" t="s">
        <v>100</v>
      </c>
      <c r="I21" s="7">
        <v>100</v>
      </c>
      <c r="J21" s="7"/>
      <c r="K21" s="7"/>
      <c r="L21" s="7"/>
      <c r="N21" t="str">
        <f t="shared" si="0"/>
        <v>16404745120</v>
      </c>
    </row>
    <row r="22" spans="1:14">
      <c r="A22" s="7" t="s">
        <v>293</v>
      </c>
      <c r="B22" s="7" t="s">
        <v>293</v>
      </c>
      <c r="C22" s="7" t="s">
        <v>144</v>
      </c>
      <c r="D22" s="7" t="s">
        <v>222</v>
      </c>
      <c r="E22" s="7" t="s">
        <v>449</v>
      </c>
      <c r="F22" s="7" t="s">
        <v>453</v>
      </c>
      <c r="G22" s="9">
        <v>45922</v>
      </c>
      <c r="H22" s="7" t="s">
        <v>100</v>
      </c>
      <c r="I22" s="7">
        <v>100</v>
      </c>
      <c r="J22" s="7"/>
      <c r="K22" s="7"/>
      <c r="L22" s="7"/>
      <c r="N22" t="str">
        <f t="shared" si="0"/>
        <v>16404745130</v>
      </c>
    </row>
    <row r="23" spans="1:14">
      <c r="A23" s="7" t="s">
        <v>293</v>
      </c>
      <c r="B23" s="7" t="s">
        <v>293</v>
      </c>
      <c r="C23" s="7" t="s">
        <v>144</v>
      </c>
      <c r="D23" s="7" t="s">
        <v>284</v>
      </c>
      <c r="E23" s="7" t="s">
        <v>449</v>
      </c>
      <c r="F23" s="7" t="s">
        <v>455</v>
      </c>
      <c r="G23" s="9">
        <v>45922</v>
      </c>
      <c r="H23" s="7" t="s">
        <v>100</v>
      </c>
      <c r="I23" s="7">
        <v>50</v>
      </c>
      <c r="J23" s="7"/>
      <c r="K23" s="7"/>
      <c r="L23" s="7"/>
      <c r="N23" t="str">
        <f t="shared" si="0"/>
        <v>16404745140</v>
      </c>
    </row>
    <row r="24" spans="1:14">
      <c r="A24" s="7" t="s">
        <v>293</v>
      </c>
      <c r="B24" s="7" t="s">
        <v>293</v>
      </c>
      <c r="C24" s="7" t="s">
        <v>144</v>
      </c>
      <c r="D24" s="7" t="s">
        <v>143</v>
      </c>
      <c r="E24" s="7" t="s">
        <v>388</v>
      </c>
      <c r="F24" s="7" t="s">
        <v>392</v>
      </c>
      <c r="G24" s="9">
        <v>45922</v>
      </c>
      <c r="H24" s="7" t="s">
        <v>100</v>
      </c>
      <c r="I24" s="7">
        <v>2</v>
      </c>
      <c r="J24" s="7" t="s">
        <v>694</v>
      </c>
      <c r="K24" s="7" t="s">
        <v>694</v>
      </c>
      <c r="L24" s="7"/>
      <c r="N24" t="str">
        <f t="shared" si="0"/>
        <v>1640474530</v>
      </c>
    </row>
    <row r="25" spans="1:14">
      <c r="A25" s="7" t="s">
        <v>293</v>
      </c>
      <c r="B25" s="7" t="s">
        <v>293</v>
      </c>
      <c r="C25" s="7" t="s">
        <v>144</v>
      </c>
      <c r="D25" s="7" t="s">
        <v>178</v>
      </c>
      <c r="E25" s="7" t="s">
        <v>388</v>
      </c>
      <c r="F25" s="7" t="s">
        <v>390</v>
      </c>
      <c r="G25" s="9">
        <v>45922</v>
      </c>
      <c r="H25" s="7" t="s">
        <v>100</v>
      </c>
      <c r="I25" s="7">
        <v>4</v>
      </c>
      <c r="J25" s="7" t="s">
        <v>694</v>
      </c>
      <c r="K25" s="7" t="s">
        <v>694</v>
      </c>
      <c r="L25" s="7"/>
      <c r="N25" t="str">
        <f t="shared" si="0"/>
        <v>1640474540</v>
      </c>
    </row>
    <row r="26" spans="1:14">
      <c r="A26" s="7" t="s">
        <v>293</v>
      </c>
      <c r="B26" s="7" t="s">
        <v>293</v>
      </c>
      <c r="C26" s="7" t="s">
        <v>144</v>
      </c>
      <c r="D26" s="7" t="s">
        <v>262</v>
      </c>
      <c r="E26" s="7" t="s">
        <v>388</v>
      </c>
      <c r="F26" s="7" t="s">
        <v>386</v>
      </c>
      <c r="G26" s="9">
        <v>45922</v>
      </c>
      <c r="H26" s="7" t="s">
        <v>100</v>
      </c>
      <c r="I26" s="7">
        <v>4</v>
      </c>
      <c r="J26" s="7" t="s">
        <v>694</v>
      </c>
      <c r="K26" s="7" t="s">
        <v>694</v>
      </c>
      <c r="L26" s="7"/>
      <c r="N26" t="str">
        <f t="shared" si="0"/>
        <v>1640474550</v>
      </c>
    </row>
    <row r="27" spans="1:14">
      <c r="A27" s="7" t="s">
        <v>293</v>
      </c>
      <c r="B27" s="7" t="s">
        <v>293</v>
      </c>
      <c r="C27" s="7" t="s">
        <v>144</v>
      </c>
      <c r="D27" s="7" t="s">
        <v>259</v>
      </c>
      <c r="E27" s="7" t="s">
        <v>296</v>
      </c>
      <c r="F27" s="7" t="s">
        <v>289</v>
      </c>
      <c r="G27" s="9">
        <v>45922</v>
      </c>
      <c r="H27" s="7" t="s">
        <v>227</v>
      </c>
      <c r="I27" s="7">
        <v>4</v>
      </c>
      <c r="J27" s="7" t="s">
        <v>694</v>
      </c>
      <c r="K27" s="7" t="s">
        <v>694</v>
      </c>
      <c r="L27" s="7"/>
      <c r="N27" t="str">
        <f t="shared" si="0"/>
        <v>1640474560</v>
      </c>
    </row>
    <row r="28" spans="1:14">
      <c r="A28" s="7" t="s">
        <v>293</v>
      </c>
      <c r="B28" s="7" t="s">
        <v>293</v>
      </c>
      <c r="C28" s="7" t="s">
        <v>144</v>
      </c>
      <c r="D28" s="7" t="s">
        <v>140</v>
      </c>
      <c r="E28" s="7" t="s">
        <v>296</v>
      </c>
      <c r="F28" s="7" t="s">
        <v>300</v>
      </c>
      <c r="G28" s="9">
        <v>45922</v>
      </c>
      <c r="H28" s="7" t="s">
        <v>227</v>
      </c>
      <c r="I28" s="7">
        <v>2</v>
      </c>
      <c r="J28" s="7" t="s">
        <v>694</v>
      </c>
      <c r="K28" s="7" t="s">
        <v>694</v>
      </c>
      <c r="L28" s="7"/>
      <c r="N28" t="str">
        <f t="shared" si="0"/>
        <v>1640474570</v>
      </c>
    </row>
    <row r="29" spans="1:14">
      <c r="A29" s="7" t="s">
        <v>293</v>
      </c>
      <c r="B29" s="7" t="s">
        <v>293</v>
      </c>
      <c r="C29" s="7" t="s">
        <v>144</v>
      </c>
      <c r="D29" s="7" t="s">
        <v>243</v>
      </c>
      <c r="E29" s="7" t="s">
        <v>296</v>
      </c>
      <c r="F29" s="7" t="s">
        <v>298</v>
      </c>
      <c r="G29" s="9">
        <v>45922</v>
      </c>
      <c r="H29" s="7" t="s">
        <v>227</v>
      </c>
      <c r="I29" s="7">
        <v>2</v>
      </c>
      <c r="J29" s="7" t="s">
        <v>694</v>
      </c>
      <c r="K29" s="7" t="s">
        <v>694</v>
      </c>
      <c r="L29" s="7"/>
      <c r="N29" t="str">
        <f t="shared" si="0"/>
        <v>1640474580</v>
      </c>
    </row>
    <row r="30" spans="1:14">
      <c r="A30" s="7" t="s">
        <v>223</v>
      </c>
      <c r="B30" s="7" t="s">
        <v>223</v>
      </c>
      <c r="C30" s="7" t="s">
        <v>144</v>
      </c>
      <c r="D30" s="7" t="s">
        <v>235</v>
      </c>
      <c r="E30" s="7" t="s">
        <v>306</v>
      </c>
      <c r="F30" s="7" t="s">
        <v>302</v>
      </c>
      <c r="G30" s="9">
        <v>45922</v>
      </c>
      <c r="H30" s="7" t="s">
        <v>227</v>
      </c>
      <c r="I30" s="7">
        <v>20</v>
      </c>
      <c r="J30" s="7"/>
      <c r="K30" s="7"/>
      <c r="L30" s="7"/>
      <c r="M30" t="s">
        <v>698</v>
      </c>
      <c r="N30" t="str">
        <f t="shared" si="0"/>
        <v>1640474590</v>
      </c>
    </row>
    <row r="31" spans="1:14">
      <c r="A31" s="7" t="s">
        <v>293</v>
      </c>
      <c r="B31" s="7" t="s">
        <v>293</v>
      </c>
      <c r="C31" s="7" t="s">
        <v>144</v>
      </c>
      <c r="D31" s="7" t="s">
        <v>109</v>
      </c>
      <c r="E31" s="7" t="s">
        <v>482</v>
      </c>
      <c r="F31" s="7" t="s">
        <v>501</v>
      </c>
      <c r="G31" s="9">
        <v>45922</v>
      </c>
      <c r="H31" s="7" t="s">
        <v>483</v>
      </c>
      <c r="I31" s="7">
        <v>6</v>
      </c>
      <c r="J31" s="7"/>
      <c r="K31" s="7"/>
      <c r="L31" s="7"/>
      <c r="N31" t="str">
        <f t="shared" si="0"/>
        <v>1640474510</v>
      </c>
    </row>
    <row r="32" spans="1:14">
      <c r="A32" s="7" t="s">
        <v>171</v>
      </c>
      <c r="B32" s="7" t="s">
        <v>171</v>
      </c>
      <c r="C32" s="7" t="s">
        <v>332</v>
      </c>
      <c r="D32" s="7" t="s">
        <v>69</v>
      </c>
      <c r="E32" s="7" t="s">
        <v>339</v>
      </c>
      <c r="F32" s="7" t="s">
        <v>334</v>
      </c>
      <c r="G32" s="9">
        <v>45930</v>
      </c>
      <c r="H32" s="7" t="s">
        <v>100</v>
      </c>
      <c r="I32" s="7">
        <v>5</v>
      </c>
      <c r="J32" s="7" t="s">
        <v>694</v>
      </c>
      <c r="K32" s="7" t="s">
        <v>694</v>
      </c>
      <c r="L32" s="7"/>
      <c r="N32" t="str">
        <f t="shared" si="0"/>
        <v>1640598920</v>
      </c>
    </row>
    <row r="33" spans="1:14">
      <c r="A33" s="7" t="s">
        <v>521</v>
      </c>
      <c r="B33" s="7" t="s">
        <v>521</v>
      </c>
      <c r="C33" s="7" t="s">
        <v>332</v>
      </c>
      <c r="D33" s="7" t="s">
        <v>109</v>
      </c>
      <c r="E33" s="7" t="s">
        <v>524</v>
      </c>
      <c r="F33" s="7" t="s">
        <v>517</v>
      </c>
      <c r="G33" s="9">
        <v>45930</v>
      </c>
      <c r="H33" s="7" t="s">
        <v>100</v>
      </c>
      <c r="I33" s="7">
        <v>1</v>
      </c>
      <c r="J33" s="7" t="s">
        <v>694</v>
      </c>
      <c r="K33" s="7" t="s">
        <v>694</v>
      </c>
      <c r="L33" s="7"/>
      <c r="N33" t="str">
        <f t="shared" si="0"/>
        <v>1640598910</v>
      </c>
    </row>
    <row r="34" spans="1:14">
      <c r="A34" s="7" t="s">
        <v>126</v>
      </c>
      <c r="B34" s="7" t="s">
        <v>569</v>
      </c>
      <c r="C34" s="7" t="s">
        <v>547</v>
      </c>
      <c r="D34" s="7" t="s">
        <v>262</v>
      </c>
      <c r="E34" s="7" t="s">
        <v>561</v>
      </c>
      <c r="F34" s="7" t="s">
        <v>552</v>
      </c>
      <c r="G34" s="9">
        <v>45940</v>
      </c>
      <c r="H34" s="7" t="s">
        <v>100</v>
      </c>
      <c r="I34" s="7">
        <v>4</v>
      </c>
      <c r="J34" s="7"/>
      <c r="K34" s="7"/>
      <c r="L34" s="7"/>
      <c r="N34" t="str">
        <f t="shared" ref="N34:N65" si="1">C34&amp;D34</f>
        <v>1640786750</v>
      </c>
    </row>
    <row r="35" spans="1:14">
      <c r="A35" s="7" t="s">
        <v>569</v>
      </c>
      <c r="B35" s="7" t="s">
        <v>569</v>
      </c>
      <c r="C35" s="7" t="s">
        <v>547</v>
      </c>
      <c r="D35" s="7" t="s">
        <v>109</v>
      </c>
      <c r="E35" s="7" t="s">
        <v>569</v>
      </c>
      <c r="F35" s="7" t="s">
        <v>563</v>
      </c>
      <c r="G35" s="9">
        <v>45940</v>
      </c>
      <c r="H35" s="7" t="s">
        <v>550</v>
      </c>
      <c r="I35" s="7">
        <v>10</v>
      </c>
      <c r="J35" s="7"/>
      <c r="K35" s="7"/>
      <c r="L35" s="7"/>
      <c r="N35" t="str">
        <f t="shared" si="1"/>
        <v>1640786710</v>
      </c>
    </row>
    <row r="36" spans="1:14">
      <c r="A36" s="7" t="s">
        <v>569</v>
      </c>
      <c r="B36" s="7" t="s">
        <v>569</v>
      </c>
      <c r="C36" s="7" t="s">
        <v>547</v>
      </c>
      <c r="D36" s="7" t="s">
        <v>69</v>
      </c>
      <c r="E36" s="7" t="s">
        <v>569</v>
      </c>
      <c r="F36" s="7" t="s">
        <v>567</v>
      </c>
      <c r="G36" s="9">
        <v>45940</v>
      </c>
      <c r="H36" s="7" t="s">
        <v>550</v>
      </c>
      <c r="I36" s="7">
        <v>10</v>
      </c>
      <c r="J36" s="7"/>
      <c r="K36" s="7"/>
      <c r="L36" s="7"/>
      <c r="N36" t="str">
        <f t="shared" si="1"/>
        <v>1640786720</v>
      </c>
    </row>
    <row r="37" spans="1:14">
      <c r="A37" s="7" t="s">
        <v>569</v>
      </c>
      <c r="B37" s="7" t="s">
        <v>569</v>
      </c>
      <c r="C37" s="7" t="s">
        <v>547</v>
      </c>
      <c r="D37" s="7" t="s">
        <v>143</v>
      </c>
      <c r="E37" s="7" t="s">
        <v>569</v>
      </c>
      <c r="F37" s="7" t="s">
        <v>565</v>
      </c>
      <c r="G37" s="9">
        <v>45940</v>
      </c>
      <c r="H37" s="7" t="s">
        <v>176</v>
      </c>
      <c r="I37" s="7">
        <v>2</v>
      </c>
      <c r="J37" s="7"/>
      <c r="K37" s="7"/>
      <c r="L37" s="7"/>
      <c r="N37" t="str">
        <f t="shared" si="1"/>
        <v>1640786730</v>
      </c>
    </row>
    <row r="38" spans="1:14">
      <c r="A38" s="7" t="s">
        <v>569</v>
      </c>
      <c r="B38" s="7" t="s">
        <v>569</v>
      </c>
      <c r="C38" s="7" t="s">
        <v>547</v>
      </c>
      <c r="D38" s="7" t="s">
        <v>178</v>
      </c>
      <c r="E38" s="7" t="s">
        <v>569</v>
      </c>
      <c r="F38" s="7" t="s">
        <v>549</v>
      </c>
      <c r="G38" s="9">
        <v>45940</v>
      </c>
      <c r="H38" s="7" t="s">
        <v>550</v>
      </c>
      <c r="I38" s="7">
        <v>6</v>
      </c>
      <c r="J38" s="7"/>
      <c r="K38" s="7"/>
      <c r="L38" s="7"/>
      <c r="N38" t="str">
        <f t="shared" si="1"/>
        <v>1640786740</v>
      </c>
    </row>
    <row r="39" spans="1:14">
      <c r="A39" s="7" t="s">
        <v>171</v>
      </c>
      <c r="B39" s="7" t="s">
        <v>569</v>
      </c>
      <c r="C39" s="7" t="s">
        <v>112</v>
      </c>
      <c r="D39" s="7" t="s">
        <v>69</v>
      </c>
      <c r="E39" s="7" t="s">
        <v>170</v>
      </c>
      <c r="F39" s="7" t="s">
        <v>164</v>
      </c>
      <c r="G39" s="9">
        <v>45961</v>
      </c>
      <c r="H39" s="7" t="s">
        <v>100</v>
      </c>
      <c r="I39" s="7">
        <v>20</v>
      </c>
      <c r="J39" s="7" t="s">
        <v>694</v>
      </c>
      <c r="K39" s="7" t="s">
        <v>694</v>
      </c>
      <c r="L39" s="7"/>
      <c r="N39" t="str">
        <f t="shared" si="1"/>
        <v>1641155820</v>
      </c>
    </row>
    <row r="40" spans="1:14">
      <c r="A40" s="7" t="s">
        <v>126</v>
      </c>
      <c r="B40" s="7" t="s">
        <v>569</v>
      </c>
      <c r="C40" s="7" t="s">
        <v>112</v>
      </c>
      <c r="D40" s="7" t="s">
        <v>109</v>
      </c>
      <c r="E40" s="7" t="s">
        <v>125</v>
      </c>
      <c r="F40" s="7" t="s">
        <v>114</v>
      </c>
      <c r="G40" s="9">
        <v>45961</v>
      </c>
      <c r="H40" s="7" t="s">
        <v>100</v>
      </c>
      <c r="I40" s="7">
        <v>7</v>
      </c>
      <c r="J40" s="7" t="s">
        <v>694</v>
      </c>
      <c r="K40" s="7" t="s">
        <v>694</v>
      </c>
      <c r="L40" s="7"/>
      <c r="N40" t="str">
        <f t="shared" si="1"/>
        <v>1641155810</v>
      </c>
    </row>
    <row r="41" spans="1:14">
      <c r="A41" s="7" t="s">
        <v>90</v>
      </c>
      <c r="B41" s="7" t="s">
        <v>90</v>
      </c>
      <c r="C41" s="7" t="s">
        <v>68</v>
      </c>
      <c r="D41" s="7" t="s">
        <v>109</v>
      </c>
      <c r="E41" s="7" t="s">
        <v>97</v>
      </c>
      <c r="F41" s="7" t="s">
        <v>430</v>
      </c>
      <c r="G41" s="9">
        <v>46024</v>
      </c>
      <c r="H41" s="7" t="s">
        <v>100</v>
      </c>
      <c r="I41" s="7">
        <v>10</v>
      </c>
      <c r="J41" s="7" t="s">
        <v>694</v>
      </c>
      <c r="K41" s="7" t="s">
        <v>694</v>
      </c>
      <c r="L41" s="7"/>
      <c r="N41" t="str">
        <f t="shared" si="1"/>
        <v>1642126010</v>
      </c>
    </row>
    <row r="42" spans="1:14">
      <c r="A42" s="7" t="s">
        <v>90</v>
      </c>
      <c r="B42" s="7" t="s">
        <v>90</v>
      </c>
      <c r="C42" s="7" t="s">
        <v>68</v>
      </c>
      <c r="D42" s="7" t="s">
        <v>69</v>
      </c>
      <c r="E42" s="7" t="s">
        <v>97</v>
      </c>
      <c r="F42" s="7" t="s">
        <v>79</v>
      </c>
      <c r="G42" s="9">
        <v>46024</v>
      </c>
      <c r="H42" s="7" t="s">
        <v>100</v>
      </c>
      <c r="I42" s="7">
        <v>10</v>
      </c>
      <c r="J42" s="7" t="s">
        <v>694</v>
      </c>
      <c r="K42" s="7" t="s">
        <v>694</v>
      </c>
      <c r="L42" s="7"/>
      <c r="N42" t="str">
        <f t="shared" si="1"/>
        <v>1642126020</v>
      </c>
    </row>
    <row r="43" spans="1:14">
      <c r="A43" s="7" t="s">
        <v>126</v>
      </c>
      <c r="B43" s="7" t="s">
        <v>569</v>
      </c>
      <c r="C43" s="7" t="s">
        <v>234</v>
      </c>
      <c r="D43" s="7" t="s">
        <v>109</v>
      </c>
      <c r="E43" s="7" t="s">
        <v>329</v>
      </c>
      <c r="F43" s="7" t="s">
        <v>326</v>
      </c>
      <c r="G43" s="9">
        <v>46045</v>
      </c>
      <c r="H43" s="7" t="s">
        <v>100</v>
      </c>
      <c r="I43" s="7">
        <v>150</v>
      </c>
      <c r="J43" s="7" t="s">
        <v>694</v>
      </c>
      <c r="K43" s="7" t="s">
        <v>694</v>
      </c>
      <c r="L43" s="7"/>
      <c r="N43" t="str">
        <f t="shared" si="1"/>
        <v>1642505610</v>
      </c>
    </row>
    <row r="44" spans="1:14">
      <c r="A44" s="7" t="s">
        <v>126</v>
      </c>
      <c r="B44" s="7" t="s">
        <v>569</v>
      </c>
      <c r="C44" s="7" t="s">
        <v>234</v>
      </c>
      <c r="D44" s="7" t="s">
        <v>145</v>
      </c>
      <c r="E44" s="7" t="s">
        <v>367</v>
      </c>
      <c r="F44" s="7" t="s">
        <v>362</v>
      </c>
      <c r="G44" s="9">
        <v>46045</v>
      </c>
      <c r="H44" s="7" t="s">
        <v>100</v>
      </c>
      <c r="I44" s="7">
        <v>15</v>
      </c>
      <c r="J44" s="7" t="s">
        <v>694</v>
      </c>
      <c r="K44" s="7" t="s">
        <v>694</v>
      </c>
      <c r="L44" s="7"/>
      <c r="N44" t="str">
        <f t="shared" si="1"/>
        <v>16425056100</v>
      </c>
    </row>
    <row r="45" spans="1:14">
      <c r="A45" s="7" t="s">
        <v>126</v>
      </c>
      <c r="B45" s="7" t="s">
        <v>569</v>
      </c>
      <c r="C45" s="7" t="s">
        <v>234</v>
      </c>
      <c r="D45" s="7" t="s">
        <v>69</v>
      </c>
      <c r="E45" s="7" t="s">
        <v>329</v>
      </c>
      <c r="F45" s="7" t="s">
        <v>331</v>
      </c>
      <c r="G45" s="9">
        <v>46045</v>
      </c>
      <c r="H45" s="7" t="s">
        <v>100</v>
      </c>
      <c r="I45" s="7">
        <v>100</v>
      </c>
      <c r="J45" s="7" t="s">
        <v>694</v>
      </c>
      <c r="K45" s="7" t="s">
        <v>694</v>
      </c>
      <c r="L45" s="7"/>
      <c r="N45" t="str">
        <f t="shared" si="1"/>
        <v>1642505620</v>
      </c>
    </row>
    <row r="46" spans="1:14">
      <c r="A46" s="7" t="s">
        <v>126</v>
      </c>
      <c r="B46" s="7" t="s">
        <v>569</v>
      </c>
      <c r="C46" s="7" t="s">
        <v>234</v>
      </c>
      <c r="D46" s="7" t="s">
        <v>235</v>
      </c>
      <c r="E46" s="7" t="s">
        <v>242</v>
      </c>
      <c r="F46" s="7" t="s">
        <v>237</v>
      </c>
      <c r="G46" s="9">
        <v>46045</v>
      </c>
      <c r="H46" s="7" t="s">
        <v>227</v>
      </c>
      <c r="I46" s="7">
        <v>40</v>
      </c>
      <c r="J46" s="11" t="s">
        <v>704</v>
      </c>
      <c r="K46" s="7"/>
      <c r="L46" s="7"/>
      <c r="N46" t="str">
        <f t="shared" si="1"/>
        <v>1642505690</v>
      </c>
    </row>
    <row r="47" spans="1:14">
      <c r="A47" s="7" t="s">
        <v>188</v>
      </c>
      <c r="B47" s="7" t="s">
        <v>569</v>
      </c>
      <c r="C47" s="7" t="s">
        <v>234</v>
      </c>
      <c r="D47" s="7" t="s">
        <v>259</v>
      </c>
      <c r="E47" s="7" t="s">
        <v>546</v>
      </c>
      <c r="F47" s="11" t="s">
        <v>543</v>
      </c>
      <c r="G47" s="18">
        <v>46045</v>
      </c>
      <c r="H47" s="11" t="s">
        <v>100</v>
      </c>
      <c r="I47" s="11">
        <v>5</v>
      </c>
      <c r="J47" s="11" t="s">
        <v>694</v>
      </c>
      <c r="K47" s="7" t="s">
        <v>694</v>
      </c>
      <c r="L47" s="7"/>
      <c r="N47" t="str">
        <f t="shared" si="1"/>
        <v>1642505660</v>
      </c>
    </row>
    <row r="48" spans="1:14">
      <c r="A48" s="7" t="s">
        <v>569</v>
      </c>
      <c r="B48" s="7" t="s">
        <v>569</v>
      </c>
      <c r="C48" s="7" t="s">
        <v>234</v>
      </c>
      <c r="D48" s="7" t="s">
        <v>262</v>
      </c>
      <c r="E48" s="7" t="s">
        <v>569</v>
      </c>
      <c r="F48" s="7" t="s">
        <v>443</v>
      </c>
      <c r="G48" s="9">
        <v>46045</v>
      </c>
      <c r="H48" s="7" t="s">
        <v>176</v>
      </c>
      <c r="I48" s="7">
        <v>10</v>
      </c>
      <c r="J48" s="7"/>
      <c r="K48" s="7"/>
      <c r="L48" s="7"/>
      <c r="N48" t="str">
        <f t="shared" si="1"/>
        <v>1642505650</v>
      </c>
    </row>
    <row r="49" spans="1:14">
      <c r="A49" s="7" t="s">
        <v>569</v>
      </c>
      <c r="B49" s="7" t="s">
        <v>569</v>
      </c>
      <c r="C49" s="7" t="s">
        <v>234</v>
      </c>
      <c r="D49" s="7" t="s">
        <v>140</v>
      </c>
      <c r="E49" s="7" t="s">
        <v>569</v>
      </c>
      <c r="F49" s="7" t="s">
        <v>445</v>
      </c>
      <c r="G49" s="9">
        <v>46045</v>
      </c>
      <c r="H49" s="7" t="s">
        <v>176</v>
      </c>
      <c r="I49" s="7">
        <v>5</v>
      </c>
      <c r="J49" s="7"/>
      <c r="K49" s="7"/>
      <c r="L49" s="7"/>
      <c r="N49" t="str">
        <f t="shared" si="1"/>
        <v>1642505670</v>
      </c>
    </row>
    <row r="50" spans="1:14">
      <c r="A50" s="7" t="s">
        <v>569</v>
      </c>
      <c r="B50" s="7" t="s">
        <v>569</v>
      </c>
      <c r="C50" s="7" t="s">
        <v>234</v>
      </c>
      <c r="D50" s="7" t="s">
        <v>243</v>
      </c>
      <c r="E50" s="7" t="s">
        <v>569</v>
      </c>
      <c r="F50" s="7" t="s">
        <v>245</v>
      </c>
      <c r="G50" s="9">
        <v>46045</v>
      </c>
      <c r="H50" s="7" t="s">
        <v>176</v>
      </c>
      <c r="I50" s="7">
        <v>40</v>
      </c>
      <c r="J50" s="7"/>
      <c r="K50" s="7"/>
      <c r="L50" s="7"/>
      <c r="N50" t="str">
        <f t="shared" si="1"/>
        <v>1642505680</v>
      </c>
    </row>
    <row r="51" spans="1:14">
      <c r="A51" s="7" t="s">
        <v>372</v>
      </c>
      <c r="B51" s="7" t="s">
        <v>372</v>
      </c>
      <c r="C51" s="7" t="s">
        <v>234</v>
      </c>
      <c r="D51" s="7" t="s">
        <v>178</v>
      </c>
      <c r="E51" s="7" t="s">
        <v>580</v>
      </c>
      <c r="F51" s="7" t="s">
        <v>493</v>
      </c>
      <c r="G51" s="9">
        <v>46045</v>
      </c>
      <c r="H51" s="7" t="s">
        <v>227</v>
      </c>
      <c r="I51" s="7">
        <v>15</v>
      </c>
      <c r="J51" s="7"/>
      <c r="K51" s="7"/>
      <c r="L51" s="7" t="s">
        <v>98</v>
      </c>
      <c r="M51" t="s">
        <v>697</v>
      </c>
      <c r="N51" t="str">
        <f t="shared" si="1"/>
        <v>1642505640</v>
      </c>
    </row>
    <row r="52" spans="1:14">
      <c r="A52" s="7" t="s">
        <v>372</v>
      </c>
      <c r="B52" s="7" t="s">
        <v>372</v>
      </c>
      <c r="C52" s="7" t="s">
        <v>234</v>
      </c>
      <c r="D52" s="7" t="s">
        <v>143</v>
      </c>
      <c r="E52" s="7" t="s">
        <v>580</v>
      </c>
      <c r="F52" s="7" t="s">
        <v>505</v>
      </c>
      <c r="G52" s="9">
        <v>46045</v>
      </c>
      <c r="H52" s="7" t="s">
        <v>227</v>
      </c>
      <c r="I52" s="7">
        <v>15</v>
      </c>
      <c r="J52" s="7"/>
      <c r="K52" s="7"/>
      <c r="L52" s="11" t="s">
        <v>98</v>
      </c>
      <c r="M52" t="s">
        <v>697</v>
      </c>
      <c r="N52" t="str">
        <f t="shared" si="1"/>
        <v>1642505630</v>
      </c>
    </row>
    <row r="53" spans="1:14">
      <c r="A53" s="7" t="s">
        <v>372</v>
      </c>
      <c r="B53" s="7" t="s">
        <v>372</v>
      </c>
      <c r="C53" s="7" t="s">
        <v>196</v>
      </c>
      <c r="D53" s="7" t="s">
        <v>109</v>
      </c>
      <c r="E53" s="7" t="s">
        <v>577</v>
      </c>
      <c r="F53" s="7" t="s">
        <v>473</v>
      </c>
      <c r="G53" s="9">
        <v>46056</v>
      </c>
      <c r="H53" s="7" t="s">
        <v>227</v>
      </c>
      <c r="I53" s="7">
        <v>4</v>
      </c>
      <c r="J53" s="7" t="s">
        <v>98</v>
      </c>
      <c r="K53" s="11" t="s">
        <v>703</v>
      </c>
      <c r="L53" s="7" t="s">
        <v>98</v>
      </c>
      <c r="M53" t="s">
        <v>697</v>
      </c>
      <c r="N53" t="str">
        <f t="shared" si="1"/>
        <v>1642673910</v>
      </c>
    </row>
    <row r="54" spans="1:14">
      <c r="A54" s="7" t="s">
        <v>372</v>
      </c>
      <c r="B54" s="7" t="s">
        <v>372</v>
      </c>
      <c r="C54" s="7" t="s">
        <v>196</v>
      </c>
      <c r="D54" s="7" t="s">
        <v>69</v>
      </c>
      <c r="E54" s="7" t="s">
        <v>577</v>
      </c>
      <c r="F54" s="7" t="s">
        <v>476</v>
      </c>
      <c r="G54" s="9">
        <v>46056</v>
      </c>
      <c r="H54" s="7" t="s">
        <v>227</v>
      </c>
      <c r="I54" s="7">
        <v>4</v>
      </c>
      <c r="J54" s="7" t="s">
        <v>98</v>
      </c>
      <c r="K54" s="11" t="s">
        <v>703</v>
      </c>
      <c r="L54" s="7" t="s">
        <v>98</v>
      </c>
      <c r="M54" t="s">
        <v>697</v>
      </c>
      <c r="N54" t="str">
        <f t="shared" si="1"/>
        <v>1642673920</v>
      </c>
    </row>
    <row r="55" spans="1:14">
      <c r="A55" s="7" t="s">
        <v>372</v>
      </c>
      <c r="B55" s="7" t="s">
        <v>372</v>
      </c>
      <c r="C55" s="7" t="s">
        <v>196</v>
      </c>
      <c r="D55" s="7" t="s">
        <v>143</v>
      </c>
      <c r="E55" s="7" t="s">
        <v>577</v>
      </c>
      <c r="F55" s="7" t="s">
        <v>485</v>
      </c>
      <c r="G55" s="9">
        <v>46056</v>
      </c>
      <c r="H55" s="7" t="s">
        <v>227</v>
      </c>
      <c r="I55" s="7">
        <v>4</v>
      </c>
      <c r="J55" s="7" t="s">
        <v>98</v>
      </c>
      <c r="K55" s="11" t="s">
        <v>703</v>
      </c>
      <c r="L55" s="7" t="s">
        <v>98</v>
      </c>
      <c r="M55" t="s">
        <v>697</v>
      </c>
      <c r="N55" t="str">
        <f t="shared" si="1"/>
        <v>1642673930</v>
      </c>
    </row>
    <row r="56" spans="1:14">
      <c r="A56" s="7" t="s">
        <v>372</v>
      </c>
      <c r="B56" s="7" t="s">
        <v>372</v>
      </c>
      <c r="C56" s="7" t="s">
        <v>196</v>
      </c>
      <c r="D56" s="7" t="s">
        <v>262</v>
      </c>
      <c r="E56" s="7" t="s">
        <v>577</v>
      </c>
      <c r="F56" s="7" t="s">
        <v>487</v>
      </c>
      <c r="G56" s="9">
        <v>46056</v>
      </c>
      <c r="H56" s="7" t="s">
        <v>227</v>
      </c>
      <c r="I56" s="7">
        <v>5</v>
      </c>
      <c r="J56" s="7" t="s">
        <v>98</v>
      </c>
      <c r="K56" s="11" t="s">
        <v>703</v>
      </c>
      <c r="L56" s="7" t="s">
        <v>98</v>
      </c>
      <c r="M56" t="s">
        <v>697</v>
      </c>
      <c r="N56" t="str">
        <f t="shared" si="1"/>
        <v>1642673950</v>
      </c>
    </row>
    <row r="57" spans="1:14">
      <c r="A57" s="7" t="s">
        <v>372</v>
      </c>
      <c r="B57" s="7" t="s">
        <v>372</v>
      </c>
      <c r="C57" s="7" t="s">
        <v>196</v>
      </c>
      <c r="D57" s="7" t="s">
        <v>259</v>
      </c>
      <c r="E57" s="7" t="s">
        <v>577</v>
      </c>
      <c r="F57" s="7" t="s">
        <v>489</v>
      </c>
      <c r="G57" s="9">
        <v>46056</v>
      </c>
      <c r="H57" s="7" t="s">
        <v>227</v>
      </c>
      <c r="I57" s="7">
        <v>5</v>
      </c>
      <c r="J57" s="7" t="s">
        <v>98</v>
      </c>
      <c r="K57" s="11" t="s">
        <v>703</v>
      </c>
      <c r="L57" s="7" t="s">
        <v>98</v>
      </c>
      <c r="M57" t="s">
        <v>697</v>
      </c>
      <c r="N57" t="str">
        <f t="shared" si="1"/>
        <v>1642673960</v>
      </c>
    </row>
    <row r="58" spans="1:14">
      <c r="A58" s="7" t="s">
        <v>126</v>
      </c>
      <c r="B58" s="7" t="s">
        <v>569</v>
      </c>
      <c r="C58" s="7" t="s">
        <v>196</v>
      </c>
      <c r="D58" s="7" t="s">
        <v>393</v>
      </c>
      <c r="E58" s="7" t="s">
        <v>402</v>
      </c>
      <c r="F58" s="7" t="s">
        <v>395</v>
      </c>
      <c r="G58" s="9">
        <v>46056</v>
      </c>
      <c r="H58" s="7" t="s">
        <v>227</v>
      </c>
      <c r="I58" s="7">
        <v>20</v>
      </c>
      <c r="J58" s="7" t="s">
        <v>98</v>
      </c>
      <c r="K58" s="11" t="s">
        <v>703</v>
      </c>
      <c r="L58" s="7"/>
      <c r="N58" t="str">
        <f t="shared" si="1"/>
        <v>16426739210</v>
      </c>
    </row>
    <row r="59" spans="1:14">
      <c r="A59" s="7" t="s">
        <v>126</v>
      </c>
      <c r="B59" s="7" t="s">
        <v>569</v>
      </c>
      <c r="C59" s="7" t="s">
        <v>196</v>
      </c>
      <c r="D59" s="7" t="s">
        <v>407</v>
      </c>
      <c r="E59" s="7" t="s">
        <v>402</v>
      </c>
      <c r="F59" s="7" t="s">
        <v>409</v>
      </c>
      <c r="G59" s="9">
        <v>46056</v>
      </c>
      <c r="H59" s="7" t="s">
        <v>227</v>
      </c>
      <c r="I59" s="7">
        <v>20</v>
      </c>
      <c r="J59" s="7" t="s">
        <v>98</v>
      </c>
      <c r="K59" s="11" t="s">
        <v>703</v>
      </c>
      <c r="L59" s="7"/>
      <c r="N59" t="str">
        <f t="shared" si="1"/>
        <v>16426739220</v>
      </c>
    </row>
    <row r="60" spans="1:14">
      <c r="A60" s="7" t="s">
        <v>126</v>
      </c>
      <c r="B60" s="7" t="s">
        <v>569</v>
      </c>
      <c r="C60" s="7" t="s">
        <v>196</v>
      </c>
      <c r="D60" s="7" t="s">
        <v>248</v>
      </c>
      <c r="E60" s="7" t="s">
        <v>253</v>
      </c>
      <c r="F60" s="7" t="s">
        <v>250</v>
      </c>
      <c r="G60" s="9">
        <v>46056</v>
      </c>
      <c r="H60" s="7" t="s">
        <v>227</v>
      </c>
      <c r="I60" s="7">
        <v>50</v>
      </c>
      <c r="J60" s="7"/>
      <c r="K60" s="7"/>
      <c r="L60" s="7"/>
      <c r="N60" t="str">
        <f t="shared" si="1"/>
        <v>16426739290</v>
      </c>
    </row>
    <row r="61" spans="1:14">
      <c r="A61" s="7" t="s">
        <v>372</v>
      </c>
      <c r="B61" s="7" t="s">
        <v>372</v>
      </c>
      <c r="C61" s="7" t="s">
        <v>196</v>
      </c>
      <c r="D61" s="7" t="s">
        <v>222</v>
      </c>
      <c r="E61" s="7" t="s">
        <v>577</v>
      </c>
      <c r="F61" s="7" t="s">
        <v>491</v>
      </c>
      <c r="G61" s="9">
        <v>46056</v>
      </c>
      <c r="H61" s="7" t="s">
        <v>227</v>
      </c>
      <c r="I61" s="7">
        <v>10</v>
      </c>
      <c r="J61" s="7" t="s">
        <v>98</v>
      </c>
      <c r="K61" s="11" t="s">
        <v>703</v>
      </c>
      <c r="L61" s="7" t="s">
        <v>98</v>
      </c>
      <c r="M61" t="s">
        <v>697</v>
      </c>
      <c r="N61" t="str">
        <f t="shared" si="1"/>
        <v>16426739130</v>
      </c>
    </row>
    <row r="62" spans="1:14">
      <c r="A62" s="7" t="s">
        <v>372</v>
      </c>
      <c r="B62" s="7" t="s">
        <v>372</v>
      </c>
      <c r="C62" s="7" t="s">
        <v>196</v>
      </c>
      <c r="D62" s="7" t="s">
        <v>140</v>
      </c>
      <c r="E62" s="7" t="s">
        <v>577</v>
      </c>
      <c r="F62" s="7" t="s">
        <v>497</v>
      </c>
      <c r="G62" s="9">
        <v>46056</v>
      </c>
      <c r="H62" s="7" t="s">
        <v>227</v>
      </c>
      <c r="I62" s="7">
        <v>8</v>
      </c>
      <c r="J62" s="7"/>
      <c r="K62" s="7"/>
      <c r="L62" s="7" t="s">
        <v>98</v>
      </c>
      <c r="M62" t="s">
        <v>697</v>
      </c>
      <c r="N62" t="str">
        <f t="shared" si="1"/>
        <v>1642673970</v>
      </c>
    </row>
    <row r="63" spans="1:14">
      <c r="A63" s="7" t="s">
        <v>372</v>
      </c>
      <c r="B63" s="7" t="s">
        <v>372</v>
      </c>
      <c r="C63" s="7" t="s">
        <v>196</v>
      </c>
      <c r="D63" s="7" t="s">
        <v>284</v>
      </c>
      <c r="E63" s="7" t="s">
        <v>577</v>
      </c>
      <c r="F63" s="7" t="s">
        <v>499</v>
      </c>
      <c r="G63" s="9">
        <v>46056</v>
      </c>
      <c r="H63" s="7" t="s">
        <v>227</v>
      </c>
      <c r="I63" s="7">
        <v>4</v>
      </c>
      <c r="J63" s="7"/>
      <c r="K63" s="7"/>
      <c r="L63" s="7" t="s">
        <v>98</v>
      </c>
      <c r="M63" t="s">
        <v>697</v>
      </c>
      <c r="N63" t="str">
        <f t="shared" si="1"/>
        <v>16426739140</v>
      </c>
    </row>
    <row r="64" spans="1:14">
      <c r="A64" s="7" t="s">
        <v>372</v>
      </c>
      <c r="B64" s="7" t="s">
        <v>372</v>
      </c>
      <c r="C64" s="7" t="s">
        <v>196</v>
      </c>
      <c r="D64" s="7" t="s">
        <v>243</v>
      </c>
      <c r="E64" s="7" t="s">
        <v>577</v>
      </c>
      <c r="F64" s="7" t="s">
        <v>503</v>
      </c>
      <c r="G64" s="9">
        <v>46056</v>
      </c>
      <c r="H64" s="7" t="s">
        <v>227</v>
      </c>
      <c r="I64" s="7">
        <v>10</v>
      </c>
      <c r="J64" s="7"/>
      <c r="K64" s="7"/>
      <c r="L64" s="7" t="s">
        <v>98</v>
      </c>
      <c r="M64" t="s">
        <v>697</v>
      </c>
      <c r="N64" t="str">
        <f t="shared" si="1"/>
        <v>1642673980</v>
      </c>
    </row>
    <row r="65" spans="1:14">
      <c r="A65" s="7" t="s">
        <v>372</v>
      </c>
      <c r="B65" s="7" t="s">
        <v>372</v>
      </c>
      <c r="C65" s="7" t="s">
        <v>196</v>
      </c>
      <c r="D65" s="7" t="s">
        <v>235</v>
      </c>
      <c r="E65" s="7" t="s">
        <v>577</v>
      </c>
      <c r="F65" s="7" t="s">
        <v>507</v>
      </c>
      <c r="G65" s="9">
        <v>46056</v>
      </c>
      <c r="H65" s="7" t="s">
        <v>227</v>
      </c>
      <c r="I65" s="7">
        <v>4</v>
      </c>
      <c r="J65" s="7" t="s">
        <v>98</v>
      </c>
      <c r="K65" s="11" t="s">
        <v>703</v>
      </c>
      <c r="L65" s="7" t="s">
        <v>98</v>
      </c>
      <c r="M65" t="s">
        <v>697</v>
      </c>
      <c r="N65" t="str">
        <f t="shared" si="1"/>
        <v>1642673990</v>
      </c>
    </row>
    <row r="66" spans="1:14">
      <c r="A66" s="7" t="s">
        <v>372</v>
      </c>
      <c r="B66" s="7" t="s">
        <v>372</v>
      </c>
      <c r="C66" s="7" t="s">
        <v>196</v>
      </c>
      <c r="D66" s="7" t="s">
        <v>145</v>
      </c>
      <c r="E66" s="7" t="s">
        <v>577</v>
      </c>
      <c r="F66" s="7" t="s">
        <v>509</v>
      </c>
      <c r="G66" s="9">
        <v>46056</v>
      </c>
      <c r="H66" s="7" t="s">
        <v>227</v>
      </c>
      <c r="I66" s="7">
        <v>4</v>
      </c>
      <c r="J66" s="7" t="s">
        <v>98</v>
      </c>
      <c r="K66" s="11" t="s">
        <v>703</v>
      </c>
      <c r="L66" s="7" t="s">
        <v>98</v>
      </c>
      <c r="M66" t="s">
        <v>697</v>
      </c>
      <c r="N66" t="str">
        <f t="shared" ref="N66:N97" si="2">C66&amp;D66</f>
        <v>16426739100</v>
      </c>
    </row>
    <row r="67" spans="1:14">
      <c r="A67" s="7" t="s">
        <v>136</v>
      </c>
      <c r="B67" s="7" t="s">
        <v>136</v>
      </c>
      <c r="C67" s="7" t="s">
        <v>196</v>
      </c>
      <c r="D67" s="7" t="s">
        <v>210</v>
      </c>
      <c r="E67" s="7" t="s">
        <v>216</v>
      </c>
      <c r="F67" s="7" t="s">
        <v>212</v>
      </c>
      <c r="G67" s="9">
        <v>46056</v>
      </c>
      <c r="H67" s="7" t="s">
        <v>227</v>
      </c>
      <c r="I67" s="7">
        <v>3</v>
      </c>
      <c r="J67" s="7" t="s">
        <v>98</v>
      </c>
      <c r="K67" s="11" t="s">
        <v>703</v>
      </c>
      <c r="L67" s="7"/>
      <c r="N67" t="str">
        <f t="shared" si="2"/>
        <v>16426739310</v>
      </c>
    </row>
    <row r="68" spans="1:14">
      <c r="A68" s="7" t="s">
        <v>159</v>
      </c>
      <c r="B68" s="7" t="s">
        <v>159</v>
      </c>
      <c r="C68" s="7" t="s">
        <v>196</v>
      </c>
      <c r="D68" s="7" t="s">
        <v>192</v>
      </c>
      <c r="E68" s="7" t="s">
        <v>599</v>
      </c>
      <c r="F68" s="7" t="s">
        <v>412</v>
      </c>
      <c r="G68" s="9">
        <v>46056</v>
      </c>
      <c r="H68" s="7" t="s">
        <v>227</v>
      </c>
      <c r="I68" s="7">
        <v>15</v>
      </c>
      <c r="J68" s="7"/>
      <c r="K68" s="7"/>
      <c r="L68" s="7" t="s">
        <v>98</v>
      </c>
      <c r="M68" t="s">
        <v>700</v>
      </c>
      <c r="N68" t="str">
        <f t="shared" si="2"/>
        <v>16426739150</v>
      </c>
    </row>
    <row r="69" spans="1:14">
      <c r="A69" s="7" t="s">
        <v>159</v>
      </c>
      <c r="B69" s="7" t="s">
        <v>159</v>
      </c>
      <c r="C69" s="7" t="s">
        <v>196</v>
      </c>
      <c r="D69" s="7" t="s">
        <v>181</v>
      </c>
      <c r="E69" s="7" t="s">
        <v>599</v>
      </c>
      <c r="F69" s="7" t="s">
        <v>414</v>
      </c>
      <c r="G69" s="9">
        <v>46056</v>
      </c>
      <c r="H69" s="7" t="s">
        <v>227</v>
      </c>
      <c r="I69" s="7">
        <v>15</v>
      </c>
      <c r="J69" s="7"/>
      <c r="K69" s="7"/>
      <c r="L69" s="7" t="s">
        <v>98</v>
      </c>
      <c r="M69" t="s">
        <v>700</v>
      </c>
      <c r="N69" t="str">
        <f t="shared" si="2"/>
        <v>16426739160</v>
      </c>
    </row>
    <row r="70" spans="1:14">
      <c r="A70" s="7" t="s">
        <v>159</v>
      </c>
      <c r="B70" s="7" t="s">
        <v>159</v>
      </c>
      <c r="C70" s="7" t="s">
        <v>196</v>
      </c>
      <c r="D70" s="7" t="s">
        <v>89</v>
      </c>
      <c r="E70" s="7" t="s">
        <v>599</v>
      </c>
      <c r="F70" s="7" t="s">
        <v>416</v>
      </c>
      <c r="G70" s="9">
        <v>46056</v>
      </c>
      <c r="H70" s="7" t="s">
        <v>227</v>
      </c>
      <c r="I70" s="7">
        <v>10</v>
      </c>
      <c r="J70" s="7"/>
      <c r="K70" s="7"/>
      <c r="L70" s="7" t="s">
        <v>98</v>
      </c>
      <c r="M70" t="s">
        <v>700</v>
      </c>
      <c r="N70" t="str">
        <f t="shared" si="2"/>
        <v>16426739170</v>
      </c>
    </row>
    <row r="71" spans="1:14">
      <c r="A71" s="7" t="s">
        <v>159</v>
      </c>
      <c r="B71" s="7" t="s">
        <v>159</v>
      </c>
      <c r="C71" s="7" t="s">
        <v>196</v>
      </c>
      <c r="D71" s="7" t="s">
        <v>417</v>
      </c>
      <c r="E71" s="7" t="s">
        <v>599</v>
      </c>
      <c r="F71" s="7" t="s">
        <v>419</v>
      </c>
      <c r="G71" s="9">
        <v>46056</v>
      </c>
      <c r="H71" s="7" t="s">
        <v>227</v>
      </c>
      <c r="I71" s="7">
        <v>15</v>
      </c>
      <c r="J71" s="7"/>
      <c r="K71" s="7"/>
      <c r="L71" s="7" t="s">
        <v>98</v>
      </c>
      <c r="M71" t="s">
        <v>700</v>
      </c>
      <c r="N71" t="str">
        <f t="shared" si="2"/>
        <v>16426739180</v>
      </c>
    </row>
    <row r="72" spans="1:14">
      <c r="A72" s="7" t="s">
        <v>159</v>
      </c>
      <c r="B72" s="7" t="s">
        <v>159</v>
      </c>
      <c r="C72" s="7" t="s">
        <v>196</v>
      </c>
      <c r="D72" s="7" t="s">
        <v>104</v>
      </c>
      <c r="E72" s="7" t="s">
        <v>599</v>
      </c>
      <c r="F72" s="7" t="s">
        <v>422</v>
      </c>
      <c r="G72" s="9">
        <v>46056</v>
      </c>
      <c r="H72" s="7" t="s">
        <v>227</v>
      </c>
      <c r="I72" s="7">
        <v>10</v>
      </c>
      <c r="J72" s="7" t="s">
        <v>82</v>
      </c>
      <c r="K72" s="7" t="s">
        <v>82</v>
      </c>
      <c r="L72" s="7" t="s">
        <v>98</v>
      </c>
      <c r="M72" t="s">
        <v>695</v>
      </c>
      <c r="N72" t="str">
        <f t="shared" si="2"/>
        <v>16426739190</v>
      </c>
    </row>
    <row r="73" spans="1:14">
      <c r="A73" s="7" t="s">
        <v>159</v>
      </c>
      <c r="B73" s="7" t="s">
        <v>159</v>
      </c>
      <c r="C73" s="7" t="s">
        <v>196</v>
      </c>
      <c r="D73" s="7" t="s">
        <v>403</v>
      </c>
      <c r="E73" s="7" t="s">
        <v>599</v>
      </c>
      <c r="F73" s="7" t="s">
        <v>405</v>
      </c>
      <c r="G73" s="9">
        <v>46056</v>
      </c>
      <c r="H73" s="7" t="s">
        <v>227</v>
      </c>
      <c r="I73" s="7">
        <v>20</v>
      </c>
      <c r="J73" s="7"/>
      <c r="K73" s="7"/>
      <c r="L73" s="7"/>
      <c r="N73" t="str">
        <f t="shared" si="2"/>
        <v>16426739200</v>
      </c>
    </row>
    <row r="74" spans="1:14">
      <c r="A74" s="7" t="s">
        <v>569</v>
      </c>
      <c r="B74" s="7" t="s">
        <v>372</v>
      </c>
      <c r="C74" s="7" t="s">
        <v>196</v>
      </c>
      <c r="D74" s="7" t="s">
        <v>456</v>
      </c>
      <c r="E74" s="7" t="s">
        <v>569</v>
      </c>
      <c r="F74" s="7" t="s">
        <v>531</v>
      </c>
      <c r="G74" s="9">
        <v>46056</v>
      </c>
      <c r="H74" s="7" t="s">
        <v>203</v>
      </c>
      <c r="I74" s="7">
        <v>10</v>
      </c>
      <c r="J74" s="7" t="s">
        <v>694</v>
      </c>
      <c r="K74" s="11"/>
      <c r="L74" s="7"/>
      <c r="N74" t="str">
        <f t="shared" si="2"/>
        <v>16426739230</v>
      </c>
    </row>
    <row r="75" spans="1:14">
      <c r="A75" s="7" t="s">
        <v>569</v>
      </c>
      <c r="B75" s="7" t="s">
        <v>372</v>
      </c>
      <c r="C75" s="7" t="s">
        <v>196</v>
      </c>
      <c r="D75" s="7" t="s">
        <v>536</v>
      </c>
      <c r="E75" s="7" t="s">
        <v>569</v>
      </c>
      <c r="F75" s="7" t="s">
        <v>535</v>
      </c>
      <c r="G75" s="9">
        <v>46056</v>
      </c>
      <c r="H75" s="7" t="s">
        <v>203</v>
      </c>
      <c r="I75" s="7">
        <v>10</v>
      </c>
      <c r="J75" s="7" t="s">
        <v>694</v>
      </c>
      <c r="K75" s="11"/>
      <c r="L75" s="7"/>
      <c r="N75" t="str">
        <f t="shared" si="2"/>
        <v>16426739240</v>
      </c>
    </row>
    <row r="76" spans="1:14">
      <c r="A76" s="7" t="s">
        <v>569</v>
      </c>
      <c r="B76" s="7" t="s">
        <v>372</v>
      </c>
      <c r="C76" s="7" t="s">
        <v>196</v>
      </c>
      <c r="D76" s="7" t="s">
        <v>525</v>
      </c>
      <c r="E76" s="7" t="s">
        <v>569</v>
      </c>
      <c r="F76" s="7" t="s">
        <v>527</v>
      </c>
      <c r="G76" s="9">
        <v>46056</v>
      </c>
      <c r="H76" s="7" t="s">
        <v>203</v>
      </c>
      <c r="I76" s="7">
        <v>7</v>
      </c>
      <c r="J76" s="7" t="s">
        <v>694</v>
      </c>
      <c r="K76" s="11"/>
      <c r="L76" s="7"/>
      <c r="N76" t="str">
        <f t="shared" si="2"/>
        <v>16426739250</v>
      </c>
    </row>
    <row r="77" spans="1:14">
      <c r="A77" s="7" t="s">
        <v>569</v>
      </c>
      <c r="B77" s="7" t="s">
        <v>372</v>
      </c>
      <c r="C77" s="7" t="s">
        <v>196</v>
      </c>
      <c r="D77" s="7" t="s">
        <v>537</v>
      </c>
      <c r="E77" s="7" t="s">
        <v>569</v>
      </c>
      <c r="F77" s="7" t="s">
        <v>539</v>
      </c>
      <c r="G77" s="9">
        <v>46056</v>
      </c>
      <c r="H77" s="7" t="s">
        <v>203</v>
      </c>
      <c r="I77" s="7">
        <v>5</v>
      </c>
      <c r="J77" s="7" t="s">
        <v>694</v>
      </c>
      <c r="K77" s="11"/>
      <c r="L77" s="7"/>
      <c r="N77" t="str">
        <f t="shared" si="2"/>
        <v>16426739260</v>
      </c>
    </row>
    <row r="78" spans="1:14">
      <c r="A78" s="7" t="s">
        <v>202</v>
      </c>
      <c r="B78" s="7" t="s">
        <v>202</v>
      </c>
      <c r="C78" s="7" t="s">
        <v>196</v>
      </c>
      <c r="D78" s="7" t="s">
        <v>204</v>
      </c>
      <c r="E78" s="7" t="s">
        <v>684</v>
      </c>
      <c r="F78" s="7" t="s">
        <v>206</v>
      </c>
      <c r="G78" s="9">
        <v>46056</v>
      </c>
      <c r="H78" s="7" t="s">
        <v>227</v>
      </c>
      <c r="I78" s="7">
        <v>100</v>
      </c>
      <c r="J78" s="7"/>
      <c r="K78" s="7"/>
      <c r="L78" s="7"/>
      <c r="N78" t="str">
        <f t="shared" si="2"/>
        <v>16426739280</v>
      </c>
    </row>
    <row r="79" spans="1:14">
      <c r="A79" s="7" t="s">
        <v>202</v>
      </c>
      <c r="B79" s="7" t="s">
        <v>202</v>
      </c>
      <c r="C79" s="7" t="s">
        <v>196</v>
      </c>
      <c r="D79" s="7" t="s">
        <v>197</v>
      </c>
      <c r="E79" s="7" t="s">
        <v>684</v>
      </c>
      <c r="F79" s="7" t="s">
        <v>199</v>
      </c>
      <c r="G79" s="9">
        <v>46056</v>
      </c>
      <c r="H79" s="7" t="s">
        <v>227</v>
      </c>
      <c r="I79" s="7">
        <v>100</v>
      </c>
      <c r="J79" s="7"/>
      <c r="K79" s="7"/>
      <c r="L79" s="7"/>
      <c r="N79" t="str">
        <f t="shared" si="2"/>
        <v>16426739300</v>
      </c>
    </row>
    <row r="80" spans="1:14">
      <c r="A80" s="7" t="s">
        <v>372</v>
      </c>
      <c r="B80" s="7" t="s">
        <v>372</v>
      </c>
      <c r="C80" s="7" t="s">
        <v>196</v>
      </c>
      <c r="D80" s="7" t="s">
        <v>346</v>
      </c>
      <c r="E80" s="7" t="s">
        <v>577</v>
      </c>
      <c r="F80" s="7" t="s">
        <v>513</v>
      </c>
      <c r="G80" s="9">
        <v>46056</v>
      </c>
      <c r="H80" s="7" t="s">
        <v>227</v>
      </c>
      <c r="I80" s="7">
        <v>4</v>
      </c>
      <c r="J80" s="7" t="s">
        <v>98</v>
      </c>
      <c r="K80" s="11" t="s">
        <v>703</v>
      </c>
      <c r="L80" s="7" t="s">
        <v>98</v>
      </c>
      <c r="M80" t="s">
        <v>697</v>
      </c>
      <c r="N80" t="str">
        <f t="shared" si="2"/>
        <v>16426739110</v>
      </c>
    </row>
    <row r="81" spans="1:14">
      <c r="A81" s="7" t="s">
        <v>105</v>
      </c>
      <c r="B81" s="7" t="s">
        <v>105</v>
      </c>
      <c r="C81" s="7" t="s">
        <v>356</v>
      </c>
      <c r="D81" s="7" t="s">
        <v>109</v>
      </c>
      <c r="E81" s="7" t="s">
        <v>428</v>
      </c>
      <c r="F81" s="7" t="s">
        <v>424</v>
      </c>
      <c r="G81" s="9">
        <v>46063</v>
      </c>
      <c r="H81" s="7" t="s">
        <v>100</v>
      </c>
      <c r="I81" s="7">
        <v>3</v>
      </c>
      <c r="J81" s="7" t="s">
        <v>694</v>
      </c>
      <c r="K81" s="7" t="s">
        <v>694</v>
      </c>
      <c r="L81" s="7"/>
      <c r="N81" t="str">
        <f t="shared" si="2"/>
        <v>1642838110</v>
      </c>
    </row>
    <row r="82" spans="1:14">
      <c r="A82" s="7" t="s">
        <v>126</v>
      </c>
      <c r="B82" s="7" t="s">
        <v>569</v>
      </c>
      <c r="C82" s="7" t="s">
        <v>356</v>
      </c>
      <c r="D82" s="7" t="s">
        <v>69</v>
      </c>
      <c r="E82" s="7" t="s">
        <v>471</v>
      </c>
      <c r="F82" s="7" t="s">
        <v>467</v>
      </c>
      <c r="G82" s="9">
        <v>46063</v>
      </c>
      <c r="H82" s="7" t="s">
        <v>227</v>
      </c>
      <c r="I82" s="7">
        <v>3</v>
      </c>
      <c r="J82" s="7"/>
      <c r="K82" s="7"/>
      <c r="L82" s="7"/>
      <c r="N82" t="str">
        <f t="shared" si="2"/>
        <v>1642838120</v>
      </c>
    </row>
    <row r="83" spans="1:14">
      <c r="A83" s="7" t="s">
        <v>126</v>
      </c>
      <c r="B83" s="7" t="s">
        <v>569</v>
      </c>
      <c r="C83" s="7" t="s">
        <v>356</v>
      </c>
      <c r="D83" s="7" t="s">
        <v>262</v>
      </c>
      <c r="E83" s="7" t="s">
        <v>462</v>
      </c>
      <c r="F83" s="7" t="s">
        <v>460</v>
      </c>
      <c r="G83" s="9">
        <v>46063</v>
      </c>
      <c r="H83" s="7" t="s">
        <v>100</v>
      </c>
      <c r="I83" s="7">
        <v>15</v>
      </c>
      <c r="J83" s="7" t="s">
        <v>694</v>
      </c>
      <c r="K83" s="7" t="s">
        <v>694</v>
      </c>
      <c r="L83" s="7"/>
      <c r="N83" t="str">
        <f t="shared" si="2"/>
        <v>1642838150</v>
      </c>
    </row>
    <row r="84" spans="1:14">
      <c r="A84" s="7" t="s">
        <v>136</v>
      </c>
      <c r="B84" s="7" t="s">
        <v>136</v>
      </c>
      <c r="C84" s="7" t="s">
        <v>356</v>
      </c>
      <c r="D84" s="7" t="s">
        <v>143</v>
      </c>
      <c r="E84" s="7" t="s">
        <v>360</v>
      </c>
      <c r="F84" s="7" t="s">
        <v>358</v>
      </c>
      <c r="G84" s="9">
        <v>46063</v>
      </c>
      <c r="H84" s="7" t="s">
        <v>100</v>
      </c>
      <c r="I84" s="7">
        <v>2</v>
      </c>
      <c r="J84" s="7" t="s">
        <v>694</v>
      </c>
      <c r="K84" s="7" t="s">
        <v>694</v>
      </c>
      <c r="L84" s="7"/>
      <c r="N84" t="str">
        <f t="shared" si="2"/>
        <v>1642838130</v>
      </c>
    </row>
    <row r="85" spans="1:14">
      <c r="A85" s="7" t="s">
        <v>569</v>
      </c>
      <c r="B85" s="7" t="s">
        <v>202</v>
      </c>
      <c r="C85" s="7" t="s">
        <v>356</v>
      </c>
      <c r="D85" s="7" t="s">
        <v>178</v>
      </c>
      <c r="E85" s="7" t="s">
        <v>569</v>
      </c>
      <c r="F85" s="7" t="s">
        <v>458</v>
      </c>
      <c r="G85" s="9">
        <v>46063</v>
      </c>
      <c r="H85" s="7" t="s">
        <v>176</v>
      </c>
      <c r="I85" s="7">
        <v>15</v>
      </c>
      <c r="J85" s="7"/>
      <c r="K85" s="7"/>
      <c r="L85" s="7"/>
      <c r="N85" t="str">
        <f t="shared" si="2"/>
        <v>1642838140</v>
      </c>
    </row>
    <row r="86" spans="1:14">
      <c r="A86" s="7" t="s">
        <v>105</v>
      </c>
      <c r="B86" s="7" t="s">
        <v>105</v>
      </c>
      <c r="C86" s="7" t="s">
        <v>101</v>
      </c>
      <c r="D86" s="7" t="s">
        <v>109</v>
      </c>
      <c r="E86" s="7" t="s">
        <v>431</v>
      </c>
      <c r="F86" s="7" t="s">
        <v>430</v>
      </c>
      <c r="G86" s="9">
        <v>46073</v>
      </c>
      <c r="H86" s="7" t="s">
        <v>100</v>
      </c>
      <c r="I86" s="7">
        <v>10</v>
      </c>
      <c r="J86" s="7"/>
      <c r="K86" s="7"/>
      <c r="L86" s="7"/>
      <c r="N86" t="str">
        <f t="shared" si="2"/>
        <v>1643005110</v>
      </c>
    </row>
    <row r="87" spans="1:14">
      <c r="A87" s="7" t="s">
        <v>105</v>
      </c>
      <c r="B87" s="7" t="s">
        <v>105</v>
      </c>
      <c r="C87" s="7" t="s">
        <v>101</v>
      </c>
      <c r="D87" s="7" t="s">
        <v>69</v>
      </c>
      <c r="E87" s="7" t="s">
        <v>108</v>
      </c>
      <c r="F87" s="7" t="s">
        <v>79</v>
      </c>
      <c r="G87" s="9">
        <v>46073</v>
      </c>
      <c r="H87" s="7" t="s">
        <v>100</v>
      </c>
      <c r="I87" s="7">
        <v>10</v>
      </c>
      <c r="J87" s="7"/>
      <c r="K87" s="7"/>
      <c r="L87" s="7"/>
      <c r="N87" t="str">
        <f t="shared" si="2"/>
        <v>1643005120</v>
      </c>
    </row>
    <row r="88" spans="1:14">
      <c r="A88" s="7" t="s">
        <v>126</v>
      </c>
      <c r="B88" s="7" t="s">
        <v>569</v>
      </c>
      <c r="C88" s="7" t="s">
        <v>322</v>
      </c>
      <c r="D88" s="7" t="s">
        <v>109</v>
      </c>
      <c r="E88" s="7" t="s">
        <v>439</v>
      </c>
      <c r="F88" s="7" t="s">
        <v>437</v>
      </c>
      <c r="G88" s="9">
        <v>46073</v>
      </c>
      <c r="H88" s="7" t="s">
        <v>227</v>
      </c>
      <c r="I88" s="7">
        <v>1</v>
      </c>
      <c r="J88" s="7"/>
      <c r="K88" s="7"/>
      <c r="L88" s="7"/>
      <c r="N88" t="str">
        <f t="shared" si="2"/>
        <v>1642992310</v>
      </c>
    </row>
    <row r="89" spans="1:14">
      <c r="A89" s="7" t="s">
        <v>126</v>
      </c>
      <c r="B89" s="7" t="s">
        <v>569</v>
      </c>
      <c r="C89" s="7" t="s">
        <v>254</v>
      </c>
      <c r="D89" s="7" t="s">
        <v>109</v>
      </c>
      <c r="E89" s="7" t="s">
        <v>273</v>
      </c>
      <c r="F89" s="7" t="s">
        <v>271</v>
      </c>
      <c r="G89" s="9">
        <v>46073</v>
      </c>
      <c r="H89" s="7" t="s">
        <v>227</v>
      </c>
      <c r="I89" s="7">
        <v>10</v>
      </c>
      <c r="J89" s="7"/>
      <c r="K89" s="7"/>
      <c r="L89" s="7"/>
      <c r="N89" t="str">
        <f t="shared" si="2"/>
        <v>1642998910</v>
      </c>
    </row>
    <row r="90" spans="1:14">
      <c r="A90" s="7" t="s">
        <v>126</v>
      </c>
      <c r="B90" s="7" t="s">
        <v>569</v>
      </c>
      <c r="C90" s="7" t="s">
        <v>254</v>
      </c>
      <c r="D90" s="7" t="s">
        <v>346</v>
      </c>
      <c r="E90" s="7" t="s">
        <v>351</v>
      </c>
      <c r="F90" s="7" t="s">
        <v>348</v>
      </c>
      <c r="G90" s="9">
        <v>46073</v>
      </c>
      <c r="H90" s="7" t="s">
        <v>227</v>
      </c>
      <c r="I90" s="7">
        <v>10</v>
      </c>
      <c r="J90" s="7"/>
      <c r="K90" s="7"/>
      <c r="L90" s="7"/>
      <c r="N90" t="str">
        <f t="shared" si="2"/>
        <v>16429989110</v>
      </c>
    </row>
    <row r="91" spans="1:14">
      <c r="A91" s="7" t="s">
        <v>126</v>
      </c>
      <c r="B91" s="7" t="s">
        <v>569</v>
      </c>
      <c r="C91" s="7" t="s">
        <v>254</v>
      </c>
      <c r="D91" s="7" t="s">
        <v>222</v>
      </c>
      <c r="E91" s="7" t="s">
        <v>258</v>
      </c>
      <c r="F91" s="7" t="s">
        <v>256</v>
      </c>
      <c r="G91" s="9">
        <v>46073</v>
      </c>
      <c r="H91" s="7" t="s">
        <v>227</v>
      </c>
      <c r="I91" s="7">
        <v>10</v>
      </c>
      <c r="J91" s="7"/>
      <c r="K91" s="7"/>
      <c r="L91" s="7"/>
      <c r="N91" t="str">
        <f t="shared" si="2"/>
        <v>16429989130</v>
      </c>
    </row>
    <row r="92" spans="1:14">
      <c r="A92" s="7" t="s">
        <v>126</v>
      </c>
      <c r="B92" s="7" t="s">
        <v>569</v>
      </c>
      <c r="C92" s="7" t="s">
        <v>254</v>
      </c>
      <c r="D92" s="7" t="s">
        <v>284</v>
      </c>
      <c r="E92" s="7" t="s">
        <v>283</v>
      </c>
      <c r="F92" s="7" t="s">
        <v>286</v>
      </c>
      <c r="G92" s="9">
        <v>46073</v>
      </c>
      <c r="H92" s="7" t="s">
        <v>227</v>
      </c>
      <c r="I92" s="7">
        <v>10</v>
      </c>
      <c r="J92" s="7"/>
      <c r="K92" s="7"/>
      <c r="L92" s="7"/>
      <c r="N92" t="str">
        <f t="shared" si="2"/>
        <v>16429989140</v>
      </c>
    </row>
    <row r="93" spans="1:14">
      <c r="A93" s="7" t="s">
        <v>126</v>
      </c>
      <c r="B93" s="7" t="s">
        <v>569</v>
      </c>
      <c r="C93" s="7" t="s">
        <v>254</v>
      </c>
      <c r="D93" s="7" t="s">
        <v>192</v>
      </c>
      <c r="E93" s="7" t="s">
        <v>269</v>
      </c>
      <c r="F93" s="7" t="s">
        <v>266</v>
      </c>
      <c r="G93" s="9">
        <v>46073</v>
      </c>
      <c r="H93" s="7" t="s">
        <v>227</v>
      </c>
      <c r="I93" s="7">
        <v>10</v>
      </c>
      <c r="J93" s="7"/>
      <c r="K93" s="7"/>
      <c r="L93" s="7"/>
      <c r="N93" t="str">
        <f t="shared" si="2"/>
        <v>16429989150</v>
      </c>
    </row>
    <row r="94" spans="1:14">
      <c r="A94" s="7" t="s">
        <v>126</v>
      </c>
      <c r="B94" s="7" t="s">
        <v>569</v>
      </c>
      <c r="C94" s="7" t="s">
        <v>254</v>
      </c>
      <c r="D94" s="7" t="s">
        <v>178</v>
      </c>
      <c r="E94" s="7" t="s">
        <v>283</v>
      </c>
      <c r="F94" s="7" t="s">
        <v>279</v>
      </c>
      <c r="G94" s="9">
        <v>46073</v>
      </c>
      <c r="H94" s="7" t="s">
        <v>227</v>
      </c>
      <c r="I94" s="7">
        <v>15</v>
      </c>
      <c r="J94" s="11" t="s">
        <v>98</v>
      </c>
      <c r="K94" s="11" t="s">
        <v>703</v>
      </c>
      <c r="L94" s="7"/>
      <c r="N94" t="str">
        <f t="shared" si="2"/>
        <v>1642998940</v>
      </c>
    </row>
    <row r="95" spans="1:14">
      <c r="A95" s="7" t="s">
        <v>126</v>
      </c>
      <c r="B95" s="7" t="s">
        <v>569</v>
      </c>
      <c r="C95" s="7" t="s">
        <v>254</v>
      </c>
      <c r="D95" s="7" t="s">
        <v>235</v>
      </c>
      <c r="E95" s="7" t="s">
        <v>283</v>
      </c>
      <c r="F95" s="7" t="s">
        <v>345</v>
      </c>
      <c r="G95" s="9">
        <v>46073</v>
      </c>
      <c r="H95" s="7" t="s">
        <v>227</v>
      </c>
      <c r="I95" s="7">
        <v>10</v>
      </c>
      <c r="J95" s="7"/>
      <c r="K95" s="7"/>
      <c r="L95" s="7"/>
      <c r="N95" t="str">
        <f t="shared" si="2"/>
        <v>1642998990</v>
      </c>
    </row>
    <row r="96" spans="1:14">
      <c r="A96" s="7" t="s">
        <v>372</v>
      </c>
      <c r="B96" s="7" t="s">
        <v>372</v>
      </c>
      <c r="C96" s="7" t="s">
        <v>322</v>
      </c>
      <c r="D96" s="7" t="s">
        <v>69</v>
      </c>
      <c r="E96" s="7" t="s">
        <v>375</v>
      </c>
      <c r="F96" s="7" t="s">
        <v>435</v>
      </c>
      <c r="G96" s="9">
        <v>46073</v>
      </c>
      <c r="H96" s="7" t="s">
        <v>227</v>
      </c>
      <c r="I96" s="7">
        <v>1</v>
      </c>
      <c r="J96" s="7"/>
      <c r="K96" s="7"/>
      <c r="L96" s="7"/>
      <c r="N96" t="str">
        <f t="shared" si="2"/>
        <v>1642992320</v>
      </c>
    </row>
    <row r="97" spans="1:14">
      <c r="A97" s="7" t="s">
        <v>372</v>
      </c>
      <c r="B97" s="7" t="s">
        <v>372</v>
      </c>
      <c r="C97" s="7" t="s">
        <v>322</v>
      </c>
      <c r="D97" s="7" t="s">
        <v>178</v>
      </c>
      <c r="E97" s="7" t="s">
        <v>375</v>
      </c>
      <c r="F97" s="7" t="s">
        <v>369</v>
      </c>
      <c r="G97" s="9">
        <v>46073</v>
      </c>
      <c r="H97" s="7" t="s">
        <v>227</v>
      </c>
      <c r="I97" s="7">
        <v>2</v>
      </c>
      <c r="J97" s="7"/>
      <c r="K97" s="7"/>
      <c r="L97" s="7"/>
      <c r="N97" t="str">
        <f t="shared" si="2"/>
        <v>1642992340</v>
      </c>
    </row>
    <row r="98" spans="1:14">
      <c r="A98" s="7" t="s">
        <v>159</v>
      </c>
      <c r="B98" s="7" t="s">
        <v>159</v>
      </c>
      <c r="C98" s="7" t="s">
        <v>101</v>
      </c>
      <c r="D98" s="7" t="s">
        <v>143</v>
      </c>
      <c r="E98" s="7" t="s">
        <v>581</v>
      </c>
      <c r="F98" s="7" t="s">
        <v>464</v>
      </c>
      <c r="G98" s="9">
        <v>46073</v>
      </c>
      <c r="H98" s="7" t="s">
        <v>227</v>
      </c>
      <c r="I98" s="7">
        <v>15</v>
      </c>
      <c r="J98" s="7"/>
      <c r="K98" s="7"/>
      <c r="L98" s="7"/>
      <c r="N98" t="str">
        <f t="shared" ref="N98:N129" si="3">C98&amp;D98</f>
        <v>1643005130</v>
      </c>
    </row>
    <row r="99" spans="1:14">
      <c r="A99" s="7" t="s">
        <v>569</v>
      </c>
      <c r="B99" s="7" t="s">
        <v>202</v>
      </c>
      <c r="C99" s="7" t="s">
        <v>254</v>
      </c>
      <c r="D99" s="7" t="s">
        <v>145</v>
      </c>
      <c r="E99" s="7" t="s">
        <v>569</v>
      </c>
      <c r="F99" s="7" t="s">
        <v>343</v>
      </c>
      <c r="G99" s="9">
        <v>46073</v>
      </c>
      <c r="H99" s="7" t="s">
        <v>203</v>
      </c>
      <c r="I99" s="7">
        <v>10</v>
      </c>
      <c r="J99" s="7"/>
      <c r="K99" s="7"/>
      <c r="L99" s="7"/>
      <c r="N99" t="str">
        <f t="shared" si="3"/>
        <v>16429989100</v>
      </c>
    </row>
    <row r="100" spans="1:14">
      <c r="A100" s="7" t="s">
        <v>569</v>
      </c>
      <c r="B100" s="7" t="s">
        <v>202</v>
      </c>
      <c r="C100" s="7" t="s">
        <v>254</v>
      </c>
      <c r="D100" s="7" t="s">
        <v>143</v>
      </c>
      <c r="E100" s="7" t="s">
        <v>569</v>
      </c>
      <c r="F100" s="7" t="s">
        <v>275</v>
      </c>
      <c r="G100" s="9">
        <v>46073</v>
      </c>
      <c r="H100" s="7" t="s">
        <v>203</v>
      </c>
      <c r="I100" s="7">
        <v>10</v>
      </c>
      <c r="J100" s="7"/>
      <c r="K100" s="7"/>
      <c r="L100" s="7"/>
      <c r="N100" t="str">
        <f t="shared" si="3"/>
        <v>1642998930</v>
      </c>
    </row>
    <row r="101" spans="1:14">
      <c r="A101" s="7" t="s">
        <v>569</v>
      </c>
      <c r="B101" s="7" t="s">
        <v>232</v>
      </c>
      <c r="C101" s="7" t="s">
        <v>322</v>
      </c>
      <c r="D101" s="7" t="s">
        <v>143</v>
      </c>
      <c r="E101" s="7" t="s">
        <v>569</v>
      </c>
      <c r="F101" s="7" t="s">
        <v>341</v>
      </c>
      <c r="G101" s="9">
        <v>46073</v>
      </c>
      <c r="H101" s="7" t="s">
        <v>203</v>
      </c>
      <c r="I101" s="7">
        <v>1</v>
      </c>
      <c r="J101" s="7"/>
      <c r="K101" s="7"/>
      <c r="L101" s="7"/>
      <c r="N101" t="str">
        <f t="shared" si="3"/>
        <v>1642992330</v>
      </c>
    </row>
    <row r="102" spans="1:14">
      <c r="A102" s="7" t="s">
        <v>569</v>
      </c>
      <c r="B102" s="7" t="s">
        <v>372</v>
      </c>
      <c r="C102" s="7" t="s">
        <v>254</v>
      </c>
      <c r="D102" s="7" t="s">
        <v>181</v>
      </c>
      <c r="E102" s="7" t="s">
        <v>569</v>
      </c>
      <c r="F102" s="7" t="s">
        <v>531</v>
      </c>
      <c r="G102" s="9">
        <v>46073</v>
      </c>
      <c r="H102" s="7" t="s">
        <v>203</v>
      </c>
      <c r="I102" s="7">
        <v>20</v>
      </c>
      <c r="J102" s="7" t="s">
        <v>694</v>
      </c>
      <c r="K102" s="11"/>
      <c r="L102" s="7"/>
      <c r="N102" t="str">
        <f t="shared" si="3"/>
        <v>16429989160</v>
      </c>
    </row>
    <row r="103" spans="1:14">
      <c r="A103" s="7" t="s">
        <v>569</v>
      </c>
      <c r="B103" s="7" t="s">
        <v>372</v>
      </c>
      <c r="C103" s="7" t="s">
        <v>254</v>
      </c>
      <c r="D103" s="7" t="s">
        <v>89</v>
      </c>
      <c r="E103" s="7" t="s">
        <v>569</v>
      </c>
      <c r="F103" s="7" t="s">
        <v>535</v>
      </c>
      <c r="G103" s="9">
        <v>46073</v>
      </c>
      <c r="H103" s="7" t="s">
        <v>203</v>
      </c>
      <c r="I103" s="7">
        <v>20</v>
      </c>
      <c r="J103" s="7" t="s">
        <v>694</v>
      </c>
      <c r="K103" s="11"/>
      <c r="L103" s="7"/>
      <c r="N103" t="str">
        <f t="shared" si="3"/>
        <v>16429989170</v>
      </c>
    </row>
    <row r="104" spans="1:14">
      <c r="A104" s="7" t="s">
        <v>569</v>
      </c>
      <c r="B104" s="7" t="s">
        <v>372</v>
      </c>
      <c r="C104" s="7" t="s">
        <v>254</v>
      </c>
      <c r="D104" s="7" t="s">
        <v>417</v>
      </c>
      <c r="E104" s="7" t="s">
        <v>569</v>
      </c>
      <c r="F104" s="7" t="s">
        <v>527</v>
      </c>
      <c r="G104" s="9">
        <v>46073</v>
      </c>
      <c r="H104" s="7" t="s">
        <v>203</v>
      </c>
      <c r="I104" s="7">
        <v>7</v>
      </c>
      <c r="J104" s="7" t="s">
        <v>694</v>
      </c>
      <c r="K104" s="11"/>
      <c r="L104" s="7"/>
      <c r="N104" t="str">
        <f t="shared" si="3"/>
        <v>16429989180</v>
      </c>
    </row>
    <row r="105" spans="1:14">
      <c r="A105" s="7" t="s">
        <v>569</v>
      </c>
      <c r="B105" s="7" t="s">
        <v>569</v>
      </c>
      <c r="C105" s="7" t="s">
        <v>322</v>
      </c>
      <c r="D105" s="7" t="s">
        <v>262</v>
      </c>
      <c r="E105" s="7" t="s">
        <v>569</v>
      </c>
      <c r="F105" s="7" t="s">
        <v>324</v>
      </c>
      <c r="G105" s="9">
        <v>46073</v>
      </c>
      <c r="H105" s="7" t="s">
        <v>550</v>
      </c>
      <c r="I105" s="7">
        <v>1</v>
      </c>
      <c r="J105" s="7"/>
      <c r="K105" s="7"/>
      <c r="L105" s="7"/>
      <c r="N105" t="str">
        <f t="shared" si="3"/>
        <v>1642992350</v>
      </c>
    </row>
    <row r="106" spans="1:14">
      <c r="A106" s="7" t="s">
        <v>569</v>
      </c>
      <c r="B106" s="7" t="s">
        <v>569</v>
      </c>
      <c r="C106" s="7" t="s">
        <v>254</v>
      </c>
      <c r="D106" s="7" t="s">
        <v>69</v>
      </c>
      <c r="E106" s="7" t="s">
        <v>569</v>
      </c>
      <c r="F106" s="7" t="s">
        <v>277</v>
      </c>
      <c r="G106" s="9">
        <v>46073</v>
      </c>
      <c r="H106" s="7" t="s">
        <v>180</v>
      </c>
      <c r="I106" s="7">
        <v>10</v>
      </c>
      <c r="J106" s="7"/>
      <c r="K106" s="7"/>
      <c r="L106" s="7"/>
      <c r="N106" t="str">
        <f t="shared" si="3"/>
        <v>1642998920</v>
      </c>
    </row>
    <row r="107" spans="1:14">
      <c r="A107" s="7" t="s">
        <v>569</v>
      </c>
      <c r="B107" s="7" t="s">
        <v>569</v>
      </c>
      <c r="C107" s="7" t="s">
        <v>254</v>
      </c>
      <c r="D107" s="7" t="s">
        <v>262</v>
      </c>
      <c r="E107" s="7" t="s">
        <v>569</v>
      </c>
      <c r="F107" s="7" t="s">
        <v>264</v>
      </c>
      <c r="G107" s="9">
        <v>46073</v>
      </c>
      <c r="H107" s="7" t="s">
        <v>180</v>
      </c>
      <c r="I107" s="7">
        <v>20</v>
      </c>
      <c r="J107" s="7"/>
      <c r="K107" s="7"/>
      <c r="L107" s="7"/>
      <c r="N107" t="str">
        <f t="shared" si="3"/>
        <v>1642998950</v>
      </c>
    </row>
    <row r="108" spans="1:14">
      <c r="A108" s="7" t="s">
        <v>569</v>
      </c>
      <c r="B108" s="7" t="s">
        <v>569</v>
      </c>
      <c r="C108" s="7" t="s">
        <v>254</v>
      </c>
      <c r="D108" s="7" t="s">
        <v>259</v>
      </c>
      <c r="E108" s="7" t="s">
        <v>569</v>
      </c>
      <c r="F108" s="7" t="s">
        <v>261</v>
      </c>
      <c r="G108" s="9">
        <v>46073</v>
      </c>
      <c r="H108" s="7" t="s">
        <v>180</v>
      </c>
      <c r="I108" s="7">
        <v>5</v>
      </c>
      <c r="J108" s="7"/>
      <c r="K108" s="7"/>
      <c r="L108" s="7"/>
      <c r="N108" t="str">
        <f t="shared" si="3"/>
        <v>1642998960</v>
      </c>
    </row>
    <row r="109" spans="1:14">
      <c r="A109" s="7" t="s">
        <v>569</v>
      </c>
      <c r="B109" s="7" t="s">
        <v>569</v>
      </c>
      <c r="C109" s="7" t="s">
        <v>207</v>
      </c>
      <c r="D109" s="7" t="s">
        <v>262</v>
      </c>
      <c r="E109" s="7" t="s">
        <v>569</v>
      </c>
      <c r="F109" s="7" t="s">
        <v>511</v>
      </c>
      <c r="G109" s="9">
        <v>46090</v>
      </c>
      <c r="H109" s="7" t="s">
        <v>180</v>
      </c>
      <c r="I109" s="7">
        <v>6</v>
      </c>
      <c r="J109" s="7"/>
      <c r="K109" s="7"/>
      <c r="L109" s="7"/>
      <c r="N109" t="str">
        <f t="shared" si="3"/>
        <v>1643279450</v>
      </c>
    </row>
    <row r="110" spans="1:14">
      <c r="A110" s="7" t="s">
        <v>90</v>
      </c>
      <c r="B110" s="7" t="s">
        <v>90</v>
      </c>
      <c r="C110" s="7" t="s">
        <v>207</v>
      </c>
      <c r="D110" s="7" t="s">
        <v>259</v>
      </c>
      <c r="E110" s="7" t="s">
        <v>605</v>
      </c>
      <c r="F110" s="7" t="s">
        <v>377</v>
      </c>
      <c r="G110" s="9">
        <v>46090</v>
      </c>
      <c r="H110" s="7" t="s">
        <v>227</v>
      </c>
      <c r="I110" s="7">
        <v>2</v>
      </c>
      <c r="J110" s="7"/>
      <c r="K110" s="7"/>
      <c r="L110" s="7"/>
      <c r="N110" t="str">
        <f t="shared" si="3"/>
        <v>1643279460</v>
      </c>
    </row>
    <row r="111" spans="1:14">
      <c r="A111" s="7" t="s">
        <v>90</v>
      </c>
      <c r="B111" s="7" t="s">
        <v>90</v>
      </c>
      <c r="C111" s="7" t="s">
        <v>207</v>
      </c>
      <c r="D111" s="7" t="s">
        <v>140</v>
      </c>
      <c r="E111" s="7" t="s">
        <v>606</v>
      </c>
      <c r="F111" s="7" t="s">
        <v>379</v>
      </c>
      <c r="G111" s="9">
        <v>46090</v>
      </c>
      <c r="H111" s="7" t="s">
        <v>227</v>
      </c>
      <c r="I111" s="7">
        <v>5</v>
      </c>
      <c r="J111" s="7"/>
      <c r="K111" s="7"/>
      <c r="L111" s="7"/>
      <c r="N111" t="str">
        <f t="shared" si="3"/>
        <v>1643279470</v>
      </c>
    </row>
    <row r="112" spans="1:14">
      <c r="A112" s="7" t="s">
        <v>90</v>
      </c>
      <c r="B112" s="7" t="s">
        <v>90</v>
      </c>
      <c r="C112" s="7" t="s">
        <v>207</v>
      </c>
      <c r="D112" s="7" t="s">
        <v>243</v>
      </c>
      <c r="E112" s="7" t="s">
        <v>605</v>
      </c>
      <c r="F112" s="7" t="s">
        <v>381</v>
      </c>
      <c r="G112" s="9">
        <v>46090</v>
      </c>
      <c r="H112" s="7" t="s">
        <v>227</v>
      </c>
      <c r="I112" s="7">
        <v>5</v>
      </c>
      <c r="J112" s="7"/>
      <c r="K112" s="7"/>
      <c r="L112" s="7"/>
      <c r="N112" t="str">
        <f t="shared" si="3"/>
        <v>1643279480</v>
      </c>
    </row>
    <row r="113" spans="1:14">
      <c r="A113" s="7" t="s">
        <v>126</v>
      </c>
      <c r="B113" s="7" t="s">
        <v>569</v>
      </c>
      <c r="C113" s="7" t="s">
        <v>177</v>
      </c>
      <c r="D113" s="7" t="s">
        <v>69</v>
      </c>
      <c r="E113" s="7" t="s">
        <v>601</v>
      </c>
      <c r="F113" s="7" t="s">
        <v>383</v>
      </c>
      <c r="G113" s="9">
        <v>46090</v>
      </c>
      <c r="H113" s="7" t="s">
        <v>227</v>
      </c>
      <c r="I113" s="7">
        <v>15</v>
      </c>
      <c r="J113" s="7"/>
      <c r="K113" s="7"/>
      <c r="L113" s="7"/>
      <c r="N113" t="str">
        <f t="shared" si="3"/>
        <v>1643277620</v>
      </c>
    </row>
    <row r="114" spans="1:14">
      <c r="A114" s="7" t="s">
        <v>126</v>
      </c>
      <c r="B114" s="7" t="s">
        <v>569</v>
      </c>
      <c r="C114" s="7" t="s">
        <v>207</v>
      </c>
      <c r="D114" s="7" t="s">
        <v>109</v>
      </c>
      <c r="E114" s="7" t="s">
        <v>233</v>
      </c>
      <c r="F114" s="7" t="s">
        <v>229</v>
      </c>
      <c r="G114" s="9">
        <v>46090</v>
      </c>
      <c r="H114" s="7" t="s">
        <v>227</v>
      </c>
      <c r="I114" s="7">
        <v>10</v>
      </c>
      <c r="J114" s="7"/>
      <c r="K114" s="7"/>
      <c r="L114" s="7"/>
      <c r="N114" t="str">
        <f t="shared" si="3"/>
        <v>1643279410</v>
      </c>
    </row>
    <row r="115" spans="1:14">
      <c r="A115" s="7" t="s">
        <v>569</v>
      </c>
      <c r="B115" s="7" t="s">
        <v>232</v>
      </c>
      <c r="C115" s="7" t="s">
        <v>177</v>
      </c>
      <c r="D115" s="7" t="s">
        <v>109</v>
      </c>
      <c r="E115" s="7" t="s">
        <v>569</v>
      </c>
      <c r="F115" s="7" t="s">
        <v>541</v>
      </c>
      <c r="G115" s="9">
        <v>46090</v>
      </c>
      <c r="H115" s="7" t="s">
        <v>203</v>
      </c>
      <c r="I115" s="7">
        <v>4</v>
      </c>
      <c r="J115" s="7"/>
      <c r="K115" s="7"/>
      <c r="L115" s="7"/>
      <c r="N115" t="str">
        <f t="shared" si="3"/>
        <v>1643277610</v>
      </c>
    </row>
    <row r="116" spans="1:14">
      <c r="A116" s="7" t="s">
        <v>569</v>
      </c>
      <c r="B116" s="7" t="s">
        <v>232</v>
      </c>
      <c r="C116" s="7" t="s">
        <v>177</v>
      </c>
      <c r="D116" s="7" t="s">
        <v>178</v>
      </c>
      <c r="E116" s="7" t="s">
        <v>569</v>
      </c>
      <c r="F116" s="7" t="s">
        <v>174</v>
      </c>
      <c r="G116" s="9">
        <v>46090</v>
      </c>
      <c r="H116" s="7" t="s">
        <v>203</v>
      </c>
      <c r="I116" s="7">
        <v>10</v>
      </c>
      <c r="J116" s="7"/>
      <c r="K116" s="7"/>
      <c r="L116" s="7"/>
      <c r="N116" t="str">
        <f t="shared" si="3"/>
        <v>1643277640</v>
      </c>
    </row>
    <row r="117" spans="1:14">
      <c r="A117" s="7" t="s">
        <v>569</v>
      </c>
      <c r="B117" s="7" t="s">
        <v>569</v>
      </c>
      <c r="C117" s="7" t="s">
        <v>177</v>
      </c>
      <c r="D117" s="7" t="s">
        <v>143</v>
      </c>
      <c r="E117" s="7" t="s">
        <v>569</v>
      </c>
      <c r="F117" s="7" t="s">
        <v>433</v>
      </c>
      <c r="G117" s="9">
        <v>46090</v>
      </c>
      <c r="H117" s="7" t="s">
        <v>180</v>
      </c>
      <c r="I117" s="7">
        <v>15</v>
      </c>
      <c r="J117" s="7"/>
      <c r="K117" s="7"/>
      <c r="L117" s="7"/>
      <c r="N117" t="str">
        <f t="shared" si="3"/>
        <v>1643277630</v>
      </c>
    </row>
    <row r="118" spans="1:14">
      <c r="A118" s="7" t="s">
        <v>569</v>
      </c>
      <c r="B118" s="7" t="s">
        <v>569</v>
      </c>
      <c r="C118" s="7" t="s">
        <v>207</v>
      </c>
      <c r="D118" s="7" t="s">
        <v>178</v>
      </c>
      <c r="E118" s="7" t="s">
        <v>569</v>
      </c>
      <c r="F118" s="7" t="s">
        <v>515</v>
      </c>
      <c r="G118" s="9">
        <v>46090</v>
      </c>
      <c r="H118" s="7" t="s">
        <v>180</v>
      </c>
      <c r="I118" s="7">
        <v>6</v>
      </c>
      <c r="J118" s="7"/>
      <c r="K118" s="7"/>
      <c r="L118" s="7"/>
      <c r="N118" t="str">
        <f t="shared" si="3"/>
        <v>1643279440</v>
      </c>
    </row>
    <row r="119" spans="1:14">
      <c r="A119" s="7" t="s">
        <v>588</v>
      </c>
      <c r="B119" s="7" t="s">
        <v>588</v>
      </c>
      <c r="C119" s="7" t="s">
        <v>207</v>
      </c>
      <c r="D119" s="7" t="s">
        <v>69</v>
      </c>
      <c r="E119" s="7" t="s">
        <v>591</v>
      </c>
      <c r="F119" s="7" t="s">
        <v>441</v>
      </c>
      <c r="G119" s="9">
        <v>46090</v>
      </c>
      <c r="H119" s="7" t="s">
        <v>100</v>
      </c>
      <c r="I119" s="7">
        <v>5</v>
      </c>
      <c r="J119" s="7" t="s">
        <v>98</v>
      </c>
      <c r="K119" s="7" t="s">
        <v>98</v>
      </c>
      <c r="L119" s="7" t="s">
        <v>98</v>
      </c>
      <c r="N119" t="str">
        <f t="shared" si="3"/>
        <v>1643279420</v>
      </c>
    </row>
    <row r="120" spans="1:14">
      <c r="A120" s="7" t="s">
        <v>588</v>
      </c>
      <c r="B120" s="7" t="s">
        <v>588</v>
      </c>
      <c r="C120" s="7" t="s">
        <v>207</v>
      </c>
      <c r="D120" s="7" t="s">
        <v>143</v>
      </c>
      <c r="E120" s="7" t="s">
        <v>591</v>
      </c>
      <c r="F120" s="7" t="s">
        <v>209</v>
      </c>
      <c r="G120" s="9">
        <v>46090</v>
      </c>
      <c r="H120" s="7" t="s">
        <v>100</v>
      </c>
      <c r="I120" s="7">
        <v>2</v>
      </c>
      <c r="J120" s="7" t="s">
        <v>98</v>
      </c>
      <c r="K120" s="7" t="s">
        <v>98</v>
      </c>
      <c r="L120" s="7" t="s">
        <v>98</v>
      </c>
      <c r="N120" t="str">
        <f t="shared" si="3"/>
        <v>1643279430</v>
      </c>
    </row>
    <row r="121" spans="1:14">
      <c r="A121" s="7" t="s">
        <v>569</v>
      </c>
      <c r="B121" s="7" t="s">
        <v>569</v>
      </c>
      <c r="C121" s="7" t="s">
        <v>607</v>
      </c>
      <c r="D121" s="7" t="s">
        <v>109</v>
      </c>
      <c r="E121" s="7" t="s">
        <v>569</v>
      </c>
      <c r="F121" s="7" t="s">
        <v>609</v>
      </c>
      <c r="G121" s="9">
        <v>46111</v>
      </c>
      <c r="H121" s="7" t="s">
        <v>180</v>
      </c>
      <c r="I121" s="7">
        <v>1</v>
      </c>
      <c r="J121" s="7"/>
      <c r="K121" s="7"/>
      <c r="L121" s="7"/>
      <c r="N121" t="str">
        <f t="shared" si="3"/>
        <v>1643677210</v>
      </c>
    </row>
    <row r="122" spans="1:14">
      <c r="A122" s="7" t="s">
        <v>569</v>
      </c>
      <c r="B122" s="7" t="s">
        <v>569</v>
      </c>
      <c r="C122" s="7" t="s">
        <v>613</v>
      </c>
      <c r="D122" s="7" t="s">
        <v>109</v>
      </c>
      <c r="E122" s="7" t="s">
        <v>569</v>
      </c>
      <c r="F122" s="7" t="s">
        <v>615</v>
      </c>
      <c r="G122" s="9">
        <v>46111</v>
      </c>
      <c r="H122" s="7" t="s">
        <v>550</v>
      </c>
      <c r="I122" s="7">
        <v>1</v>
      </c>
      <c r="J122" s="7"/>
      <c r="K122" s="7"/>
      <c r="L122" s="7"/>
      <c r="N122" t="str">
        <f t="shared" si="3"/>
        <v>1643674910</v>
      </c>
    </row>
    <row r="123" spans="1:14">
      <c r="A123" s="7" t="s">
        <v>569</v>
      </c>
      <c r="B123" s="7" t="s">
        <v>569</v>
      </c>
      <c r="C123" s="7" t="s">
        <v>685</v>
      </c>
      <c r="D123" s="7" t="s">
        <v>109</v>
      </c>
      <c r="E123" s="7" t="s">
        <v>569</v>
      </c>
      <c r="F123" s="7" t="s">
        <v>199</v>
      </c>
      <c r="G123" s="9">
        <v>46113</v>
      </c>
      <c r="H123" s="7" t="s">
        <v>180</v>
      </c>
      <c r="I123" s="7">
        <v>100</v>
      </c>
      <c r="J123" s="7"/>
      <c r="K123" s="7"/>
      <c r="L123" s="7"/>
      <c r="M123" s="12" t="s">
        <v>705</v>
      </c>
      <c r="N123" t="str">
        <f t="shared" si="3"/>
        <v>1643733910</v>
      </c>
    </row>
    <row r="124" spans="1:14">
      <c r="A124" s="7" t="s">
        <v>569</v>
      </c>
      <c r="B124" s="7" t="s">
        <v>569</v>
      </c>
      <c r="C124" s="7" t="s">
        <v>685</v>
      </c>
      <c r="D124" s="7" t="s">
        <v>69</v>
      </c>
      <c r="E124" s="7" t="s">
        <v>569</v>
      </c>
      <c r="F124" s="7" t="s">
        <v>691</v>
      </c>
      <c r="G124" s="9">
        <v>46113</v>
      </c>
      <c r="H124" s="7" t="s">
        <v>180</v>
      </c>
      <c r="I124" s="7">
        <v>100</v>
      </c>
      <c r="J124" s="7"/>
      <c r="K124" s="7"/>
      <c r="L124" s="7"/>
      <c r="N124" t="str">
        <f t="shared" si="3"/>
        <v>1643733920</v>
      </c>
    </row>
    <row r="125" spans="1:14">
      <c r="A125" s="7" t="s">
        <v>569</v>
      </c>
      <c r="B125" s="7" t="s">
        <v>569</v>
      </c>
      <c r="C125" s="7" t="s">
        <v>685</v>
      </c>
      <c r="D125" s="7" t="s">
        <v>143</v>
      </c>
      <c r="E125" s="7" t="s">
        <v>569</v>
      </c>
      <c r="F125" s="7" t="s">
        <v>689</v>
      </c>
      <c r="G125" s="9">
        <v>46113</v>
      </c>
      <c r="H125" s="7" t="s">
        <v>180</v>
      </c>
      <c r="I125" s="7">
        <v>100</v>
      </c>
      <c r="J125" s="7"/>
      <c r="K125" s="7"/>
      <c r="L125" s="7"/>
      <c r="N125" t="str">
        <f t="shared" si="3"/>
        <v>1643733930</v>
      </c>
    </row>
    <row r="126" spans="1:14">
      <c r="A126" s="7" t="s">
        <v>569</v>
      </c>
      <c r="B126" s="7" t="s">
        <v>569</v>
      </c>
      <c r="C126" s="7" t="s">
        <v>685</v>
      </c>
      <c r="D126" s="7" t="s">
        <v>178</v>
      </c>
      <c r="E126" s="7" t="s">
        <v>569</v>
      </c>
      <c r="F126" s="7" t="s">
        <v>687</v>
      </c>
      <c r="G126" s="9">
        <v>46113</v>
      </c>
      <c r="H126" s="7" t="s">
        <v>180</v>
      </c>
      <c r="I126" s="7">
        <v>200</v>
      </c>
      <c r="J126" s="7"/>
      <c r="K126" s="7"/>
      <c r="L126" s="7"/>
      <c r="N126" t="str">
        <f t="shared" si="3"/>
        <v>1643733940</v>
      </c>
    </row>
    <row r="127" spans="1:14">
      <c r="A127" s="7" t="s">
        <v>569</v>
      </c>
      <c r="B127" s="7" t="s">
        <v>569</v>
      </c>
      <c r="C127" s="7" t="s">
        <v>583</v>
      </c>
      <c r="D127" s="7" t="s">
        <v>178</v>
      </c>
      <c r="E127" s="7" t="s">
        <v>569</v>
      </c>
      <c r="F127" s="7" t="s">
        <v>615</v>
      </c>
      <c r="G127" s="9">
        <v>46122</v>
      </c>
      <c r="H127" s="7" t="s">
        <v>585</v>
      </c>
      <c r="I127" s="7">
        <v>10</v>
      </c>
      <c r="J127" s="7"/>
      <c r="K127" s="7"/>
      <c r="L127" s="7"/>
      <c r="N127" t="str">
        <f t="shared" si="3"/>
        <v>1643886340</v>
      </c>
    </row>
    <row r="128" spans="1:14">
      <c r="A128" s="7" t="s">
        <v>569</v>
      </c>
      <c r="B128" s="7" t="s">
        <v>569</v>
      </c>
      <c r="C128" s="7" t="s">
        <v>583</v>
      </c>
      <c r="D128" s="7" t="s">
        <v>262</v>
      </c>
      <c r="E128" s="7" t="s">
        <v>569</v>
      </c>
      <c r="F128" s="7" t="s">
        <v>443</v>
      </c>
      <c r="G128" s="9">
        <v>46122</v>
      </c>
      <c r="H128" s="7" t="s">
        <v>585</v>
      </c>
      <c r="I128" s="7">
        <v>10</v>
      </c>
      <c r="J128" s="7"/>
      <c r="K128" s="7"/>
      <c r="L128" s="7"/>
      <c r="N128" t="str">
        <f t="shared" si="3"/>
        <v>1643886350</v>
      </c>
    </row>
    <row r="129" spans="1:14">
      <c r="A129" s="7" t="s">
        <v>569</v>
      </c>
      <c r="B129" s="7" t="s">
        <v>569</v>
      </c>
      <c r="C129" s="7" t="s">
        <v>583</v>
      </c>
      <c r="D129" s="7" t="s">
        <v>259</v>
      </c>
      <c r="E129" s="7" t="s">
        <v>569</v>
      </c>
      <c r="F129" s="7" t="s">
        <v>445</v>
      </c>
      <c r="G129" s="9">
        <v>46122</v>
      </c>
      <c r="H129" s="7" t="s">
        <v>585</v>
      </c>
      <c r="I129" s="7">
        <v>10</v>
      </c>
      <c r="J129" s="7"/>
      <c r="K129" s="7"/>
      <c r="L129" s="7"/>
      <c r="N129" t="str">
        <f t="shared" si="3"/>
        <v>1643886360</v>
      </c>
    </row>
    <row r="130" spans="1:14">
      <c r="A130" s="7" t="s">
        <v>569</v>
      </c>
      <c r="B130" s="7" t="s">
        <v>569</v>
      </c>
      <c r="C130" s="7" t="s">
        <v>583</v>
      </c>
      <c r="D130" s="7" t="s">
        <v>140</v>
      </c>
      <c r="E130" s="7" t="s">
        <v>569</v>
      </c>
      <c r="F130" s="7" t="s">
        <v>317</v>
      </c>
      <c r="G130" s="9">
        <v>46122</v>
      </c>
      <c r="H130" s="7" t="s">
        <v>585</v>
      </c>
      <c r="I130" s="7">
        <v>2</v>
      </c>
      <c r="J130" s="7"/>
      <c r="K130" s="7"/>
      <c r="L130" s="7"/>
      <c r="N130" t="str">
        <f t="shared" ref="N130:N163" si="4">C130&amp;D130</f>
        <v>1643886370</v>
      </c>
    </row>
    <row r="131" spans="1:14">
      <c r="A131" s="7" t="s">
        <v>569</v>
      </c>
      <c r="B131" s="7" t="s">
        <v>569</v>
      </c>
      <c r="C131" s="7" t="s">
        <v>610</v>
      </c>
      <c r="D131" s="7" t="s">
        <v>109</v>
      </c>
      <c r="E131" s="7" t="s">
        <v>569</v>
      </c>
      <c r="F131" s="7" t="s">
        <v>245</v>
      </c>
      <c r="G131" s="9">
        <v>46122</v>
      </c>
      <c r="H131" s="7" t="s">
        <v>585</v>
      </c>
      <c r="I131" s="7">
        <v>40</v>
      </c>
      <c r="J131" s="7"/>
      <c r="K131" s="7"/>
      <c r="L131" s="7"/>
      <c r="N131" t="str">
        <f t="shared" si="4"/>
        <v>1643885810</v>
      </c>
    </row>
    <row r="132" spans="1:14">
      <c r="A132" s="7" t="s">
        <v>569</v>
      </c>
      <c r="B132" s="7" t="s">
        <v>569</v>
      </c>
      <c r="C132" s="7" t="s">
        <v>610</v>
      </c>
      <c r="D132" s="7" t="s">
        <v>69</v>
      </c>
      <c r="E132" s="7" t="s">
        <v>569</v>
      </c>
      <c r="F132" s="7" t="s">
        <v>612</v>
      </c>
      <c r="G132" s="9">
        <v>46122</v>
      </c>
      <c r="H132" s="7" t="s">
        <v>585</v>
      </c>
      <c r="I132" s="7">
        <v>5</v>
      </c>
      <c r="J132" s="7"/>
      <c r="K132" s="7"/>
      <c r="L132" s="7"/>
      <c r="N132" t="str">
        <f t="shared" si="4"/>
        <v>1643885820</v>
      </c>
    </row>
    <row r="133" spans="1:14">
      <c r="A133" s="7" t="s">
        <v>569</v>
      </c>
      <c r="B133" s="7" t="s">
        <v>569</v>
      </c>
      <c r="C133" s="7" t="s">
        <v>610</v>
      </c>
      <c r="D133" s="7" t="s">
        <v>143</v>
      </c>
      <c r="E133" s="7" t="s">
        <v>569</v>
      </c>
      <c r="F133" s="7" t="s">
        <v>353</v>
      </c>
      <c r="G133" s="9">
        <v>46122</v>
      </c>
      <c r="H133" s="7" t="s">
        <v>585</v>
      </c>
      <c r="I133" s="7">
        <v>5</v>
      </c>
      <c r="J133" s="7"/>
      <c r="K133" s="7"/>
      <c r="L133" s="7"/>
      <c r="N133" t="str">
        <f t="shared" si="4"/>
        <v>1643885830</v>
      </c>
    </row>
    <row r="134" spans="1:14">
      <c r="A134" s="7" t="s">
        <v>569</v>
      </c>
      <c r="B134" s="7" t="s">
        <v>569</v>
      </c>
      <c r="C134" s="7" t="s">
        <v>610</v>
      </c>
      <c r="D134" s="7" t="s">
        <v>178</v>
      </c>
      <c r="E134" s="7" t="s">
        <v>569</v>
      </c>
      <c r="F134" s="7" t="s">
        <v>355</v>
      </c>
      <c r="G134" s="9">
        <v>46122</v>
      </c>
      <c r="H134" s="7" t="s">
        <v>585</v>
      </c>
      <c r="I134" s="7">
        <v>5</v>
      </c>
      <c r="J134" s="7"/>
      <c r="K134" s="7"/>
      <c r="L134" s="7"/>
      <c r="N134" t="str">
        <f t="shared" si="4"/>
        <v>1643885840</v>
      </c>
    </row>
    <row r="135" spans="1:14">
      <c r="A135" s="7" t="s">
        <v>569</v>
      </c>
      <c r="B135" s="7" t="s">
        <v>569</v>
      </c>
      <c r="C135" s="7" t="s">
        <v>616</v>
      </c>
      <c r="D135" s="7" t="s">
        <v>145</v>
      </c>
      <c r="E135" s="7" t="s">
        <v>569</v>
      </c>
      <c r="F135" s="7" t="s">
        <v>624</v>
      </c>
      <c r="G135" s="9">
        <v>46122</v>
      </c>
      <c r="H135" s="7" t="s">
        <v>585</v>
      </c>
      <c r="I135" s="7">
        <v>21</v>
      </c>
      <c r="J135" s="7"/>
      <c r="K135" s="7"/>
      <c r="L135" s="7"/>
      <c r="N135" t="str">
        <f t="shared" si="4"/>
        <v>16438836100</v>
      </c>
    </row>
    <row r="136" spans="1:14">
      <c r="A136" s="7" t="s">
        <v>569</v>
      </c>
      <c r="B136" s="7" t="s">
        <v>569</v>
      </c>
      <c r="C136" s="7" t="s">
        <v>616</v>
      </c>
      <c r="D136" s="7" t="s">
        <v>346</v>
      </c>
      <c r="E136" s="7" t="s">
        <v>569</v>
      </c>
      <c r="F136" s="7" t="s">
        <v>622</v>
      </c>
      <c r="G136" s="9">
        <v>46122</v>
      </c>
      <c r="H136" s="7" t="s">
        <v>585</v>
      </c>
      <c r="I136" s="7">
        <v>21</v>
      </c>
      <c r="J136" s="7"/>
      <c r="K136" s="7"/>
      <c r="L136" s="7"/>
      <c r="N136" t="str">
        <f t="shared" si="4"/>
        <v>16438836110</v>
      </c>
    </row>
    <row r="137" spans="1:14">
      <c r="A137" s="7" t="s">
        <v>569</v>
      </c>
      <c r="B137" s="7" t="s">
        <v>569</v>
      </c>
      <c r="C137" s="7" t="s">
        <v>616</v>
      </c>
      <c r="D137" s="7" t="s">
        <v>420</v>
      </c>
      <c r="E137" s="7" t="s">
        <v>569</v>
      </c>
      <c r="F137" s="7" t="s">
        <v>620</v>
      </c>
      <c r="G137" s="9">
        <v>46122</v>
      </c>
      <c r="H137" s="7" t="s">
        <v>585</v>
      </c>
      <c r="I137" s="7">
        <v>21</v>
      </c>
      <c r="J137" s="7"/>
      <c r="K137" s="7"/>
      <c r="L137" s="7"/>
      <c r="N137" t="str">
        <f t="shared" si="4"/>
        <v>16438836120</v>
      </c>
    </row>
    <row r="138" spans="1:14">
      <c r="A138" s="7" t="s">
        <v>569</v>
      </c>
      <c r="B138" s="7" t="s">
        <v>569</v>
      </c>
      <c r="C138" s="7" t="s">
        <v>616</v>
      </c>
      <c r="D138" s="7" t="s">
        <v>222</v>
      </c>
      <c r="E138" s="7" t="s">
        <v>569</v>
      </c>
      <c r="F138" s="7" t="s">
        <v>618</v>
      </c>
      <c r="G138" s="9">
        <v>46122</v>
      </c>
      <c r="H138" s="7" t="s">
        <v>585</v>
      </c>
      <c r="I138" s="7">
        <v>21</v>
      </c>
      <c r="J138" s="7"/>
      <c r="K138" s="7"/>
      <c r="L138" s="7"/>
      <c r="N138" t="str">
        <f t="shared" si="4"/>
        <v>16438836130</v>
      </c>
    </row>
    <row r="139" spans="1:14">
      <c r="A139" s="7" t="s">
        <v>569</v>
      </c>
      <c r="B139" s="7" t="s">
        <v>569</v>
      </c>
      <c r="C139" s="7" t="s">
        <v>616</v>
      </c>
      <c r="D139" s="7" t="s">
        <v>284</v>
      </c>
      <c r="E139" s="7" t="s">
        <v>569</v>
      </c>
      <c r="F139" s="7" t="s">
        <v>646</v>
      </c>
      <c r="G139" s="9">
        <v>46122</v>
      </c>
      <c r="H139" s="7" t="s">
        <v>585</v>
      </c>
      <c r="I139" s="7">
        <v>21</v>
      </c>
      <c r="J139" s="7"/>
      <c r="K139" s="7"/>
      <c r="L139" s="7"/>
      <c r="N139" t="str">
        <f t="shared" si="4"/>
        <v>16438836140</v>
      </c>
    </row>
    <row r="140" spans="1:14">
      <c r="A140" s="7" t="s">
        <v>569</v>
      </c>
      <c r="B140" s="7" t="s">
        <v>569</v>
      </c>
      <c r="C140" s="7" t="s">
        <v>616</v>
      </c>
      <c r="D140" s="7" t="s">
        <v>192</v>
      </c>
      <c r="E140" s="7" t="s">
        <v>569</v>
      </c>
      <c r="F140" s="7" t="s">
        <v>644</v>
      </c>
      <c r="G140" s="9">
        <v>46122</v>
      </c>
      <c r="H140" s="7" t="s">
        <v>585</v>
      </c>
      <c r="I140" s="7">
        <v>21</v>
      </c>
      <c r="J140" s="7"/>
      <c r="K140" s="7"/>
      <c r="L140" s="7"/>
      <c r="N140" t="str">
        <f t="shared" si="4"/>
        <v>16438836150</v>
      </c>
    </row>
    <row r="141" spans="1:14">
      <c r="A141" s="7" t="s">
        <v>569</v>
      </c>
      <c r="B141" s="7" t="s">
        <v>569</v>
      </c>
      <c r="C141" s="7" t="s">
        <v>616</v>
      </c>
      <c r="D141" s="7" t="s">
        <v>181</v>
      </c>
      <c r="E141" s="7" t="s">
        <v>569</v>
      </c>
      <c r="F141" s="7" t="s">
        <v>642</v>
      </c>
      <c r="G141" s="9">
        <v>46122</v>
      </c>
      <c r="H141" s="7" t="s">
        <v>585</v>
      </c>
      <c r="I141" s="7">
        <v>21</v>
      </c>
      <c r="J141" s="7"/>
      <c r="K141" s="7"/>
      <c r="L141" s="7"/>
      <c r="N141" t="str">
        <f t="shared" si="4"/>
        <v>16438836160</v>
      </c>
    </row>
    <row r="142" spans="1:14">
      <c r="A142" s="7" t="s">
        <v>569</v>
      </c>
      <c r="B142" s="7" t="s">
        <v>569</v>
      </c>
      <c r="C142" s="7" t="s">
        <v>616</v>
      </c>
      <c r="D142" s="7" t="s">
        <v>69</v>
      </c>
      <c r="E142" s="7" t="s">
        <v>569</v>
      </c>
      <c r="F142" s="7" t="s">
        <v>640</v>
      </c>
      <c r="G142" s="9">
        <v>46122</v>
      </c>
      <c r="H142" s="7" t="s">
        <v>585</v>
      </c>
      <c r="I142" s="7">
        <v>27</v>
      </c>
      <c r="J142" s="7"/>
      <c r="K142" s="7"/>
      <c r="L142" s="7"/>
      <c r="N142" t="str">
        <f t="shared" si="4"/>
        <v>1643883620</v>
      </c>
    </row>
    <row r="143" spans="1:14">
      <c r="A143" s="7" t="s">
        <v>569</v>
      </c>
      <c r="B143" s="7" t="s">
        <v>569</v>
      </c>
      <c r="C143" s="7" t="s">
        <v>616</v>
      </c>
      <c r="D143" s="7" t="s">
        <v>143</v>
      </c>
      <c r="E143" s="7" t="s">
        <v>569</v>
      </c>
      <c r="F143" s="7" t="s">
        <v>638</v>
      </c>
      <c r="G143" s="9">
        <v>46122</v>
      </c>
      <c r="H143" s="7" t="s">
        <v>585</v>
      </c>
      <c r="I143" s="7">
        <v>27</v>
      </c>
      <c r="J143" s="7"/>
      <c r="K143" s="7"/>
      <c r="L143" s="7"/>
      <c r="N143" t="str">
        <f t="shared" si="4"/>
        <v>1643883630</v>
      </c>
    </row>
    <row r="144" spans="1:14">
      <c r="A144" s="7" t="s">
        <v>569</v>
      </c>
      <c r="B144" s="7" t="s">
        <v>569</v>
      </c>
      <c r="C144" s="7" t="s">
        <v>616</v>
      </c>
      <c r="D144" s="7" t="s">
        <v>178</v>
      </c>
      <c r="E144" s="7" t="s">
        <v>569</v>
      </c>
      <c r="F144" s="7" t="s">
        <v>636</v>
      </c>
      <c r="G144" s="9">
        <v>46122</v>
      </c>
      <c r="H144" s="7" t="s">
        <v>585</v>
      </c>
      <c r="I144" s="7">
        <v>21</v>
      </c>
      <c r="J144" s="7"/>
      <c r="K144" s="7"/>
      <c r="L144" s="7"/>
      <c r="N144" t="str">
        <f t="shared" si="4"/>
        <v>1643883640</v>
      </c>
    </row>
    <row r="145" spans="1:14">
      <c r="A145" s="7" t="s">
        <v>569</v>
      </c>
      <c r="B145" s="7" t="s">
        <v>569</v>
      </c>
      <c r="C145" s="7" t="s">
        <v>616</v>
      </c>
      <c r="D145" s="7" t="s">
        <v>262</v>
      </c>
      <c r="E145" s="7" t="s">
        <v>569</v>
      </c>
      <c r="F145" s="7" t="s">
        <v>634</v>
      </c>
      <c r="G145" s="9">
        <v>46122</v>
      </c>
      <c r="H145" s="7" t="s">
        <v>585</v>
      </c>
      <c r="I145" s="7">
        <v>21</v>
      </c>
      <c r="J145" s="7"/>
      <c r="K145" s="7"/>
      <c r="L145" s="7"/>
      <c r="N145" t="str">
        <f t="shared" si="4"/>
        <v>1643883650</v>
      </c>
    </row>
    <row r="146" spans="1:14">
      <c r="A146" s="7" t="s">
        <v>569</v>
      </c>
      <c r="B146" s="7" t="s">
        <v>569</v>
      </c>
      <c r="C146" s="7" t="s">
        <v>616</v>
      </c>
      <c r="D146" s="7" t="s">
        <v>259</v>
      </c>
      <c r="E146" s="7" t="s">
        <v>569</v>
      </c>
      <c r="F146" s="7" t="s">
        <v>632</v>
      </c>
      <c r="G146" s="9">
        <v>46122</v>
      </c>
      <c r="H146" s="7" t="s">
        <v>585</v>
      </c>
      <c r="I146" s="7">
        <v>27</v>
      </c>
      <c r="J146" s="7"/>
      <c r="K146" s="7"/>
      <c r="L146" s="7"/>
      <c r="N146" t="str">
        <f t="shared" si="4"/>
        <v>1643883660</v>
      </c>
    </row>
    <row r="147" spans="1:14">
      <c r="A147" s="7" t="s">
        <v>569</v>
      </c>
      <c r="B147" s="7" t="s">
        <v>569</v>
      </c>
      <c r="C147" s="7" t="s">
        <v>616</v>
      </c>
      <c r="D147" s="7" t="s">
        <v>140</v>
      </c>
      <c r="E147" s="7" t="s">
        <v>569</v>
      </c>
      <c r="F147" s="7" t="s">
        <v>630</v>
      </c>
      <c r="G147" s="9">
        <v>46122</v>
      </c>
      <c r="H147" s="7" t="s">
        <v>585</v>
      </c>
      <c r="I147" s="7">
        <v>27</v>
      </c>
      <c r="J147" s="7"/>
      <c r="K147" s="7"/>
      <c r="L147" s="7"/>
      <c r="N147" t="str">
        <f t="shared" si="4"/>
        <v>1643883670</v>
      </c>
    </row>
    <row r="148" spans="1:14">
      <c r="A148" s="7" t="s">
        <v>569</v>
      </c>
      <c r="B148" s="7" t="s">
        <v>569</v>
      </c>
      <c r="C148" s="7" t="s">
        <v>616</v>
      </c>
      <c r="D148" s="7" t="s">
        <v>243</v>
      </c>
      <c r="E148" s="7" t="s">
        <v>569</v>
      </c>
      <c r="F148" s="7" t="s">
        <v>628</v>
      </c>
      <c r="G148" s="9">
        <v>46122</v>
      </c>
      <c r="H148" s="7" t="s">
        <v>585</v>
      </c>
      <c r="I148" s="7">
        <v>27</v>
      </c>
      <c r="J148" s="7"/>
      <c r="K148" s="7"/>
      <c r="L148" s="7"/>
      <c r="N148" t="str">
        <f t="shared" si="4"/>
        <v>1643883680</v>
      </c>
    </row>
    <row r="149" spans="1:14">
      <c r="A149" s="7" t="s">
        <v>569</v>
      </c>
      <c r="B149" s="7" t="s">
        <v>569</v>
      </c>
      <c r="C149" s="7" t="s">
        <v>616</v>
      </c>
      <c r="D149" s="7" t="s">
        <v>235</v>
      </c>
      <c r="E149" s="7" t="s">
        <v>569</v>
      </c>
      <c r="F149" s="7" t="s">
        <v>626</v>
      </c>
      <c r="G149" s="9">
        <v>46122</v>
      </c>
      <c r="H149" s="7" t="s">
        <v>585</v>
      </c>
      <c r="I149" s="7">
        <v>21</v>
      </c>
      <c r="J149" s="7"/>
      <c r="K149" s="7"/>
      <c r="L149" s="7"/>
      <c r="N149" t="str">
        <f t="shared" si="4"/>
        <v>1643883690</v>
      </c>
    </row>
    <row r="150" spans="1:14">
      <c r="A150" s="7" t="s">
        <v>569</v>
      </c>
      <c r="B150" s="7" t="s">
        <v>569</v>
      </c>
      <c r="C150" s="7" t="s">
        <v>592</v>
      </c>
      <c r="D150" s="7" t="s">
        <v>109</v>
      </c>
      <c r="E150" s="7" t="s">
        <v>569</v>
      </c>
      <c r="F150" s="7" t="s">
        <v>594</v>
      </c>
      <c r="G150" s="9">
        <v>46125</v>
      </c>
      <c r="H150" s="7" t="s">
        <v>585</v>
      </c>
      <c r="I150" s="7">
        <v>1</v>
      </c>
      <c r="J150" s="7"/>
      <c r="K150" s="7"/>
      <c r="L150" s="7"/>
      <c r="N150" t="str">
        <f t="shared" si="4"/>
        <v>1643913410</v>
      </c>
    </row>
    <row r="151" spans="1:14">
      <c r="A151" s="7" t="s">
        <v>569</v>
      </c>
      <c r="B151" s="7" t="s">
        <v>569</v>
      </c>
      <c r="C151" s="7" t="s">
        <v>592</v>
      </c>
      <c r="D151" s="7" t="s">
        <v>69</v>
      </c>
      <c r="E151" s="7" t="s">
        <v>569</v>
      </c>
      <c r="F151" s="7" t="s">
        <v>596</v>
      </c>
      <c r="G151" s="9">
        <v>46125</v>
      </c>
      <c r="H151" s="7" t="s">
        <v>585</v>
      </c>
      <c r="I151" s="7">
        <v>1</v>
      </c>
      <c r="J151" s="7"/>
      <c r="K151" s="7"/>
      <c r="L151" s="7"/>
      <c r="N151" t="str">
        <f t="shared" si="4"/>
        <v>1643913420</v>
      </c>
    </row>
    <row r="152" spans="1:14">
      <c r="A152" s="7" t="s">
        <v>569</v>
      </c>
      <c r="B152" s="7" t="s">
        <v>569</v>
      </c>
      <c r="C152" s="7" t="s">
        <v>647</v>
      </c>
      <c r="D152" s="7" t="s">
        <v>648</v>
      </c>
      <c r="E152" s="7" t="s">
        <v>569</v>
      </c>
      <c r="F152" s="7" t="s">
        <v>650</v>
      </c>
      <c r="G152" s="9">
        <v>46129</v>
      </c>
      <c r="H152" s="7" t="s">
        <v>180</v>
      </c>
      <c r="I152" s="7">
        <v>11</v>
      </c>
      <c r="J152" s="7"/>
      <c r="K152" s="7"/>
      <c r="L152" s="7"/>
      <c r="N152" t="str">
        <f t="shared" si="4"/>
        <v>16440116750</v>
      </c>
    </row>
    <row r="153" spans="1:14">
      <c r="A153" s="7" t="s">
        <v>569</v>
      </c>
      <c r="B153" s="7" t="s">
        <v>569</v>
      </c>
      <c r="C153" s="7" t="s">
        <v>647</v>
      </c>
      <c r="D153" s="7" t="s">
        <v>652</v>
      </c>
      <c r="E153" s="7" t="s">
        <v>569</v>
      </c>
      <c r="F153" s="7" t="s">
        <v>654</v>
      </c>
      <c r="G153" s="9">
        <v>46129</v>
      </c>
      <c r="H153" s="7" t="s">
        <v>180</v>
      </c>
      <c r="I153" s="7">
        <v>15</v>
      </c>
      <c r="J153" s="7"/>
      <c r="K153" s="7"/>
      <c r="L153" s="7"/>
      <c r="N153" t="str">
        <f t="shared" si="4"/>
        <v>16440116740</v>
      </c>
    </row>
    <row r="154" spans="1:14">
      <c r="A154" s="7" t="s">
        <v>569</v>
      </c>
      <c r="B154" s="7" t="s">
        <v>569</v>
      </c>
      <c r="C154" s="7" t="s">
        <v>647</v>
      </c>
      <c r="D154" s="7" t="s">
        <v>328</v>
      </c>
      <c r="E154" s="7" t="s">
        <v>569</v>
      </c>
      <c r="F154" s="7" t="s">
        <v>656</v>
      </c>
      <c r="G154" s="9">
        <v>46129</v>
      </c>
      <c r="H154" s="7" t="s">
        <v>180</v>
      </c>
      <c r="I154" s="7">
        <v>9</v>
      </c>
      <c r="J154" s="7"/>
      <c r="K154" s="7"/>
      <c r="L154" s="7"/>
      <c r="N154" t="str">
        <f t="shared" si="4"/>
        <v>16440116730</v>
      </c>
    </row>
    <row r="155" spans="1:14">
      <c r="A155" s="7" t="s">
        <v>569</v>
      </c>
      <c r="B155" s="7" t="s">
        <v>569</v>
      </c>
      <c r="C155" s="7" t="s">
        <v>647</v>
      </c>
      <c r="D155" s="7" t="s">
        <v>252</v>
      </c>
      <c r="E155" s="7" t="s">
        <v>569</v>
      </c>
      <c r="F155" s="7" t="s">
        <v>658</v>
      </c>
      <c r="G155" s="9">
        <v>46129</v>
      </c>
      <c r="H155" s="7" t="s">
        <v>180</v>
      </c>
      <c r="I155" s="7">
        <v>11</v>
      </c>
      <c r="J155" s="7"/>
      <c r="K155" s="7"/>
      <c r="L155" s="7"/>
      <c r="N155" t="str">
        <f t="shared" si="4"/>
        <v>16440116720</v>
      </c>
    </row>
    <row r="156" spans="1:14">
      <c r="A156" s="7" t="s">
        <v>569</v>
      </c>
      <c r="B156" s="7" t="s">
        <v>569</v>
      </c>
      <c r="C156" s="7" t="s">
        <v>647</v>
      </c>
      <c r="D156" s="7" t="s">
        <v>398</v>
      </c>
      <c r="E156" s="7" t="s">
        <v>569</v>
      </c>
      <c r="F156" s="7" t="s">
        <v>660</v>
      </c>
      <c r="G156" s="9">
        <v>46129</v>
      </c>
      <c r="H156" s="7" t="s">
        <v>180</v>
      </c>
      <c r="I156" s="7">
        <v>18</v>
      </c>
      <c r="J156" s="7"/>
      <c r="K156" s="7"/>
      <c r="L156" s="7"/>
      <c r="N156" t="str">
        <f t="shared" si="4"/>
        <v>16440116710</v>
      </c>
    </row>
    <row r="157" spans="1:14">
      <c r="A157" s="7" t="s">
        <v>569</v>
      </c>
      <c r="B157" s="7" t="s">
        <v>569</v>
      </c>
      <c r="C157" s="7" t="s">
        <v>647</v>
      </c>
      <c r="D157" s="7" t="s">
        <v>661</v>
      </c>
      <c r="E157" s="7" t="s">
        <v>569</v>
      </c>
      <c r="F157" s="7" t="s">
        <v>663</v>
      </c>
      <c r="G157" s="9">
        <v>46129</v>
      </c>
      <c r="H157" s="7" t="s">
        <v>180</v>
      </c>
      <c r="I157" s="7">
        <v>18</v>
      </c>
      <c r="J157" s="7"/>
      <c r="K157" s="7"/>
      <c r="L157" s="7"/>
      <c r="N157" t="str">
        <f t="shared" si="4"/>
        <v>16440116700</v>
      </c>
    </row>
    <row r="158" spans="1:14">
      <c r="A158" s="7" t="s">
        <v>569</v>
      </c>
      <c r="B158" s="7" t="s">
        <v>569</v>
      </c>
      <c r="C158" s="7" t="s">
        <v>647</v>
      </c>
      <c r="D158" s="7" t="s">
        <v>664</v>
      </c>
      <c r="E158" s="7" t="s">
        <v>569</v>
      </c>
      <c r="F158" s="7" t="s">
        <v>666</v>
      </c>
      <c r="G158" s="9">
        <v>46129</v>
      </c>
      <c r="H158" s="7" t="s">
        <v>180</v>
      </c>
      <c r="I158" s="7">
        <v>11</v>
      </c>
      <c r="J158" s="7"/>
      <c r="K158" s="7"/>
      <c r="L158" s="7"/>
      <c r="N158" t="str">
        <f t="shared" si="4"/>
        <v>16440116690</v>
      </c>
    </row>
    <row r="159" spans="1:14">
      <c r="A159" s="7" t="s">
        <v>569</v>
      </c>
      <c r="B159" s="7" t="s">
        <v>569</v>
      </c>
      <c r="C159" s="7" t="s">
        <v>647</v>
      </c>
      <c r="D159" s="7" t="s">
        <v>668</v>
      </c>
      <c r="E159" s="7" t="s">
        <v>569</v>
      </c>
      <c r="F159" s="7" t="s">
        <v>670</v>
      </c>
      <c r="G159" s="9">
        <v>46129</v>
      </c>
      <c r="H159" s="7" t="s">
        <v>180</v>
      </c>
      <c r="I159" s="7">
        <v>9</v>
      </c>
      <c r="J159" s="7"/>
      <c r="K159" s="7"/>
      <c r="L159" s="7"/>
      <c r="N159" t="str">
        <f t="shared" si="4"/>
        <v>16440116680</v>
      </c>
    </row>
    <row r="160" spans="1:14">
      <c r="A160" s="7" t="s">
        <v>569</v>
      </c>
      <c r="B160" s="7" t="s">
        <v>569</v>
      </c>
      <c r="C160" s="7" t="s">
        <v>647</v>
      </c>
      <c r="D160" s="7" t="s">
        <v>287</v>
      </c>
      <c r="E160" s="7" t="s">
        <v>569</v>
      </c>
      <c r="F160" s="7" t="s">
        <v>672</v>
      </c>
      <c r="G160" s="9">
        <v>46129</v>
      </c>
      <c r="H160" s="7" t="s">
        <v>180</v>
      </c>
      <c r="I160" s="7">
        <v>11</v>
      </c>
      <c r="J160" s="7"/>
      <c r="K160" s="7"/>
      <c r="L160" s="7"/>
      <c r="N160" t="str">
        <f t="shared" si="4"/>
        <v>16440116670</v>
      </c>
    </row>
    <row r="161" spans="1:14">
      <c r="A161" s="7" t="s">
        <v>569</v>
      </c>
      <c r="B161" s="7" t="s">
        <v>569</v>
      </c>
      <c r="C161" s="7" t="s">
        <v>647</v>
      </c>
      <c r="D161" s="7" t="s">
        <v>673</v>
      </c>
      <c r="E161" s="7" t="s">
        <v>569</v>
      </c>
      <c r="F161" s="7" t="s">
        <v>675</v>
      </c>
      <c r="G161" s="9">
        <v>46129</v>
      </c>
      <c r="H161" s="7" t="s">
        <v>180</v>
      </c>
      <c r="I161" s="7">
        <v>18</v>
      </c>
      <c r="J161" s="7"/>
      <c r="K161" s="7"/>
      <c r="L161" s="7"/>
      <c r="N161" t="str">
        <f t="shared" si="4"/>
        <v>16440116660</v>
      </c>
    </row>
    <row r="162" spans="1:14">
      <c r="A162" s="7" t="s">
        <v>569</v>
      </c>
      <c r="B162" s="7" t="s">
        <v>569</v>
      </c>
      <c r="C162" s="7" t="s">
        <v>647</v>
      </c>
      <c r="D162" s="7" t="s">
        <v>676</v>
      </c>
      <c r="E162" s="7" t="s">
        <v>569</v>
      </c>
      <c r="F162" s="7" t="s">
        <v>678</v>
      </c>
      <c r="G162" s="9">
        <v>46129</v>
      </c>
      <c r="H162" s="7" t="s">
        <v>180</v>
      </c>
      <c r="I162" s="7">
        <v>15</v>
      </c>
      <c r="J162" s="7"/>
      <c r="K162" s="7"/>
      <c r="L162" s="7"/>
      <c r="N162" t="str">
        <f t="shared" si="4"/>
        <v>16440116650</v>
      </c>
    </row>
    <row r="163" spans="1:14">
      <c r="A163" s="7" t="s">
        <v>569</v>
      </c>
      <c r="B163" s="7" t="s">
        <v>569</v>
      </c>
      <c r="C163" s="7" t="s">
        <v>647</v>
      </c>
      <c r="D163" s="7" t="s">
        <v>679</v>
      </c>
      <c r="E163" s="7" t="s">
        <v>569</v>
      </c>
      <c r="F163" s="7" t="s">
        <v>681</v>
      </c>
      <c r="G163" s="9">
        <v>46129</v>
      </c>
      <c r="H163" s="7" t="s">
        <v>180</v>
      </c>
      <c r="I163" s="7">
        <v>18</v>
      </c>
      <c r="J163" s="7"/>
      <c r="K163" s="7"/>
      <c r="L163" s="7"/>
      <c r="N163" t="str">
        <f t="shared" si="4"/>
        <v>16440116640</v>
      </c>
    </row>
  </sheetData>
  <autoFilter ref="A1:N163" xr:uid="{61B9A011-B01E-480E-B3B9-EB6EACD09EBB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C74C1-D41C-4CBC-BB15-274A11CE64B7}">
  <dimension ref="A1:M2"/>
  <sheetViews>
    <sheetView workbookViewId="0">
      <selection activeCell="I2" sqref="I2"/>
    </sheetView>
  </sheetViews>
  <sheetFormatPr defaultRowHeight="15"/>
  <cols>
    <col min="1" max="1" width="19.28515625" bestFit="1" customWidth="1"/>
    <col min="2" max="2" width="11" bestFit="1" customWidth="1"/>
    <col min="3" max="3" width="8.28515625" bestFit="1" customWidth="1"/>
    <col min="4" max="4" width="11" bestFit="1" customWidth="1"/>
    <col min="5" max="5" width="35" customWidth="1"/>
    <col min="6" max="6" width="23.7109375" bestFit="1" customWidth="1"/>
    <col min="7" max="7" width="23.140625" bestFit="1" customWidth="1"/>
    <col min="8" max="8" width="8.5703125" bestFit="1" customWidth="1"/>
    <col min="9" max="9" width="9" bestFit="1" customWidth="1"/>
    <col min="10" max="10" width="12.85546875" bestFit="1" customWidth="1"/>
    <col min="11" max="11" width="18.42578125" bestFit="1" customWidth="1"/>
    <col min="12" max="12" width="5.140625" bestFit="1" customWidth="1"/>
    <col min="13" max="13" width="6.7109375" bestFit="1" customWidth="1"/>
  </cols>
  <sheetData>
    <row r="1" spans="1:13">
      <c r="A1" s="8" t="s">
        <v>32</v>
      </c>
      <c r="B1" s="8" t="s">
        <v>1</v>
      </c>
      <c r="C1" s="8" t="s">
        <v>2</v>
      </c>
      <c r="D1" s="8" t="s">
        <v>47</v>
      </c>
      <c r="E1" s="8" t="s">
        <v>15</v>
      </c>
      <c r="F1" s="8" t="s">
        <v>7</v>
      </c>
      <c r="G1" s="8" t="s">
        <v>66</v>
      </c>
      <c r="H1" s="8" t="s">
        <v>16</v>
      </c>
      <c r="I1" s="10" t="s">
        <v>692</v>
      </c>
      <c r="J1" s="10" t="s">
        <v>693</v>
      </c>
      <c r="K1" s="10" t="s">
        <v>572</v>
      </c>
      <c r="L1" s="10" t="s">
        <v>571</v>
      </c>
      <c r="M1" s="16" t="s">
        <v>699</v>
      </c>
    </row>
    <row r="2" spans="1:13">
      <c r="A2" s="12" t="s">
        <v>223</v>
      </c>
      <c r="B2">
        <v>16408698</v>
      </c>
      <c r="C2">
        <v>10</v>
      </c>
      <c r="D2">
        <v>4500678166</v>
      </c>
      <c r="E2" s="12" t="s">
        <v>789</v>
      </c>
      <c r="F2" s="21">
        <v>45945</v>
      </c>
      <c r="G2" s="12" t="s">
        <v>227</v>
      </c>
      <c r="H2" s="12">
        <v>30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9BB5-151E-48E5-AAD9-837FD03B3B5E}">
  <dimension ref="A1:N182"/>
  <sheetViews>
    <sheetView workbookViewId="0">
      <pane ySplit="1" topLeftCell="A2" activePane="bottomLeft" state="frozen"/>
      <selection pane="bottomLeft" activeCell="B181" sqref="B2:B181"/>
    </sheetView>
  </sheetViews>
  <sheetFormatPr defaultRowHeight="15"/>
  <cols>
    <col min="1" max="1" width="20.42578125" bestFit="1" customWidth="1"/>
    <col min="2" max="2" width="21.5703125" bestFit="1" customWidth="1"/>
    <col min="3" max="3" width="13.28515625" bestFit="1" customWidth="1"/>
    <col min="4" max="4" width="10.5703125" bestFit="1" customWidth="1"/>
    <col min="5" max="5" width="12.85546875" bestFit="1" customWidth="1"/>
    <col min="6" max="6" width="47.7109375" bestFit="1" customWidth="1"/>
    <col min="7" max="7" width="16" bestFit="1" customWidth="1"/>
    <col min="8" max="8" width="29.140625" bestFit="1" customWidth="1"/>
    <col min="9" max="9" width="10.85546875" bestFit="1" customWidth="1"/>
    <col min="10" max="10" width="9" bestFit="1" customWidth="1"/>
    <col min="11" max="11" width="12.85546875" bestFit="1" customWidth="1"/>
    <col min="12" max="12" width="18.42578125" bestFit="1" customWidth="1"/>
    <col min="13" max="13" width="5.140625" bestFit="1" customWidth="1"/>
  </cols>
  <sheetData>
    <row r="1" spans="1:13">
      <c r="A1" s="6" t="s">
        <v>568</v>
      </c>
      <c r="B1" s="6" t="s">
        <v>32</v>
      </c>
      <c r="C1" s="6" t="s">
        <v>1</v>
      </c>
      <c r="D1" s="6" t="s">
        <v>2</v>
      </c>
      <c r="E1" s="6" t="s">
        <v>47</v>
      </c>
      <c r="F1" s="6" t="s">
        <v>15</v>
      </c>
      <c r="G1" s="6" t="s">
        <v>7</v>
      </c>
      <c r="H1" s="6" t="s">
        <v>66</v>
      </c>
      <c r="I1" s="6" t="s">
        <v>16</v>
      </c>
      <c r="J1" s="10" t="s">
        <v>692</v>
      </c>
      <c r="K1" s="10" t="s">
        <v>693</v>
      </c>
      <c r="L1" s="10" t="s">
        <v>572</v>
      </c>
      <c r="M1" s="10" t="s">
        <v>571</v>
      </c>
    </row>
    <row r="2" spans="1:13">
      <c r="A2" s="7" t="s">
        <v>171</v>
      </c>
      <c r="B2" s="7" t="s">
        <v>171</v>
      </c>
      <c r="C2" s="7" t="s">
        <v>332</v>
      </c>
      <c r="D2" s="7" t="s">
        <v>69</v>
      </c>
      <c r="E2" s="7" t="s">
        <v>339</v>
      </c>
      <c r="F2" s="7" t="s">
        <v>334</v>
      </c>
      <c r="G2" s="9">
        <v>45930</v>
      </c>
      <c r="H2" s="7" t="s">
        <v>100</v>
      </c>
      <c r="I2" s="7">
        <v>5</v>
      </c>
      <c r="J2" s="7" t="s">
        <v>694</v>
      </c>
      <c r="K2" s="7" t="s">
        <v>694</v>
      </c>
      <c r="L2" s="7"/>
    </row>
    <row r="3" spans="1:13">
      <c r="A3" s="7" t="s">
        <v>171</v>
      </c>
      <c r="B3" s="7" t="s">
        <v>569</v>
      </c>
      <c r="C3" s="7" t="s">
        <v>112</v>
      </c>
      <c r="D3" s="7" t="s">
        <v>69</v>
      </c>
      <c r="E3" s="7" t="s">
        <v>170</v>
      </c>
      <c r="F3" s="7" t="s">
        <v>164</v>
      </c>
      <c r="G3" s="9">
        <v>45961</v>
      </c>
      <c r="H3" s="7" t="s">
        <v>100</v>
      </c>
      <c r="I3" s="7">
        <v>20</v>
      </c>
      <c r="J3" s="7" t="s">
        <v>694</v>
      </c>
      <c r="K3" s="7" t="s">
        <v>694</v>
      </c>
      <c r="L3" s="7"/>
    </row>
    <row r="4" spans="1:13">
      <c r="A4" s="7" t="s">
        <v>171</v>
      </c>
      <c r="B4" s="7" t="s">
        <v>569</v>
      </c>
      <c r="C4" s="7" t="s">
        <v>583</v>
      </c>
      <c r="D4" s="7" t="s">
        <v>178</v>
      </c>
      <c r="E4" s="7" t="s">
        <v>739</v>
      </c>
      <c r="F4" s="7" t="s">
        <v>615</v>
      </c>
      <c r="G4" s="9">
        <v>46122</v>
      </c>
      <c r="H4" s="7" t="s">
        <v>100</v>
      </c>
      <c r="I4" s="7">
        <v>10</v>
      </c>
      <c r="J4" s="7"/>
      <c r="K4" s="7"/>
    </row>
    <row r="5" spans="1:13">
      <c r="A5" s="7" t="s">
        <v>105</v>
      </c>
      <c r="B5" s="7" t="s">
        <v>105</v>
      </c>
      <c r="C5" s="7" t="s">
        <v>356</v>
      </c>
      <c r="D5" s="7" t="s">
        <v>109</v>
      </c>
      <c r="E5" s="7" t="s">
        <v>428</v>
      </c>
      <c r="F5" s="7" t="s">
        <v>424</v>
      </c>
      <c r="G5" s="9">
        <v>46063</v>
      </c>
      <c r="H5" s="7" t="s">
        <v>100</v>
      </c>
      <c r="I5" s="7">
        <v>3</v>
      </c>
      <c r="J5" s="7" t="s">
        <v>694</v>
      </c>
      <c r="K5" s="7" t="s">
        <v>694</v>
      </c>
    </row>
    <row r="6" spans="1:13">
      <c r="A6" s="7" t="s">
        <v>105</v>
      </c>
      <c r="B6" s="7" t="s">
        <v>105</v>
      </c>
      <c r="C6" s="7" t="s">
        <v>101</v>
      </c>
      <c r="D6" s="7" t="s">
        <v>109</v>
      </c>
      <c r="E6" s="7" t="s">
        <v>431</v>
      </c>
      <c r="F6" s="7" t="s">
        <v>430</v>
      </c>
      <c r="G6" s="9">
        <v>46073</v>
      </c>
      <c r="H6" s="7" t="s">
        <v>100</v>
      </c>
      <c r="I6" s="7">
        <v>10</v>
      </c>
      <c r="J6" s="7"/>
      <c r="K6" s="7"/>
    </row>
    <row r="7" spans="1:13">
      <c r="A7" s="7" t="s">
        <v>105</v>
      </c>
      <c r="B7" s="7" t="s">
        <v>105</v>
      </c>
      <c r="C7" s="7" t="s">
        <v>101</v>
      </c>
      <c r="D7" s="7" t="s">
        <v>69</v>
      </c>
      <c r="E7" s="7" t="s">
        <v>108</v>
      </c>
      <c r="F7" s="7" t="s">
        <v>79</v>
      </c>
      <c r="G7" s="9">
        <v>46073</v>
      </c>
      <c r="H7" s="7" t="s">
        <v>100</v>
      </c>
      <c r="I7" s="7">
        <v>10</v>
      </c>
      <c r="J7" s="7"/>
      <c r="K7" s="7"/>
      <c r="L7" s="7"/>
    </row>
    <row r="8" spans="1:13">
      <c r="A8" s="7" t="s">
        <v>105</v>
      </c>
      <c r="B8" s="7" t="s">
        <v>105</v>
      </c>
      <c r="C8" s="7" t="s">
        <v>706</v>
      </c>
      <c r="D8" s="7" t="s">
        <v>109</v>
      </c>
      <c r="E8" s="7" t="s">
        <v>794</v>
      </c>
      <c r="F8" s="7" t="s">
        <v>708</v>
      </c>
      <c r="G8" s="9">
        <v>46150</v>
      </c>
      <c r="H8" s="7" t="s">
        <v>227</v>
      </c>
      <c r="I8" s="7">
        <v>2</v>
      </c>
      <c r="J8" s="7"/>
      <c r="K8" s="7"/>
      <c r="L8" s="7"/>
    </row>
    <row r="9" spans="1:13">
      <c r="A9" s="7" t="s">
        <v>105</v>
      </c>
      <c r="B9" s="7" t="s">
        <v>105</v>
      </c>
      <c r="C9" s="7" t="s">
        <v>706</v>
      </c>
      <c r="D9" s="7" t="s">
        <v>69</v>
      </c>
      <c r="E9" s="7" t="s">
        <v>794</v>
      </c>
      <c r="F9" s="7" t="s">
        <v>710</v>
      </c>
      <c r="G9" s="9">
        <v>46150</v>
      </c>
      <c r="H9" s="7" t="s">
        <v>227</v>
      </c>
      <c r="I9" s="7">
        <v>2</v>
      </c>
      <c r="J9" s="7" t="s">
        <v>694</v>
      </c>
      <c r="K9" s="7" t="s">
        <v>694</v>
      </c>
      <c r="L9" s="7"/>
    </row>
    <row r="10" spans="1:13">
      <c r="A10" s="7" t="s">
        <v>90</v>
      </c>
      <c r="B10" s="7" t="s">
        <v>90</v>
      </c>
      <c r="C10" s="7" t="s">
        <v>68</v>
      </c>
      <c r="D10" s="7" t="s">
        <v>109</v>
      </c>
      <c r="E10" s="7" t="s">
        <v>97</v>
      </c>
      <c r="F10" s="7" t="s">
        <v>430</v>
      </c>
      <c r="G10" s="9">
        <v>46024</v>
      </c>
      <c r="H10" s="7" t="s">
        <v>100</v>
      </c>
      <c r="I10" s="7">
        <v>10</v>
      </c>
      <c r="J10" s="7"/>
      <c r="K10" s="7"/>
    </row>
    <row r="11" spans="1:13">
      <c r="A11" s="7" t="s">
        <v>90</v>
      </c>
      <c r="B11" s="7" t="s">
        <v>90</v>
      </c>
      <c r="C11" s="7" t="s">
        <v>68</v>
      </c>
      <c r="D11" s="7" t="s">
        <v>69</v>
      </c>
      <c r="E11" s="7" t="s">
        <v>97</v>
      </c>
      <c r="F11" s="7" t="s">
        <v>79</v>
      </c>
      <c r="G11" s="9">
        <v>46024</v>
      </c>
      <c r="H11" s="7" t="s">
        <v>100</v>
      </c>
      <c r="I11" s="7">
        <v>10</v>
      </c>
      <c r="J11" s="7"/>
      <c r="K11" s="7"/>
    </row>
    <row r="12" spans="1:13">
      <c r="A12" s="7" t="s">
        <v>90</v>
      </c>
      <c r="B12" s="7" t="s">
        <v>90</v>
      </c>
      <c r="C12" s="7" t="s">
        <v>207</v>
      </c>
      <c r="D12" s="7" t="s">
        <v>259</v>
      </c>
      <c r="E12" s="7" t="s">
        <v>605</v>
      </c>
      <c r="F12" s="7" t="s">
        <v>377</v>
      </c>
      <c r="G12" s="9">
        <v>46090</v>
      </c>
      <c r="H12" s="7" t="s">
        <v>100</v>
      </c>
      <c r="I12" s="7">
        <v>2</v>
      </c>
      <c r="J12" s="7" t="s">
        <v>694</v>
      </c>
      <c r="K12" s="7" t="s">
        <v>694</v>
      </c>
    </row>
    <row r="13" spans="1:13">
      <c r="A13" s="7" t="s">
        <v>90</v>
      </c>
      <c r="B13" s="7" t="s">
        <v>90</v>
      </c>
      <c r="C13" s="7" t="s">
        <v>207</v>
      </c>
      <c r="D13" s="7" t="s">
        <v>140</v>
      </c>
      <c r="E13" s="7" t="s">
        <v>606</v>
      </c>
      <c r="F13" s="7" t="s">
        <v>379</v>
      </c>
      <c r="G13" s="9">
        <v>46090</v>
      </c>
      <c r="H13" s="7" t="s">
        <v>227</v>
      </c>
      <c r="I13" s="7">
        <v>5</v>
      </c>
      <c r="J13" s="7"/>
      <c r="K13" s="7"/>
      <c r="L13" s="7"/>
    </row>
    <row r="14" spans="1:13">
      <c r="A14" s="7" t="s">
        <v>90</v>
      </c>
      <c r="B14" s="7" t="s">
        <v>90</v>
      </c>
      <c r="C14" s="7" t="s">
        <v>207</v>
      </c>
      <c r="D14" s="7" t="s">
        <v>243</v>
      </c>
      <c r="E14" s="7" t="s">
        <v>605</v>
      </c>
      <c r="F14" s="7" t="s">
        <v>381</v>
      </c>
      <c r="G14" s="9">
        <v>46090</v>
      </c>
      <c r="H14" s="7" t="s">
        <v>100</v>
      </c>
      <c r="I14" s="7">
        <v>5</v>
      </c>
      <c r="J14" s="7"/>
      <c r="K14" s="7"/>
      <c r="L14" s="7"/>
    </row>
    <row r="15" spans="1:13">
      <c r="A15" s="7" t="s">
        <v>90</v>
      </c>
      <c r="B15" s="7" t="s">
        <v>90</v>
      </c>
      <c r="C15" s="7" t="s">
        <v>713</v>
      </c>
      <c r="D15" s="7" t="s">
        <v>109</v>
      </c>
      <c r="E15" s="7" t="s">
        <v>771</v>
      </c>
      <c r="F15" s="7" t="s">
        <v>769</v>
      </c>
      <c r="G15" s="9">
        <v>46141</v>
      </c>
      <c r="H15" s="7" t="s">
        <v>100</v>
      </c>
      <c r="I15" s="7">
        <v>16</v>
      </c>
      <c r="J15" s="7"/>
      <c r="K15" s="7"/>
    </row>
    <row r="16" spans="1:13">
      <c r="A16" s="7" t="s">
        <v>126</v>
      </c>
      <c r="B16" s="7" t="s">
        <v>569</v>
      </c>
      <c r="C16" s="7" t="s">
        <v>307</v>
      </c>
      <c r="D16" s="7" t="s">
        <v>143</v>
      </c>
      <c r="E16" s="7" t="s">
        <v>314</v>
      </c>
      <c r="F16" s="7" t="s">
        <v>309</v>
      </c>
      <c r="G16" s="9">
        <v>45904</v>
      </c>
      <c r="H16" s="7" t="s">
        <v>100</v>
      </c>
      <c r="I16" s="7">
        <v>30</v>
      </c>
      <c r="J16" s="7"/>
      <c r="K16" s="7"/>
      <c r="L16" s="7"/>
    </row>
    <row r="17" spans="1:12">
      <c r="A17" s="7" t="s">
        <v>126</v>
      </c>
      <c r="B17" s="7" t="s">
        <v>569</v>
      </c>
      <c r="C17" s="7" t="s">
        <v>144</v>
      </c>
      <c r="D17" s="7" t="s">
        <v>192</v>
      </c>
      <c r="E17" s="7" t="s">
        <v>191</v>
      </c>
      <c r="F17" s="7" t="s">
        <v>194</v>
      </c>
      <c r="G17" s="9">
        <v>45922</v>
      </c>
      <c r="H17" s="7" t="s">
        <v>100</v>
      </c>
      <c r="I17" s="7">
        <v>600</v>
      </c>
      <c r="J17" s="7"/>
      <c r="K17" s="7"/>
    </row>
    <row r="18" spans="1:12">
      <c r="A18" s="7" t="s">
        <v>126</v>
      </c>
      <c r="B18" s="7" t="s">
        <v>569</v>
      </c>
      <c r="C18" s="7" t="s">
        <v>144</v>
      </c>
      <c r="D18" s="7" t="s">
        <v>181</v>
      </c>
      <c r="E18" s="7" t="s">
        <v>191</v>
      </c>
      <c r="F18" s="7" t="s">
        <v>183</v>
      </c>
      <c r="G18" s="9">
        <v>45922</v>
      </c>
      <c r="H18" s="7" t="s">
        <v>100</v>
      </c>
      <c r="I18" s="7">
        <v>600</v>
      </c>
      <c r="J18" s="7"/>
      <c r="K18" s="7"/>
    </row>
    <row r="19" spans="1:12">
      <c r="A19" s="7" t="s">
        <v>126</v>
      </c>
      <c r="B19" s="7" t="s">
        <v>569</v>
      </c>
      <c r="C19" s="7" t="s">
        <v>547</v>
      </c>
      <c r="D19" s="7" t="s">
        <v>262</v>
      </c>
      <c r="E19" s="7" t="s">
        <v>561</v>
      </c>
      <c r="F19" s="7" t="s">
        <v>552</v>
      </c>
      <c r="G19" s="9">
        <v>45940</v>
      </c>
      <c r="H19" s="7" t="s">
        <v>100</v>
      </c>
      <c r="I19" s="7">
        <v>4</v>
      </c>
      <c r="J19" s="7"/>
      <c r="K19" s="7"/>
    </row>
    <row r="20" spans="1:12">
      <c r="A20" s="7" t="s">
        <v>126</v>
      </c>
      <c r="B20" s="7" t="s">
        <v>569</v>
      </c>
      <c r="C20" s="7" t="s">
        <v>112</v>
      </c>
      <c r="D20" s="7" t="s">
        <v>109</v>
      </c>
      <c r="E20" s="7" t="s">
        <v>125</v>
      </c>
      <c r="F20" s="7" t="s">
        <v>114</v>
      </c>
      <c r="G20" s="9">
        <v>45961</v>
      </c>
      <c r="H20" s="7" t="s">
        <v>100</v>
      </c>
      <c r="I20" s="7">
        <v>7</v>
      </c>
      <c r="J20" s="7"/>
      <c r="K20" s="7"/>
    </row>
    <row r="21" spans="1:12">
      <c r="A21" s="7" t="s">
        <v>126</v>
      </c>
      <c r="B21" s="7" t="s">
        <v>569</v>
      </c>
      <c r="C21" s="7" t="s">
        <v>234</v>
      </c>
      <c r="D21" s="7" t="s">
        <v>109</v>
      </c>
      <c r="E21" s="7" t="s">
        <v>329</v>
      </c>
      <c r="F21" s="7" t="s">
        <v>326</v>
      </c>
      <c r="G21" s="9">
        <v>46045</v>
      </c>
      <c r="H21" s="7" t="s">
        <v>100</v>
      </c>
      <c r="I21" s="7">
        <v>150</v>
      </c>
      <c r="J21" s="7"/>
      <c r="K21" s="7"/>
    </row>
    <row r="22" spans="1:12">
      <c r="A22" s="7" t="s">
        <v>126</v>
      </c>
      <c r="B22" s="7" t="s">
        <v>569</v>
      </c>
      <c r="C22" s="7" t="s">
        <v>234</v>
      </c>
      <c r="D22" s="7" t="s">
        <v>145</v>
      </c>
      <c r="E22" s="7" t="s">
        <v>367</v>
      </c>
      <c r="F22" s="7" t="s">
        <v>362</v>
      </c>
      <c r="G22" s="9">
        <v>46045</v>
      </c>
      <c r="H22" s="7" t="s">
        <v>100</v>
      </c>
      <c r="I22" s="7">
        <v>15</v>
      </c>
      <c r="J22" s="7"/>
      <c r="K22" s="7"/>
    </row>
    <row r="23" spans="1:12">
      <c r="A23" s="7" t="s">
        <v>126</v>
      </c>
      <c r="B23" s="7" t="s">
        <v>569</v>
      </c>
      <c r="C23" s="7" t="s">
        <v>234</v>
      </c>
      <c r="D23" s="7" t="s">
        <v>69</v>
      </c>
      <c r="E23" s="7" t="s">
        <v>329</v>
      </c>
      <c r="F23" s="7" t="s">
        <v>331</v>
      </c>
      <c r="G23" s="9">
        <v>46045</v>
      </c>
      <c r="H23" s="7" t="s">
        <v>100</v>
      </c>
      <c r="I23" s="7">
        <v>100</v>
      </c>
      <c r="J23" s="7"/>
      <c r="K23" s="7"/>
    </row>
    <row r="24" spans="1:12">
      <c r="A24" s="7" t="s">
        <v>126</v>
      </c>
      <c r="B24" s="7" t="s">
        <v>569</v>
      </c>
      <c r="C24" s="7" t="s">
        <v>234</v>
      </c>
      <c r="D24" s="7" t="s">
        <v>235</v>
      </c>
      <c r="E24" s="7" t="s">
        <v>242</v>
      </c>
      <c r="F24" s="7" t="s">
        <v>237</v>
      </c>
      <c r="G24" s="9">
        <v>46045</v>
      </c>
      <c r="H24" s="7" t="s">
        <v>227</v>
      </c>
      <c r="I24" s="7">
        <v>40</v>
      </c>
      <c r="J24" s="7"/>
      <c r="K24" s="7"/>
    </row>
    <row r="25" spans="1:12">
      <c r="A25" s="7" t="s">
        <v>126</v>
      </c>
      <c r="B25" s="7" t="s">
        <v>569</v>
      </c>
      <c r="C25" s="7" t="s">
        <v>196</v>
      </c>
      <c r="D25" s="7" t="s">
        <v>393</v>
      </c>
      <c r="E25" s="7" t="s">
        <v>402</v>
      </c>
      <c r="F25" s="7" t="s">
        <v>395</v>
      </c>
      <c r="G25" s="9">
        <v>46056</v>
      </c>
      <c r="H25" s="7" t="s">
        <v>100</v>
      </c>
      <c r="I25" s="7">
        <v>20</v>
      </c>
      <c r="J25" s="7" t="s">
        <v>694</v>
      </c>
      <c r="K25" s="7"/>
    </row>
    <row r="26" spans="1:12">
      <c r="A26" s="7" t="s">
        <v>126</v>
      </c>
      <c r="B26" s="7" t="s">
        <v>569</v>
      </c>
      <c r="C26" s="7" t="s">
        <v>196</v>
      </c>
      <c r="D26" s="7" t="s">
        <v>407</v>
      </c>
      <c r="E26" s="7" t="s">
        <v>402</v>
      </c>
      <c r="F26" s="7" t="s">
        <v>409</v>
      </c>
      <c r="G26" s="9">
        <v>46056</v>
      </c>
      <c r="H26" s="7" t="s">
        <v>100</v>
      </c>
      <c r="I26" s="7">
        <v>20</v>
      </c>
      <c r="J26" s="7"/>
      <c r="K26" s="7"/>
    </row>
    <row r="27" spans="1:12">
      <c r="A27" s="7" t="s">
        <v>126</v>
      </c>
      <c r="B27" s="7" t="s">
        <v>569</v>
      </c>
      <c r="C27" s="7" t="s">
        <v>196</v>
      </c>
      <c r="D27" s="7" t="s">
        <v>248</v>
      </c>
      <c r="E27" s="7" t="s">
        <v>253</v>
      </c>
      <c r="F27" s="7" t="s">
        <v>250</v>
      </c>
      <c r="G27" s="9">
        <v>46056</v>
      </c>
      <c r="H27" s="7" t="s">
        <v>227</v>
      </c>
      <c r="I27" s="7">
        <v>50</v>
      </c>
      <c r="J27" s="7"/>
      <c r="K27" s="7"/>
    </row>
    <row r="28" spans="1:12">
      <c r="A28" s="7" t="s">
        <v>126</v>
      </c>
      <c r="B28" s="7" t="s">
        <v>569</v>
      </c>
      <c r="C28" s="7" t="s">
        <v>356</v>
      </c>
      <c r="D28" s="7" t="s">
        <v>69</v>
      </c>
      <c r="E28" s="7" t="s">
        <v>471</v>
      </c>
      <c r="F28" s="7" t="s">
        <v>467</v>
      </c>
      <c r="G28" s="9">
        <v>46063</v>
      </c>
      <c r="H28" s="7" t="s">
        <v>227</v>
      </c>
      <c r="I28" s="7">
        <v>3</v>
      </c>
      <c r="J28" s="7"/>
      <c r="K28" s="7"/>
    </row>
    <row r="29" spans="1:12">
      <c r="A29" s="7" t="s">
        <v>126</v>
      </c>
      <c r="B29" s="7" t="s">
        <v>569</v>
      </c>
      <c r="C29" s="7" t="s">
        <v>356</v>
      </c>
      <c r="D29" s="7" t="s">
        <v>262</v>
      </c>
      <c r="E29" s="7" t="s">
        <v>462</v>
      </c>
      <c r="F29" s="7" t="s">
        <v>460</v>
      </c>
      <c r="G29" s="9">
        <v>46063</v>
      </c>
      <c r="H29" s="7" t="s">
        <v>100</v>
      </c>
      <c r="I29" s="7">
        <v>15</v>
      </c>
      <c r="J29" s="7"/>
      <c r="K29" s="7"/>
    </row>
    <row r="30" spans="1:12">
      <c r="A30" s="7" t="s">
        <v>126</v>
      </c>
      <c r="B30" s="7" t="s">
        <v>569</v>
      </c>
      <c r="C30" s="7" t="s">
        <v>322</v>
      </c>
      <c r="D30" s="7" t="s">
        <v>109</v>
      </c>
      <c r="E30" s="7" t="s">
        <v>439</v>
      </c>
      <c r="F30" s="7" t="s">
        <v>437</v>
      </c>
      <c r="G30" s="9">
        <v>46073</v>
      </c>
      <c r="H30" s="7" t="s">
        <v>227</v>
      </c>
      <c r="I30" s="7">
        <v>1</v>
      </c>
      <c r="J30" s="7"/>
      <c r="K30" s="7"/>
    </row>
    <row r="31" spans="1:12">
      <c r="A31" s="7" t="s">
        <v>126</v>
      </c>
      <c r="B31" s="7" t="s">
        <v>569</v>
      </c>
      <c r="C31" s="7" t="s">
        <v>254</v>
      </c>
      <c r="D31" s="7" t="s">
        <v>109</v>
      </c>
      <c r="E31" s="7" t="s">
        <v>273</v>
      </c>
      <c r="F31" s="7" t="s">
        <v>271</v>
      </c>
      <c r="G31" s="9">
        <v>46073</v>
      </c>
      <c r="H31" s="7" t="s">
        <v>100</v>
      </c>
      <c r="I31" s="7">
        <v>10</v>
      </c>
      <c r="J31" s="7"/>
      <c r="K31" s="7"/>
    </row>
    <row r="32" spans="1:12">
      <c r="A32" s="7" t="s">
        <v>126</v>
      </c>
      <c r="B32" s="7" t="s">
        <v>569</v>
      </c>
      <c r="C32" s="7" t="s">
        <v>254</v>
      </c>
      <c r="D32" s="7" t="s">
        <v>346</v>
      </c>
      <c r="E32" s="7" t="s">
        <v>351</v>
      </c>
      <c r="F32" s="7" t="s">
        <v>348</v>
      </c>
      <c r="G32" s="9">
        <v>46073</v>
      </c>
      <c r="H32" s="7" t="s">
        <v>227</v>
      </c>
      <c r="I32" s="7">
        <v>10</v>
      </c>
      <c r="J32" s="7"/>
      <c r="K32" s="7"/>
      <c r="L32" s="7"/>
    </row>
    <row r="33" spans="1:11">
      <c r="A33" s="7" t="s">
        <v>126</v>
      </c>
      <c r="B33" s="7" t="s">
        <v>569</v>
      </c>
      <c r="C33" s="7" t="s">
        <v>254</v>
      </c>
      <c r="D33" s="7" t="s">
        <v>222</v>
      </c>
      <c r="E33" s="7" t="s">
        <v>258</v>
      </c>
      <c r="F33" s="7" t="s">
        <v>256</v>
      </c>
      <c r="G33" s="9">
        <v>46073</v>
      </c>
      <c r="H33" s="7" t="s">
        <v>100</v>
      </c>
      <c r="I33" s="7">
        <v>10</v>
      </c>
      <c r="J33" s="7"/>
      <c r="K33" s="7"/>
    </row>
    <row r="34" spans="1:11">
      <c r="A34" s="7" t="s">
        <v>126</v>
      </c>
      <c r="B34" s="7" t="s">
        <v>569</v>
      </c>
      <c r="C34" s="7" t="s">
        <v>254</v>
      </c>
      <c r="D34" s="7" t="s">
        <v>284</v>
      </c>
      <c r="E34" s="7" t="s">
        <v>283</v>
      </c>
      <c r="F34" s="7" t="s">
        <v>286</v>
      </c>
      <c r="G34" s="9">
        <v>46073</v>
      </c>
      <c r="H34" s="7" t="s">
        <v>100</v>
      </c>
      <c r="I34" s="7">
        <v>10</v>
      </c>
      <c r="J34" s="7"/>
      <c r="K34" s="7"/>
    </row>
    <row r="35" spans="1:11">
      <c r="A35" s="7" t="s">
        <v>126</v>
      </c>
      <c r="B35" s="7" t="s">
        <v>569</v>
      </c>
      <c r="C35" s="7" t="s">
        <v>254</v>
      </c>
      <c r="D35" s="7" t="s">
        <v>192</v>
      </c>
      <c r="E35" s="7" t="s">
        <v>269</v>
      </c>
      <c r="F35" s="7" t="s">
        <v>266</v>
      </c>
      <c r="G35" s="9">
        <v>46073</v>
      </c>
      <c r="H35" s="7" t="s">
        <v>100</v>
      </c>
      <c r="I35" s="7">
        <v>10</v>
      </c>
      <c r="J35" s="7"/>
      <c r="K35" s="7"/>
    </row>
    <row r="36" spans="1:11">
      <c r="A36" s="7" t="s">
        <v>126</v>
      </c>
      <c r="B36" s="7" t="s">
        <v>569</v>
      </c>
      <c r="C36" s="7" t="s">
        <v>254</v>
      </c>
      <c r="D36" s="7" t="s">
        <v>178</v>
      </c>
      <c r="E36" s="7" t="s">
        <v>283</v>
      </c>
      <c r="F36" s="7" t="s">
        <v>279</v>
      </c>
      <c r="G36" s="9">
        <v>46073</v>
      </c>
      <c r="H36" s="7" t="s">
        <v>100</v>
      </c>
      <c r="I36" s="7">
        <v>15</v>
      </c>
      <c r="J36" s="7"/>
      <c r="K36" s="7"/>
    </row>
    <row r="37" spans="1:11">
      <c r="A37" s="7" t="s">
        <v>126</v>
      </c>
      <c r="B37" s="7" t="s">
        <v>569</v>
      </c>
      <c r="C37" s="7" t="s">
        <v>254</v>
      </c>
      <c r="D37" s="7" t="s">
        <v>235</v>
      </c>
      <c r="E37" s="7" t="s">
        <v>283</v>
      </c>
      <c r="F37" s="7" t="s">
        <v>345</v>
      </c>
      <c r="G37" s="9">
        <v>46073</v>
      </c>
      <c r="H37" s="7" t="s">
        <v>100</v>
      </c>
      <c r="I37" s="7">
        <v>10</v>
      </c>
      <c r="J37" s="7"/>
      <c r="K37" s="7"/>
    </row>
    <row r="38" spans="1:11">
      <c r="A38" s="7" t="s">
        <v>126</v>
      </c>
      <c r="B38" s="7" t="s">
        <v>569</v>
      </c>
      <c r="C38" s="7" t="s">
        <v>177</v>
      </c>
      <c r="D38" s="7" t="s">
        <v>69</v>
      </c>
      <c r="E38" s="7" t="s">
        <v>601</v>
      </c>
      <c r="F38" s="7" t="s">
        <v>383</v>
      </c>
      <c r="G38" s="9">
        <v>46090</v>
      </c>
      <c r="H38" s="7" t="s">
        <v>100</v>
      </c>
      <c r="I38" s="7">
        <v>15</v>
      </c>
      <c r="J38" s="7"/>
      <c r="K38" s="7"/>
    </row>
    <row r="39" spans="1:11">
      <c r="A39" s="7" t="s">
        <v>126</v>
      </c>
      <c r="B39" s="7" t="s">
        <v>569</v>
      </c>
      <c r="C39" s="7" t="s">
        <v>207</v>
      </c>
      <c r="D39" s="7" t="s">
        <v>109</v>
      </c>
      <c r="E39" s="7" t="s">
        <v>233</v>
      </c>
      <c r="F39" s="7" t="s">
        <v>229</v>
      </c>
      <c r="G39" s="9">
        <v>46090</v>
      </c>
      <c r="H39" s="7" t="s">
        <v>100</v>
      </c>
      <c r="I39" s="7">
        <v>10</v>
      </c>
      <c r="J39" s="7"/>
      <c r="K39" s="7"/>
    </row>
    <row r="40" spans="1:11">
      <c r="A40" s="7" t="s">
        <v>126</v>
      </c>
      <c r="B40" s="7" t="s">
        <v>569</v>
      </c>
      <c r="C40" s="7" t="s">
        <v>592</v>
      </c>
      <c r="D40" s="7" t="s">
        <v>109</v>
      </c>
      <c r="E40" s="7" t="s">
        <v>722</v>
      </c>
      <c r="F40" s="7" t="s">
        <v>594</v>
      </c>
      <c r="G40" s="9">
        <v>46125</v>
      </c>
      <c r="H40" s="7" t="s">
        <v>227</v>
      </c>
      <c r="I40" s="7">
        <v>1</v>
      </c>
      <c r="J40" s="7"/>
      <c r="K40" s="7"/>
    </row>
    <row r="41" spans="1:11">
      <c r="A41" s="7" t="s">
        <v>126</v>
      </c>
      <c r="B41" s="7" t="s">
        <v>569</v>
      </c>
      <c r="C41" s="7" t="s">
        <v>592</v>
      </c>
      <c r="D41" s="7" t="s">
        <v>69</v>
      </c>
      <c r="E41" s="7" t="s">
        <v>725</v>
      </c>
      <c r="F41" s="7" t="s">
        <v>596</v>
      </c>
      <c r="G41" s="9">
        <v>46125</v>
      </c>
      <c r="H41" s="7" t="s">
        <v>227</v>
      </c>
      <c r="I41" s="7">
        <v>1</v>
      </c>
      <c r="J41" s="7"/>
      <c r="K41" s="7"/>
    </row>
    <row r="42" spans="1:11">
      <c r="A42" s="7" t="s">
        <v>126</v>
      </c>
      <c r="B42" s="7" t="s">
        <v>569</v>
      </c>
      <c r="C42" s="7" t="s">
        <v>616</v>
      </c>
      <c r="D42" s="7" t="s">
        <v>145</v>
      </c>
      <c r="E42" s="7" t="s">
        <v>747</v>
      </c>
      <c r="F42" s="7" t="s">
        <v>624</v>
      </c>
      <c r="G42" s="9">
        <v>46122</v>
      </c>
      <c r="H42" s="7" t="s">
        <v>227</v>
      </c>
      <c r="I42" s="7">
        <v>21</v>
      </c>
      <c r="J42" s="7"/>
      <c r="K42" s="7"/>
    </row>
    <row r="43" spans="1:11">
      <c r="A43" s="7" t="s">
        <v>126</v>
      </c>
      <c r="B43" s="7" t="s">
        <v>569</v>
      </c>
      <c r="C43" s="7" t="s">
        <v>616</v>
      </c>
      <c r="D43" s="7" t="s">
        <v>346</v>
      </c>
      <c r="E43" s="7" t="s">
        <v>744</v>
      </c>
      <c r="F43" s="7" t="s">
        <v>622</v>
      </c>
      <c r="G43" s="9">
        <v>46122</v>
      </c>
      <c r="H43" s="7" t="s">
        <v>227</v>
      </c>
      <c r="I43" s="7">
        <v>21</v>
      </c>
      <c r="J43" s="7"/>
      <c r="K43" s="7"/>
    </row>
    <row r="44" spans="1:11">
      <c r="A44" s="7" t="s">
        <v>126</v>
      </c>
      <c r="B44" s="7" t="s">
        <v>569</v>
      </c>
      <c r="C44" s="7" t="s">
        <v>616</v>
      </c>
      <c r="D44" s="7" t="s">
        <v>420</v>
      </c>
      <c r="E44" s="7" t="s">
        <v>741</v>
      </c>
      <c r="F44" s="7" t="s">
        <v>620</v>
      </c>
      <c r="G44" s="9">
        <v>46122</v>
      </c>
      <c r="H44" s="7" t="s">
        <v>227</v>
      </c>
      <c r="I44" s="7">
        <v>21</v>
      </c>
      <c r="J44" s="7"/>
      <c r="K44" s="7"/>
    </row>
    <row r="45" spans="1:11">
      <c r="A45" s="7" t="s">
        <v>126</v>
      </c>
      <c r="B45" s="7" t="s">
        <v>569</v>
      </c>
      <c r="C45" s="7" t="s">
        <v>616</v>
      </c>
      <c r="D45" s="7" t="s">
        <v>222</v>
      </c>
      <c r="E45" s="7" t="s">
        <v>741</v>
      </c>
      <c r="F45" s="7" t="s">
        <v>618</v>
      </c>
      <c r="G45" s="9">
        <v>46122</v>
      </c>
      <c r="H45" s="7" t="s">
        <v>227</v>
      </c>
      <c r="I45" s="7">
        <v>21</v>
      </c>
      <c r="J45" s="7" t="s">
        <v>694</v>
      </c>
      <c r="K45" s="7"/>
    </row>
    <row r="46" spans="1:11">
      <c r="A46" s="7" t="s">
        <v>126</v>
      </c>
      <c r="B46" s="7" t="s">
        <v>569</v>
      </c>
      <c r="C46" s="7" t="s">
        <v>616</v>
      </c>
      <c r="D46" s="7" t="s">
        <v>69</v>
      </c>
      <c r="E46" s="7" t="s">
        <v>749</v>
      </c>
      <c r="F46" s="7" t="s">
        <v>640</v>
      </c>
      <c r="G46" s="9">
        <v>46122</v>
      </c>
      <c r="H46" s="7" t="s">
        <v>227</v>
      </c>
      <c r="I46" s="7">
        <v>27</v>
      </c>
      <c r="J46" s="7" t="s">
        <v>694</v>
      </c>
      <c r="K46" s="7"/>
    </row>
    <row r="47" spans="1:11">
      <c r="A47" s="7" t="s">
        <v>126</v>
      </c>
      <c r="B47" s="7" t="s">
        <v>569</v>
      </c>
      <c r="C47" s="7" t="s">
        <v>616</v>
      </c>
      <c r="D47" s="7" t="s">
        <v>262</v>
      </c>
      <c r="E47" s="7" t="s">
        <v>751</v>
      </c>
      <c r="F47" s="7" t="s">
        <v>634</v>
      </c>
      <c r="G47" s="9">
        <v>46122</v>
      </c>
      <c r="H47" s="7" t="s">
        <v>227</v>
      </c>
      <c r="I47" s="7">
        <v>21</v>
      </c>
      <c r="J47" s="7"/>
      <c r="K47" s="7"/>
    </row>
    <row r="48" spans="1:11">
      <c r="A48" s="7" t="s">
        <v>126</v>
      </c>
      <c r="B48" s="7" t="s">
        <v>569</v>
      </c>
      <c r="C48" s="7" t="s">
        <v>616</v>
      </c>
      <c r="D48" s="7" t="s">
        <v>243</v>
      </c>
      <c r="E48" s="7" t="s">
        <v>749</v>
      </c>
      <c r="F48" s="7" t="s">
        <v>628</v>
      </c>
      <c r="G48" s="9">
        <v>46122</v>
      </c>
      <c r="H48" s="7" t="s">
        <v>227</v>
      </c>
      <c r="I48" s="7">
        <v>27</v>
      </c>
      <c r="J48" s="7"/>
      <c r="K48" s="7"/>
    </row>
    <row r="49" spans="1:13">
      <c r="A49" s="7" t="s">
        <v>126</v>
      </c>
      <c r="B49" s="7" t="s">
        <v>569</v>
      </c>
      <c r="C49" s="7" t="s">
        <v>713</v>
      </c>
      <c r="D49" s="7" t="s">
        <v>69</v>
      </c>
      <c r="E49" s="7" t="s">
        <v>775</v>
      </c>
      <c r="F49" s="7" t="s">
        <v>773</v>
      </c>
      <c r="G49" s="9">
        <v>46141</v>
      </c>
      <c r="H49" s="7" t="s">
        <v>100</v>
      </c>
      <c r="I49" s="7">
        <v>10</v>
      </c>
      <c r="J49" s="7"/>
      <c r="K49" s="7"/>
    </row>
    <row r="50" spans="1:13">
      <c r="A50" s="7" t="s">
        <v>521</v>
      </c>
      <c r="B50" s="7" t="s">
        <v>521</v>
      </c>
      <c r="C50" s="7" t="s">
        <v>332</v>
      </c>
      <c r="D50" s="7" t="s">
        <v>109</v>
      </c>
      <c r="E50" s="7" t="s">
        <v>524</v>
      </c>
      <c r="F50" s="7" t="s">
        <v>517</v>
      </c>
      <c r="G50" s="9">
        <v>45930</v>
      </c>
      <c r="H50" s="7" t="s">
        <v>100</v>
      </c>
      <c r="I50" s="7">
        <v>1</v>
      </c>
      <c r="J50" s="7"/>
      <c r="K50" s="7"/>
    </row>
    <row r="51" spans="1:13">
      <c r="A51" s="7" t="s">
        <v>372</v>
      </c>
      <c r="B51" s="7" t="s">
        <v>372</v>
      </c>
      <c r="C51" s="7" t="s">
        <v>234</v>
      </c>
      <c r="D51" s="7" t="s">
        <v>143</v>
      </c>
      <c r="E51" s="7" t="s">
        <v>580</v>
      </c>
      <c r="F51" s="7" t="s">
        <v>505</v>
      </c>
      <c r="G51" s="9">
        <v>46045</v>
      </c>
      <c r="H51" s="7" t="s">
        <v>100</v>
      </c>
      <c r="I51" s="7">
        <v>15</v>
      </c>
      <c r="J51" s="7"/>
      <c r="K51" s="7"/>
    </row>
    <row r="52" spans="1:13">
      <c r="A52" s="7" t="s">
        <v>372</v>
      </c>
      <c r="B52" s="7" t="s">
        <v>372</v>
      </c>
      <c r="C52" s="7" t="s">
        <v>234</v>
      </c>
      <c r="D52" s="7" t="s">
        <v>178</v>
      </c>
      <c r="E52" s="7" t="s">
        <v>580</v>
      </c>
      <c r="F52" s="7" t="s">
        <v>493</v>
      </c>
      <c r="G52" s="9">
        <v>46045</v>
      </c>
      <c r="H52" s="7" t="s">
        <v>100</v>
      </c>
      <c r="I52" s="7">
        <v>15</v>
      </c>
      <c r="J52" s="7"/>
      <c r="K52" s="7"/>
    </row>
    <row r="53" spans="1:13">
      <c r="A53" s="7" t="s">
        <v>372</v>
      </c>
      <c r="B53" s="7" t="s">
        <v>372</v>
      </c>
      <c r="C53" s="7" t="s">
        <v>196</v>
      </c>
      <c r="D53" s="7" t="s">
        <v>109</v>
      </c>
      <c r="E53" s="7" t="s">
        <v>577</v>
      </c>
      <c r="F53" s="7" t="s">
        <v>473</v>
      </c>
      <c r="G53" s="9">
        <v>46056</v>
      </c>
      <c r="H53" s="7" t="s">
        <v>100</v>
      </c>
      <c r="I53" s="7">
        <v>4</v>
      </c>
      <c r="J53" s="7" t="s">
        <v>694</v>
      </c>
      <c r="K53" s="7"/>
    </row>
    <row r="54" spans="1:13">
      <c r="A54" s="7" t="s">
        <v>372</v>
      </c>
      <c r="B54" s="7" t="s">
        <v>372</v>
      </c>
      <c r="C54" s="7" t="s">
        <v>196</v>
      </c>
      <c r="D54" s="7" t="s">
        <v>145</v>
      </c>
      <c r="E54" s="7" t="s">
        <v>577</v>
      </c>
      <c r="F54" s="7" t="s">
        <v>509</v>
      </c>
      <c r="G54" s="9">
        <v>46056</v>
      </c>
      <c r="H54" s="7" t="s">
        <v>100</v>
      </c>
      <c r="I54" s="7">
        <v>4</v>
      </c>
      <c r="J54" s="7" t="s">
        <v>694</v>
      </c>
      <c r="K54" s="7"/>
    </row>
    <row r="55" spans="1:13">
      <c r="A55" s="7" t="s">
        <v>372</v>
      </c>
      <c r="B55" s="7" t="s">
        <v>372</v>
      </c>
      <c r="C55" s="7" t="s">
        <v>196</v>
      </c>
      <c r="D55" s="7" t="s">
        <v>346</v>
      </c>
      <c r="E55" s="7" t="s">
        <v>577</v>
      </c>
      <c r="F55" s="7" t="s">
        <v>513</v>
      </c>
      <c r="G55" s="9">
        <v>46056</v>
      </c>
      <c r="H55" s="7" t="s">
        <v>100</v>
      </c>
      <c r="I55" s="7">
        <v>4</v>
      </c>
      <c r="J55" s="7" t="s">
        <v>694</v>
      </c>
      <c r="K55" s="7"/>
    </row>
    <row r="56" spans="1:13">
      <c r="A56" s="7" t="s">
        <v>372</v>
      </c>
      <c r="B56" s="7" t="s">
        <v>372</v>
      </c>
      <c r="C56" s="7" t="s">
        <v>196</v>
      </c>
      <c r="D56" s="7" t="s">
        <v>222</v>
      </c>
      <c r="E56" s="7" t="s">
        <v>577</v>
      </c>
      <c r="F56" s="7" t="s">
        <v>491</v>
      </c>
      <c r="G56" s="9">
        <v>46056</v>
      </c>
      <c r="H56" s="7" t="s">
        <v>100</v>
      </c>
      <c r="I56" s="7">
        <v>10</v>
      </c>
      <c r="J56" s="7" t="s">
        <v>694</v>
      </c>
      <c r="K56" s="7"/>
    </row>
    <row r="57" spans="1:13">
      <c r="A57" s="7" t="s">
        <v>372</v>
      </c>
      <c r="B57" s="7" t="s">
        <v>372</v>
      </c>
      <c r="C57" s="7" t="s">
        <v>196</v>
      </c>
      <c r="D57" s="7" t="s">
        <v>284</v>
      </c>
      <c r="E57" s="7" t="s">
        <v>577</v>
      </c>
      <c r="F57" s="7" t="s">
        <v>499</v>
      </c>
      <c r="G57" s="9">
        <v>46056</v>
      </c>
      <c r="H57" s="7" t="s">
        <v>100</v>
      </c>
      <c r="I57" s="7">
        <v>4</v>
      </c>
      <c r="J57" s="7" t="s">
        <v>694</v>
      </c>
      <c r="K57" s="7"/>
      <c r="L57" s="7"/>
    </row>
    <row r="58" spans="1:13">
      <c r="A58" s="7" t="s">
        <v>372</v>
      </c>
      <c r="B58" s="7" t="s">
        <v>372</v>
      </c>
      <c r="C58" s="7" t="s">
        <v>196</v>
      </c>
      <c r="D58" s="7" t="s">
        <v>69</v>
      </c>
      <c r="E58" s="7" t="s">
        <v>577</v>
      </c>
      <c r="F58" s="7" t="s">
        <v>476</v>
      </c>
      <c r="G58" s="9">
        <v>46056</v>
      </c>
      <c r="H58" s="7" t="s">
        <v>100</v>
      </c>
      <c r="I58" s="7">
        <v>4</v>
      </c>
      <c r="J58" s="7" t="s">
        <v>694</v>
      </c>
      <c r="K58" s="7"/>
    </row>
    <row r="59" spans="1:13">
      <c r="A59" s="7" t="s">
        <v>372</v>
      </c>
      <c r="B59" s="7" t="s">
        <v>372</v>
      </c>
      <c r="C59" s="7" t="s">
        <v>196</v>
      </c>
      <c r="D59" s="7" t="s">
        <v>456</v>
      </c>
      <c r="E59" s="7" t="s">
        <v>711</v>
      </c>
      <c r="F59" s="7" t="s">
        <v>531</v>
      </c>
      <c r="G59" s="9">
        <v>46056</v>
      </c>
      <c r="H59" s="7" t="s">
        <v>100</v>
      </c>
      <c r="I59" s="7">
        <v>10</v>
      </c>
      <c r="J59" s="7" t="s">
        <v>694</v>
      </c>
      <c r="K59" s="7"/>
    </row>
    <row r="60" spans="1:13">
      <c r="A60" s="7" t="s">
        <v>372</v>
      </c>
      <c r="B60" s="7" t="s">
        <v>372</v>
      </c>
      <c r="C60" s="7" t="s">
        <v>196</v>
      </c>
      <c r="D60" s="7" t="s">
        <v>536</v>
      </c>
      <c r="E60" s="7" t="s">
        <v>711</v>
      </c>
      <c r="F60" s="7" t="s">
        <v>535</v>
      </c>
      <c r="G60" s="9">
        <v>46056</v>
      </c>
      <c r="H60" s="7" t="s">
        <v>100</v>
      </c>
      <c r="I60" s="7">
        <v>10</v>
      </c>
      <c r="J60" s="7" t="s">
        <v>694</v>
      </c>
      <c r="K60" s="7"/>
    </row>
    <row r="61" spans="1:13">
      <c r="A61" s="7" t="s">
        <v>372</v>
      </c>
      <c r="B61" s="7" t="s">
        <v>372</v>
      </c>
      <c r="C61" s="7" t="s">
        <v>196</v>
      </c>
      <c r="D61" s="7" t="s">
        <v>525</v>
      </c>
      <c r="E61" s="7" t="s">
        <v>711</v>
      </c>
      <c r="F61" s="7" t="s">
        <v>527</v>
      </c>
      <c r="G61" s="9">
        <v>46056</v>
      </c>
      <c r="H61" s="7" t="s">
        <v>100</v>
      </c>
      <c r="I61" s="7">
        <v>7</v>
      </c>
      <c r="J61" s="7"/>
      <c r="K61" s="7"/>
      <c r="L61" s="7"/>
      <c r="M61" s="7"/>
    </row>
    <row r="62" spans="1:13">
      <c r="A62" s="7" t="s">
        <v>372</v>
      </c>
      <c r="B62" s="7" t="s">
        <v>372</v>
      </c>
      <c r="C62" s="7" t="s">
        <v>196</v>
      </c>
      <c r="D62" s="7" t="s">
        <v>537</v>
      </c>
      <c r="E62" s="7" t="s">
        <v>711</v>
      </c>
      <c r="F62" s="7" t="s">
        <v>539</v>
      </c>
      <c r="G62" s="9">
        <v>46056</v>
      </c>
      <c r="H62" s="7" t="s">
        <v>100</v>
      </c>
      <c r="I62" s="7">
        <v>5</v>
      </c>
      <c r="J62" s="7"/>
      <c r="K62" s="7"/>
    </row>
    <row r="63" spans="1:13">
      <c r="A63" s="7" t="s">
        <v>372</v>
      </c>
      <c r="B63" s="7" t="s">
        <v>372</v>
      </c>
      <c r="C63" s="7" t="s">
        <v>196</v>
      </c>
      <c r="D63" s="7" t="s">
        <v>143</v>
      </c>
      <c r="E63" s="7" t="s">
        <v>577</v>
      </c>
      <c r="F63" s="7" t="s">
        <v>485</v>
      </c>
      <c r="G63" s="9">
        <v>46056</v>
      </c>
      <c r="H63" s="7" t="s">
        <v>100</v>
      </c>
      <c r="I63" s="7">
        <v>4</v>
      </c>
      <c r="J63" s="7"/>
      <c r="K63" s="7"/>
    </row>
    <row r="64" spans="1:13">
      <c r="A64" s="7" t="s">
        <v>372</v>
      </c>
      <c r="B64" s="7" t="s">
        <v>372</v>
      </c>
      <c r="C64" s="7" t="s">
        <v>196</v>
      </c>
      <c r="D64" s="7" t="s">
        <v>262</v>
      </c>
      <c r="E64" s="7" t="s">
        <v>577</v>
      </c>
      <c r="F64" s="7" t="s">
        <v>487</v>
      </c>
      <c r="G64" s="9">
        <v>46056</v>
      </c>
      <c r="H64" s="7" t="s">
        <v>100</v>
      </c>
      <c r="I64" s="7">
        <v>5</v>
      </c>
      <c r="J64" s="7"/>
      <c r="K64" s="7"/>
    </row>
    <row r="65" spans="1:13">
      <c r="A65" s="7" t="s">
        <v>372</v>
      </c>
      <c r="B65" s="7" t="s">
        <v>372</v>
      </c>
      <c r="C65" s="7" t="s">
        <v>196</v>
      </c>
      <c r="D65" s="7" t="s">
        <v>259</v>
      </c>
      <c r="E65" s="7" t="s">
        <v>577</v>
      </c>
      <c r="F65" s="7" t="s">
        <v>489</v>
      </c>
      <c r="G65" s="9">
        <v>46056</v>
      </c>
      <c r="H65" s="7" t="s">
        <v>100</v>
      </c>
      <c r="I65" s="7">
        <v>5</v>
      </c>
      <c r="J65" s="7"/>
      <c r="K65" s="7"/>
      <c r="L65" s="7"/>
      <c r="M65" s="7"/>
    </row>
    <row r="66" spans="1:13">
      <c r="A66" s="7" t="s">
        <v>372</v>
      </c>
      <c r="B66" s="7" t="s">
        <v>372</v>
      </c>
      <c r="C66" s="7" t="s">
        <v>196</v>
      </c>
      <c r="D66" s="7" t="s">
        <v>140</v>
      </c>
      <c r="E66" s="7" t="s">
        <v>577</v>
      </c>
      <c r="F66" s="7" t="s">
        <v>497</v>
      </c>
      <c r="G66" s="9">
        <v>46056</v>
      </c>
      <c r="H66" s="7" t="s">
        <v>227</v>
      </c>
      <c r="I66" s="7">
        <v>8</v>
      </c>
      <c r="J66" s="7"/>
      <c r="K66" s="7"/>
      <c r="L66" s="7"/>
      <c r="M66" s="7"/>
    </row>
    <row r="67" spans="1:13">
      <c r="A67" s="7" t="s">
        <v>372</v>
      </c>
      <c r="B67" s="7" t="s">
        <v>372</v>
      </c>
      <c r="C67" s="7" t="s">
        <v>196</v>
      </c>
      <c r="D67" s="7" t="s">
        <v>243</v>
      </c>
      <c r="E67" s="7" t="s">
        <v>577</v>
      </c>
      <c r="F67" s="7" t="s">
        <v>503</v>
      </c>
      <c r="G67" s="9">
        <v>46056</v>
      </c>
      <c r="H67" s="7" t="s">
        <v>100</v>
      </c>
      <c r="I67" s="7">
        <v>10</v>
      </c>
      <c r="J67" s="7"/>
      <c r="K67" s="7"/>
    </row>
    <row r="68" spans="1:13">
      <c r="A68" s="7" t="s">
        <v>372</v>
      </c>
      <c r="B68" s="7" t="s">
        <v>372</v>
      </c>
      <c r="C68" s="7" t="s">
        <v>196</v>
      </c>
      <c r="D68" s="7" t="s">
        <v>235</v>
      </c>
      <c r="E68" s="7" t="s">
        <v>577</v>
      </c>
      <c r="F68" s="7" t="s">
        <v>507</v>
      </c>
      <c r="G68" s="9">
        <v>46056</v>
      </c>
      <c r="H68" s="7" t="s">
        <v>100</v>
      </c>
      <c r="I68" s="7">
        <v>4</v>
      </c>
      <c r="J68" s="7"/>
      <c r="K68" s="7"/>
      <c r="L68" s="7"/>
      <c r="M68" s="7"/>
    </row>
    <row r="69" spans="1:13">
      <c r="A69" s="7" t="s">
        <v>372</v>
      </c>
      <c r="B69" s="7" t="s">
        <v>372</v>
      </c>
      <c r="C69" s="7" t="s">
        <v>322</v>
      </c>
      <c r="D69" s="7" t="s">
        <v>69</v>
      </c>
      <c r="E69" s="7" t="s">
        <v>375</v>
      </c>
      <c r="F69" s="7" t="s">
        <v>435</v>
      </c>
      <c r="G69" s="9">
        <v>46073</v>
      </c>
      <c r="H69" s="7" t="s">
        <v>227</v>
      </c>
      <c r="I69" s="7">
        <v>1</v>
      </c>
      <c r="J69" s="7"/>
      <c r="K69" s="7"/>
    </row>
    <row r="70" spans="1:13">
      <c r="A70" s="7" t="s">
        <v>372</v>
      </c>
      <c r="B70" s="7" t="s">
        <v>372</v>
      </c>
      <c r="C70" s="7" t="s">
        <v>322</v>
      </c>
      <c r="D70" s="7" t="s">
        <v>178</v>
      </c>
      <c r="E70" s="7" t="s">
        <v>375</v>
      </c>
      <c r="F70" s="7" t="s">
        <v>369</v>
      </c>
      <c r="G70" s="9">
        <v>46073</v>
      </c>
      <c r="H70" s="7" t="s">
        <v>227</v>
      </c>
      <c r="I70" s="7">
        <v>2</v>
      </c>
      <c r="J70" s="7"/>
      <c r="K70" s="7"/>
    </row>
    <row r="71" spans="1:13">
      <c r="A71" s="7" t="s">
        <v>372</v>
      </c>
      <c r="B71" s="7" t="s">
        <v>372</v>
      </c>
      <c r="C71" s="7" t="s">
        <v>254</v>
      </c>
      <c r="D71" s="7" t="s">
        <v>181</v>
      </c>
      <c r="E71" s="7" t="s">
        <v>712</v>
      </c>
      <c r="F71" s="7" t="s">
        <v>531</v>
      </c>
      <c r="G71" s="9">
        <v>46073</v>
      </c>
      <c r="H71" s="7" t="s">
        <v>100</v>
      </c>
      <c r="I71" s="7">
        <v>20</v>
      </c>
      <c r="J71" s="7"/>
      <c r="K71" s="7"/>
    </row>
    <row r="72" spans="1:13">
      <c r="A72" s="7" t="s">
        <v>372</v>
      </c>
      <c r="B72" s="7" t="s">
        <v>372</v>
      </c>
      <c r="C72" s="7" t="s">
        <v>254</v>
      </c>
      <c r="D72" s="7" t="s">
        <v>89</v>
      </c>
      <c r="E72" s="7" t="s">
        <v>712</v>
      </c>
      <c r="F72" s="7" t="s">
        <v>535</v>
      </c>
      <c r="G72" s="9">
        <v>46073</v>
      </c>
      <c r="H72" s="7" t="s">
        <v>100</v>
      </c>
      <c r="I72" s="7">
        <v>20</v>
      </c>
      <c r="J72" s="7"/>
      <c r="K72" s="7"/>
    </row>
    <row r="73" spans="1:13">
      <c r="A73" s="7" t="s">
        <v>372</v>
      </c>
      <c r="B73" s="7" t="s">
        <v>372</v>
      </c>
      <c r="C73" s="7" t="s">
        <v>254</v>
      </c>
      <c r="D73" s="7" t="s">
        <v>417</v>
      </c>
      <c r="E73" s="7" t="s">
        <v>712</v>
      </c>
      <c r="F73" s="7" t="s">
        <v>527</v>
      </c>
      <c r="G73" s="9">
        <v>46073</v>
      </c>
      <c r="H73" s="7" t="s">
        <v>100</v>
      </c>
      <c r="I73" s="7">
        <v>7</v>
      </c>
      <c r="J73" s="7"/>
      <c r="K73" s="7"/>
    </row>
    <row r="74" spans="1:13">
      <c r="A74" s="7" t="s">
        <v>372</v>
      </c>
      <c r="B74" s="7" t="s">
        <v>372</v>
      </c>
      <c r="C74" s="7" t="s">
        <v>207</v>
      </c>
      <c r="D74" s="7" t="s">
        <v>178</v>
      </c>
      <c r="E74" s="7" t="s">
        <v>720</v>
      </c>
      <c r="F74" s="7" t="s">
        <v>515</v>
      </c>
      <c r="G74" s="9">
        <v>46090</v>
      </c>
      <c r="H74" s="7" t="s">
        <v>227</v>
      </c>
      <c r="I74" s="7">
        <v>6</v>
      </c>
      <c r="J74" s="7"/>
      <c r="K74" s="7"/>
    </row>
    <row r="75" spans="1:13">
      <c r="A75" s="7" t="s">
        <v>372</v>
      </c>
      <c r="B75" s="7" t="s">
        <v>372</v>
      </c>
      <c r="C75" s="7" t="s">
        <v>207</v>
      </c>
      <c r="D75" s="7" t="s">
        <v>262</v>
      </c>
      <c r="E75" s="7" t="s">
        <v>720</v>
      </c>
      <c r="F75" s="7" t="s">
        <v>511</v>
      </c>
      <c r="G75" s="9">
        <v>46090</v>
      </c>
      <c r="H75" s="7" t="s">
        <v>227</v>
      </c>
      <c r="I75" s="7">
        <v>6</v>
      </c>
      <c r="J75" s="7"/>
      <c r="K75" s="7"/>
    </row>
    <row r="76" spans="1:13">
      <c r="A76" s="7" t="s">
        <v>136</v>
      </c>
      <c r="B76" s="7" t="s">
        <v>136</v>
      </c>
      <c r="C76" s="7" t="s">
        <v>127</v>
      </c>
      <c r="D76" s="7" t="s">
        <v>128</v>
      </c>
      <c r="E76" s="7" t="s">
        <v>139</v>
      </c>
      <c r="F76" s="7" t="s">
        <v>131</v>
      </c>
      <c r="G76" s="9">
        <v>45659</v>
      </c>
      <c r="H76" s="7" t="s">
        <v>100</v>
      </c>
      <c r="I76" s="7">
        <v>2</v>
      </c>
      <c r="J76" s="7"/>
      <c r="K76" s="7"/>
    </row>
    <row r="77" spans="1:13">
      <c r="A77" s="7" t="s">
        <v>136</v>
      </c>
      <c r="B77" s="7" t="s">
        <v>136</v>
      </c>
      <c r="C77" s="7" t="s">
        <v>127</v>
      </c>
      <c r="D77" s="7" t="s">
        <v>141</v>
      </c>
      <c r="E77" s="7" t="s">
        <v>139</v>
      </c>
      <c r="F77" s="7" t="s">
        <v>131</v>
      </c>
      <c r="G77" s="9">
        <v>45659</v>
      </c>
      <c r="H77" s="7" t="s">
        <v>100</v>
      </c>
      <c r="I77" s="7">
        <v>2</v>
      </c>
      <c r="J77" s="7"/>
      <c r="K77" s="7"/>
    </row>
    <row r="78" spans="1:13">
      <c r="A78" s="7" t="s">
        <v>136</v>
      </c>
      <c r="B78" s="7" t="s">
        <v>136</v>
      </c>
      <c r="C78" s="7" t="s">
        <v>144</v>
      </c>
      <c r="D78" s="7" t="s">
        <v>145</v>
      </c>
      <c r="E78" s="7" t="s">
        <v>152</v>
      </c>
      <c r="F78" s="7" t="s">
        <v>147</v>
      </c>
      <c r="G78" s="9">
        <v>45922</v>
      </c>
      <c r="H78" s="7" t="s">
        <v>100</v>
      </c>
      <c r="I78" s="7">
        <v>10</v>
      </c>
      <c r="J78" s="7"/>
      <c r="K78" s="7"/>
    </row>
    <row r="79" spans="1:13">
      <c r="A79" s="7" t="s">
        <v>136</v>
      </c>
      <c r="B79" s="7" t="s">
        <v>136</v>
      </c>
      <c r="C79" s="7" t="s">
        <v>196</v>
      </c>
      <c r="D79" s="7" t="s">
        <v>210</v>
      </c>
      <c r="E79" s="7" t="s">
        <v>216</v>
      </c>
      <c r="F79" s="7" t="s">
        <v>212</v>
      </c>
      <c r="G79" s="9">
        <v>46056</v>
      </c>
      <c r="H79" s="7" t="s">
        <v>100</v>
      </c>
      <c r="I79" s="7">
        <v>3</v>
      </c>
      <c r="J79" s="7"/>
      <c r="K79" s="7"/>
    </row>
    <row r="80" spans="1:13">
      <c r="A80" s="7" t="s">
        <v>136</v>
      </c>
      <c r="B80" s="7" t="s">
        <v>136</v>
      </c>
      <c r="C80" s="7" t="s">
        <v>356</v>
      </c>
      <c r="D80" s="7" t="s">
        <v>143</v>
      </c>
      <c r="E80" s="7" t="s">
        <v>360</v>
      </c>
      <c r="F80" s="7" t="s">
        <v>358</v>
      </c>
      <c r="G80" s="9">
        <v>46063</v>
      </c>
      <c r="H80" s="7" t="s">
        <v>100</v>
      </c>
      <c r="I80" s="7">
        <v>2</v>
      </c>
      <c r="J80" s="7"/>
      <c r="K80" s="7"/>
    </row>
    <row r="81" spans="1:14">
      <c r="A81" s="7" t="s">
        <v>293</v>
      </c>
      <c r="B81" s="7" t="s">
        <v>293</v>
      </c>
      <c r="C81" s="7" t="s">
        <v>307</v>
      </c>
      <c r="D81" s="7" t="s">
        <v>109</v>
      </c>
      <c r="E81" s="7" t="s">
        <v>533</v>
      </c>
      <c r="F81" s="7" t="s">
        <v>531</v>
      </c>
      <c r="G81" s="9">
        <v>45904</v>
      </c>
      <c r="H81" s="7" t="s">
        <v>100</v>
      </c>
      <c r="I81" s="7">
        <v>10</v>
      </c>
      <c r="J81" s="7"/>
      <c r="K81" s="7"/>
    </row>
    <row r="82" spans="1:14">
      <c r="A82" s="7" t="s">
        <v>293</v>
      </c>
      <c r="B82" s="7" t="s">
        <v>293</v>
      </c>
      <c r="C82" s="7" t="s">
        <v>307</v>
      </c>
      <c r="D82" s="7" t="s">
        <v>69</v>
      </c>
      <c r="E82" s="7" t="s">
        <v>533</v>
      </c>
      <c r="F82" s="7" t="s">
        <v>535</v>
      </c>
      <c r="G82" s="9">
        <v>45904</v>
      </c>
      <c r="H82" s="7" t="s">
        <v>100</v>
      </c>
      <c r="I82" s="7">
        <v>10</v>
      </c>
      <c r="J82" s="7"/>
      <c r="K82" s="7"/>
    </row>
    <row r="83" spans="1:14">
      <c r="A83" s="7" t="s">
        <v>293</v>
      </c>
      <c r="B83" s="7" t="s">
        <v>293</v>
      </c>
      <c r="C83" s="7" t="s">
        <v>144</v>
      </c>
      <c r="D83" s="7" t="s">
        <v>109</v>
      </c>
      <c r="E83" s="7" t="s">
        <v>482</v>
      </c>
      <c r="F83" s="7" t="s">
        <v>501</v>
      </c>
      <c r="G83" s="9">
        <v>45922</v>
      </c>
      <c r="H83" s="7" t="s">
        <v>483</v>
      </c>
      <c r="I83" s="7">
        <v>6</v>
      </c>
      <c r="J83" s="7"/>
      <c r="K83" s="7"/>
    </row>
    <row r="84" spans="1:14">
      <c r="A84" s="7" t="s">
        <v>293</v>
      </c>
      <c r="B84" s="7" t="s">
        <v>293</v>
      </c>
      <c r="C84" s="7" t="s">
        <v>144</v>
      </c>
      <c r="D84" s="7" t="s">
        <v>346</v>
      </c>
      <c r="E84" s="7" t="s">
        <v>449</v>
      </c>
      <c r="F84" s="7" t="s">
        <v>447</v>
      </c>
      <c r="G84" s="9">
        <v>45922</v>
      </c>
      <c r="H84" s="7" t="s">
        <v>100</v>
      </c>
      <c r="I84" s="7">
        <v>50</v>
      </c>
      <c r="J84" s="7"/>
      <c r="K84" s="7"/>
    </row>
    <row r="85" spans="1:14">
      <c r="A85" s="7" t="s">
        <v>293</v>
      </c>
      <c r="B85" s="7" t="s">
        <v>293</v>
      </c>
      <c r="C85" s="7" t="s">
        <v>144</v>
      </c>
      <c r="D85" s="7" t="s">
        <v>420</v>
      </c>
      <c r="E85" s="7" t="s">
        <v>449</v>
      </c>
      <c r="F85" s="7" t="s">
        <v>451</v>
      </c>
      <c r="G85" s="9">
        <v>45922</v>
      </c>
      <c r="H85" s="7" t="s">
        <v>100</v>
      </c>
      <c r="I85" s="7">
        <v>100</v>
      </c>
      <c r="J85" s="7"/>
      <c r="K85" s="7"/>
    </row>
    <row r="86" spans="1:14">
      <c r="A86" s="7" t="s">
        <v>293</v>
      </c>
      <c r="B86" s="7" t="s">
        <v>293</v>
      </c>
      <c r="C86" s="7" t="s">
        <v>144</v>
      </c>
      <c r="D86" s="7" t="s">
        <v>222</v>
      </c>
      <c r="E86" s="7" t="s">
        <v>449</v>
      </c>
      <c r="F86" s="7" t="s">
        <v>453</v>
      </c>
      <c r="G86" s="9">
        <v>45922</v>
      </c>
      <c r="H86" s="7" t="s">
        <v>100</v>
      </c>
      <c r="I86" s="7">
        <v>100</v>
      </c>
      <c r="J86" s="7"/>
      <c r="K86" s="7"/>
    </row>
    <row r="87" spans="1:14">
      <c r="A87" s="7" t="s">
        <v>293</v>
      </c>
      <c r="B87" s="7" t="s">
        <v>293</v>
      </c>
      <c r="C87" s="7" t="s">
        <v>144</v>
      </c>
      <c r="D87" s="7" t="s">
        <v>284</v>
      </c>
      <c r="E87" s="7" t="s">
        <v>449</v>
      </c>
      <c r="F87" s="7" t="s">
        <v>455</v>
      </c>
      <c r="G87" s="9">
        <v>45922</v>
      </c>
      <c r="H87" s="7" t="s">
        <v>100</v>
      </c>
      <c r="I87" s="7">
        <v>50</v>
      </c>
      <c r="J87" s="7"/>
      <c r="K87" s="7"/>
    </row>
    <row r="88" spans="1:14">
      <c r="A88" s="7" t="s">
        <v>293</v>
      </c>
      <c r="B88" s="7" t="s">
        <v>293</v>
      </c>
      <c r="C88" s="7" t="s">
        <v>144</v>
      </c>
      <c r="D88" s="7" t="s">
        <v>69</v>
      </c>
      <c r="E88" s="7" t="s">
        <v>482</v>
      </c>
      <c r="F88" s="7" t="s">
        <v>478</v>
      </c>
      <c r="G88" s="9">
        <v>45922</v>
      </c>
      <c r="H88" s="7" t="s">
        <v>483</v>
      </c>
      <c r="I88" s="7">
        <v>3</v>
      </c>
      <c r="J88" s="7"/>
      <c r="K88" s="7"/>
    </row>
    <row r="89" spans="1:14">
      <c r="A89" s="7" t="s">
        <v>293</v>
      </c>
      <c r="B89" s="7" t="s">
        <v>293</v>
      </c>
      <c r="C89" s="7" t="s">
        <v>144</v>
      </c>
      <c r="D89" s="7" t="s">
        <v>143</v>
      </c>
      <c r="E89" s="7" t="s">
        <v>388</v>
      </c>
      <c r="F89" s="7" t="s">
        <v>392</v>
      </c>
      <c r="G89" s="9">
        <v>45922</v>
      </c>
      <c r="H89" s="7" t="s">
        <v>100</v>
      </c>
      <c r="I89" s="7">
        <v>2</v>
      </c>
      <c r="J89" s="7"/>
      <c r="K89" s="7"/>
    </row>
    <row r="90" spans="1:14">
      <c r="A90" s="7" t="s">
        <v>293</v>
      </c>
      <c r="B90" s="7" t="s">
        <v>293</v>
      </c>
      <c r="C90" s="7" t="s">
        <v>144</v>
      </c>
      <c r="D90" s="7" t="s">
        <v>178</v>
      </c>
      <c r="E90" s="7" t="s">
        <v>388</v>
      </c>
      <c r="F90" s="7" t="s">
        <v>390</v>
      </c>
      <c r="G90" s="9">
        <v>45922</v>
      </c>
      <c r="H90" s="7" t="s">
        <v>100</v>
      </c>
      <c r="I90" s="7">
        <v>4</v>
      </c>
      <c r="J90" s="7"/>
      <c r="K90" s="7"/>
      <c r="L90" s="7"/>
      <c r="M90" s="7"/>
      <c r="N90" s="7"/>
    </row>
    <row r="91" spans="1:14">
      <c r="A91" s="7" t="s">
        <v>293</v>
      </c>
      <c r="B91" s="7" t="s">
        <v>293</v>
      </c>
      <c r="C91" s="7" t="s">
        <v>144</v>
      </c>
      <c r="D91" s="7" t="s">
        <v>262</v>
      </c>
      <c r="E91" s="7" t="s">
        <v>388</v>
      </c>
      <c r="F91" s="7" t="s">
        <v>386</v>
      </c>
      <c r="G91" s="9">
        <v>45922</v>
      </c>
      <c r="H91" s="7" t="s">
        <v>100</v>
      </c>
      <c r="I91" s="7">
        <v>4</v>
      </c>
      <c r="J91" s="7"/>
      <c r="K91" s="7"/>
    </row>
    <row r="92" spans="1:14">
      <c r="A92" s="7" t="s">
        <v>293</v>
      </c>
      <c r="B92" s="7" t="s">
        <v>293</v>
      </c>
      <c r="C92" s="7" t="s">
        <v>144</v>
      </c>
      <c r="D92" s="7" t="s">
        <v>259</v>
      </c>
      <c r="E92" s="7" t="s">
        <v>296</v>
      </c>
      <c r="F92" s="7" t="s">
        <v>289</v>
      </c>
      <c r="G92" s="9">
        <v>45922</v>
      </c>
      <c r="H92" s="7" t="s">
        <v>227</v>
      </c>
      <c r="I92" s="7">
        <v>4</v>
      </c>
      <c r="J92" s="7"/>
      <c r="K92" s="7"/>
      <c r="L92" s="7"/>
      <c r="M92" s="7"/>
      <c r="N92" s="7"/>
    </row>
    <row r="93" spans="1:14">
      <c r="A93" s="7" t="s">
        <v>293</v>
      </c>
      <c r="B93" s="7" t="s">
        <v>293</v>
      </c>
      <c r="C93" s="7" t="s">
        <v>144</v>
      </c>
      <c r="D93" s="7" t="s">
        <v>140</v>
      </c>
      <c r="E93" s="7" t="s">
        <v>296</v>
      </c>
      <c r="F93" s="7" t="s">
        <v>300</v>
      </c>
      <c r="G93" s="9">
        <v>45922</v>
      </c>
      <c r="H93" s="7" t="s">
        <v>227</v>
      </c>
      <c r="I93" s="7">
        <v>2</v>
      </c>
      <c r="J93" s="7"/>
      <c r="K93" s="7"/>
    </row>
    <row r="94" spans="1:14">
      <c r="A94" s="7" t="s">
        <v>293</v>
      </c>
      <c r="B94" s="7" t="s">
        <v>293</v>
      </c>
      <c r="C94" s="7" t="s">
        <v>144</v>
      </c>
      <c r="D94" s="7" t="s">
        <v>243</v>
      </c>
      <c r="E94" s="7" t="s">
        <v>296</v>
      </c>
      <c r="F94" s="7" t="s">
        <v>298</v>
      </c>
      <c r="G94" s="9">
        <v>45922</v>
      </c>
      <c r="H94" s="7" t="s">
        <v>227</v>
      </c>
      <c r="I94" s="7">
        <v>2</v>
      </c>
      <c r="J94" s="7"/>
      <c r="K94" s="7"/>
    </row>
    <row r="95" spans="1:14">
      <c r="A95" s="7" t="s">
        <v>188</v>
      </c>
      <c r="B95" s="7" t="s">
        <v>569</v>
      </c>
      <c r="C95" s="7" t="s">
        <v>234</v>
      </c>
      <c r="D95" s="7" t="s">
        <v>259</v>
      </c>
      <c r="E95" s="7" t="s">
        <v>546</v>
      </c>
      <c r="F95" s="7" t="s">
        <v>543</v>
      </c>
      <c r="G95" s="9">
        <v>46045</v>
      </c>
      <c r="H95" s="7" t="s">
        <v>100</v>
      </c>
      <c r="I95" s="7">
        <v>5</v>
      </c>
      <c r="J95" s="7"/>
      <c r="K95" s="7"/>
    </row>
    <row r="96" spans="1:14">
      <c r="A96" s="7" t="s">
        <v>188</v>
      </c>
      <c r="B96" s="7" t="s">
        <v>569</v>
      </c>
      <c r="C96" s="7" t="s">
        <v>616</v>
      </c>
      <c r="D96" s="7" t="s">
        <v>284</v>
      </c>
      <c r="E96" s="7" t="s">
        <v>756</v>
      </c>
      <c r="F96" s="7" t="s">
        <v>646</v>
      </c>
      <c r="G96" s="9">
        <v>46122</v>
      </c>
      <c r="H96" s="7" t="s">
        <v>227</v>
      </c>
      <c r="I96" s="7">
        <v>21</v>
      </c>
      <c r="J96" s="7"/>
      <c r="K96" s="7"/>
    </row>
    <row r="97" spans="1:11">
      <c r="A97" s="7" t="s">
        <v>188</v>
      </c>
      <c r="B97" s="7" t="s">
        <v>569</v>
      </c>
      <c r="C97" s="7" t="s">
        <v>616</v>
      </c>
      <c r="D97" s="7" t="s">
        <v>140</v>
      </c>
      <c r="E97" s="7" t="s">
        <v>750</v>
      </c>
      <c r="F97" s="7" t="s">
        <v>630</v>
      </c>
      <c r="G97" s="9">
        <v>46122</v>
      </c>
      <c r="H97" s="7" t="s">
        <v>227</v>
      </c>
      <c r="I97" s="7">
        <v>27</v>
      </c>
      <c r="J97" s="7"/>
      <c r="K97" s="7"/>
    </row>
    <row r="98" spans="1:11">
      <c r="A98" s="7" t="s">
        <v>223</v>
      </c>
      <c r="B98" s="7" t="s">
        <v>223</v>
      </c>
      <c r="C98" s="7" t="s">
        <v>315</v>
      </c>
      <c r="D98" s="7" t="s">
        <v>109</v>
      </c>
      <c r="E98" s="7" t="s">
        <v>321</v>
      </c>
      <c r="F98" s="7" t="s">
        <v>317</v>
      </c>
      <c r="G98" s="9">
        <v>45855</v>
      </c>
      <c r="H98" s="7" t="s">
        <v>100</v>
      </c>
      <c r="I98" s="7">
        <v>2</v>
      </c>
      <c r="J98" s="7"/>
      <c r="K98" s="7"/>
    </row>
    <row r="99" spans="1:11">
      <c r="A99" s="7" t="s">
        <v>223</v>
      </c>
      <c r="B99" s="7" t="s">
        <v>223</v>
      </c>
      <c r="C99" s="7" t="s">
        <v>217</v>
      </c>
      <c r="D99" s="7" t="s">
        <v>109</v>
      </c>
      <c r="E99" s="7" t="s">
        <v>226</v>
      </c>
      <c r="F99" s="7" t="s">
        <v>219</v>
      </c>
      <c r="G99" s="9">
        <v>45902</v>
      </c>
      <c r="H99" s="7" t="s">
        <v>227</v>
      </c>
      <c r="I99" s="7">
        <v>3</v>
      </c>
      <c r="J99" s="7"/>
      <c r="K99" s="7"/>
    </row>
    <row r="100" spans="1:11">
      <c r="A100" s="7" t="s">
        <v>223</v>
      </c>
      <c r="B100" s="7" t="s">
        <v>223</v>
      </c>
      <c r="C100" s="7" t="s">
        <v>144</v>
      </c>
      <c r="D100" s="7" t="s">
        <v>235</v>
      </c>
      <c r="E100" s="7" t="s">
        <v>306</v>
      </c>
      <c r="F100" s="7" t="s">
        <v>302</v>
      </c>
      <c r="G100" s="9">
        <v>45922</v>
      </c>
      <c r="H100" s="7" t="s">
        <v>812</v>
      </c>
      <c r="I100" s="7">
        <v>20</v>
      </c>
      <c r="J100" s="7"/>
      <c r="K100" s="7"/>
    </row>
    <row r="101" spans="1:11">
      <c r="A101" s="7" t="s">
        <v>159</v>
      </c>
      <c r="B101" s="7" t="s">
        <v>159</v>
      </c>
      <c r="C101" s="7" t="s">
        <v>153</v>
      </c>
      <c r="D101" s="7" t="s">
        <v>109</v>
      </c>
      <c r="E101" s="7" t="s">
        <v>162</v>
      </c>
      <c r="F101" s="7" t="s">
        <v>155</v>
      </c>
      <c r="G101" s="9">
        <v>45754</v>
      </c>
      <c r="H101" s="7" t="s">
        <v>111</v>
      </c>
      <c r="I101" s="7">
        <v>4</v>
      </c>
      <c r="J101" s="7"/>
      <c r="K101" s="7"/>
    </row>
    <row r="102" spans="1:11">
      <c r="A102" s="7" t="s">
        <v>159</v>
      </c>
      <c r="B102" s="7" t="s">
        <v>159</v>
      </c>
      <c r="C102" s="7" t="s">
        <v>196</v>
      </c>
      <c r="D102" s="7" t="s">
        <v>192</v>
      </c>
      <c r="E102" s="7" t="s">
        <v>599</v>
      </c>
      <c r="F102" s="7" t="s">
        <v>412</v>
      </c>
      <c r="G102" s="9">
        <v>46056</v>
      </c>
      <c r="H102" s="7" t="s">
        <v>100</v>
      </c>
      <c r="I102" s="7">
        <v>15</v>
      </c>
      <c r="J102" s="7"/>
      <c r="K102" s="7"/>
    </row>
    <row r="103" spans="1:11">
      <c r="A103" s="7" t="s">
        <v>159</v>
      </c>
      <c r="B103" s="7" t="s">
        <v>159</v>
      </c>
      <c r="C103" s="7" t="s">
        <v>196</v>
      </c>
      <c r="D103" s="7" t="s">
        <v>181</v>
      </c>
      <c r="E103" s="7" t="s">
        <v>599</v>
      </c>
      <c r="F103" s="7" t="s">
        <v>414</v>
      </c>
      <c r="G103" s="9">
        <v>46056</v>
      </c>
      <c r="H103" s="7" t="s">
        <v>100</v>
      </c>
      <c r="I103" s="7">
        <v>15</v>
      </c>
      <c r="J103" s="7"/>
      <c r="K103" s="7"/>
    </row>
    <row r="104" spans="1:11">
      <c r="A104" s="7" t="s">
        <v>159</v>
      </c>
      <c r="B104" s="7" t="s">
        <v>159</v>
      </c>
      <c r="C104" s="7" t="s">
        <v>196</v>
      </c>
      <c r="D104" s="7" t="s">
        <v>89</v>
      </c>
      <c r="E104" s="7" t="s">
        <v>599</v>
      </c>
      <c r="F104" s="7" t="s">
        <v>416</v>
      </c>
      <c r="G104" s="9">
        <v>46056</v>
      </c>
      <c r="H104" s="7" t="s">
        <v>100</v>
      </c>
      <c r="I104" s="7">
        <v>10</v>
      </c>
      <c r="J104" s="7"/>
      <c r="K104" s="7"/>
    </row>
    <row r="105" spans="1:11">
      <c r="A105" s="7" t="s">
        <v>159</v>
      </c>
      <c r="B105" s="7" t="s">
        <v>159</v>
      </c>
      <c r="C105" s="7" t="s">
        <v>196</v>
      </c>
      <c r="D105" s="7" t="s">
        <v>417</v>
      </c>
      <c r="E105" s="7" t="s">
        <v>599</v>
      </c>
      <c r="F105" s="7" t="s">
        <v>419</v>
      </c>
      <c r="G105" s="9">
        <v>46056</v>
      </c>
      <c r="H105" s="7" t="s">
        <v>227</v>
      </c>
      <c r="I105" s="7">
        <v>15</v>
      </c>
      <c r="J105" s="7"/>
      <c r="K105" s="7"/>
    </row>
    <row r="106" spans="1:11">
      <c r="A106" s="7" t="s">
        <v>159</v>
      </c>
      <c r="B106" s="7" t="s">
        <v>159</v>
      </c>
      <c r="C106" s="7" t="s">
        <v>196</v>
      </c>
      <c r="D106" s="7" t="s">
        <v>104</v>
      </c>
      <c r="E106" s="7" t="s">
        <v>599</v>
      </c>
      <c r="F106" s="7" t="s">
        <v>422</v>
      </c>
      <c r="G106" s="9">
        <v>46056</v>
      </c>
      <c r="H106" s="7" t="s">
        <v>227</v>
      </c>
      <c r="I106" s="7">
        <v>10</v>
      </c>
      <c r="J106" s="7"/>
      <c r="K106" s="7"/>
    </row>
    <row r="107" spans="1:11">
      <c r="A107" s="7" t="s">
        <v>159</v>
      </c>
      <c r="B107" s="7" t="s">
        <v>159</v>
      </c>
      <c r="C107" s="7" t="s">
        <v>196</v>
      </c>
      <c r="D107" s="7" t="s">
        <v>403</v>
      </c>
      <c r="E107" s="7" t="s">
        <v>599</v>
      </c>
      <c r="F107" s="7" t="s">
        <v>405</v>
      </c>
      <c r="G107" s="9">
        <v>46056</v>
      </c>
      <c r="H107" s="7" t="s">
        <v>227</v>
      </c>
      <c r="I107" s="7">
        <v>20</v>
      </c>
      <c r="J107" s="7"/>
      <c r="K107" s="7"/>
    </row>
    <row r="108" spans="1:11">
      <c r="A108" s="7" t="s">
        <v>159</v>
      </c>
      <c r="B108" s="7" t="s">
        <v>159</v>
      </c>
      <c r="C108" s="7" t="s">
        <v>101</v>
      </c>
      <c r="D108" s="7" t="s">
        <v>143</v>
      </c>
      <c r="E108" s="7" t="s">
        <v>581</v>
      </c>
      <c r="F108" s="7" t="s">
        <v>464</v>
      </c>
      <c r="G108" s="9">
        <v>46073</v>
      </c>
      <c r="H108" s="7" t="s">
        <v>227</v>
      </c>
      <c r="I108" s="7">
        <v>15</v>
      </c>
      <c r="J108" s="7"/>
      <c r="K108" s="7"/>
    </row>
    <row r="109" spans="1:11">
      <c r="A109" s="7" t="s">
        <v>159</v>
      </c>
      <c r="B109" s="7" t="s">
        <v>159</v>
      </c>
      <c r="C109" s="7" t="s">
        <v>647</v>
      </c>
      <c r="D109" s="7" t="s">
        <v>652</v>
      </c>
      <c r="E109" s="7" t="s">
        <v>826</v>
      </c>
      <c r="F109" s="7" t="s">
        <v>654</v>
      </c>
      <c r="G109" s="9">
        <v>46129</v>
      </c>
      <c r="H109" s="7" t="s">
        <v>111</v>
      </c>
      <c r="I109" s="7">
        <v>15</v>
      </c>
      <c r="J109" s="7"/>
      <c r="K109" s="7"/>
    </row>
    <row r="110" spans="1:11">
      <c r="A110" s="7" t="s">
        <v>159</v>
      </c>
      <c r="B110" s="7" t="s">
        <v>159</v>
      </c>
      <c r="C110" s="7" t="s">
        <v>647</v>
      </c>
      <c r="D110" s="7" t="s">
        <v>328</v>
      </c>
      <c r="E110" s="7" t="s">
        <v>826</v>
      </c>
      <c r="F110" s="7" t="s">
        <v>656</v>
      </c>
      <c r="G110" s="9">
        <v>46129</v>
      </c>
      <c r="H110" s="7" t="s">
        <v>111</v>
      </c>
      <c r="I110" s="7">
        <v>9</v>
      </c>
      <c r="J110" s="7"/>
      <c r="K110" s="7"/>
    </row>
    <row r="111" spans="1:11">
      <c r="A111" s="7" t="s">
        <v>159</v>
      </c>
      <c r="B111" s="7" t="s">
        <v>159</v>
      </c>
      <c r="C111" s="7" t="s">
        <v>647</v>
      </c>
      <c r="D111" s="7" t="s">
        <v>252</v>
      </c>
      <c r="E111" s="7" t="s">
        <v>826</v>
      </c>
      <c r="F111" s="7" t="s">
        <v>658</v>
      </c>
      <c r="G111" s="9">
        <v>46129</v>
      </c>
      <c r="H111" s="7" t="s">
        <v>111</v>
      </c>
      <c r="I111" s="7">
        <v>11</v>
      </c>
      <c r="J111" s="7"/>
      <c r="K111" s="7"/>
    </row>
    <row r="112" spans="1:11">
      <c r="A112" s="7" t="s">
        <v>159</v>
      </c>
      <c r="B112" s="7" t="s">
        <v>159</v>
      </c>
      <c r="C112" s="7" t="s">
        <v>647</v>
      </c>
      <c r="D112" s="7" t="s">
        <v>398</v>
      </c>
      <c r="E112" s="7" t="s">
        <v>826</v>
      </c>
      <c r="F112" s="7" t="s">
        <v>660</v>
      </c>
      <c r="G112" s="9">
        <v>46129</v>
      </c>
      <c r="H112" s="7" t="s">
        <v>111</v>
      </c>
      <c r="I112" s="7">
        <v>18</v>
      </c>
      <c r="J112" s="7"/>
      <c r="K112" s="7"/>
    </row>
    <row r="113" spans="1:11">
      <c r="A113" s="7" t="s">
        <v>159</v>
      </c>
      <c r="B113" s="7" t="s">
        <v>159</v>
      </c>
      <c r="C113" s="7" t="s">
        <v>647</v>
      </c>
      <c r="D113" s="7" t="s">
        <v>661</v>
      </c>
      <c r="E113" s="7" t="s">
        <v>826</v>
      </c>
      <c r="F113" s="7" t="s">
        <v>663</v>
      </c>
      <c r="G113" s="9">
        <v>46129</v>
      </c>
      <c r="H113" s="7" t="s">
        <v>111</v>
      </c>
      <c r="I113" s="7">
        <v>18</v>
      </c>
      <c r="J113" s="7"/>
      <c r="K113" s="7"/>
    </row>
    <row r="114" spans="1:11">
      <c r="A114" s="7" t="s">
        <v>159</v>
      </c>
      <c r="B114" s="7" t="s">
        <v>159</v>
      </c>
      <c r="C114" s="7" t="s">
        <v>647</v>
      </c>
      <c r="D114" s="7" t="s">
        <v>664</v>
      </c>
      <c r="E114" s="7" t="s">
        <v>781</v>
      </c>
      <c r="F114" s="7" t="s">
        <v>666</v>
      </c>
      <c r="G114" s="9">
        <v>46129</v>
      </c>
      <c r="H114" s="7" t="s">
        <v>111</v>
      </c>
      <c r="I114" s="7">
        <v>11</v>
      </c>
      <c r="J114" s="7"/>
      <c r="K114" s="7"/>
    </row>
    <row r="115" spans="1:11">
      <c r="A115" s="7" t="s">
        <v>159</v>
      </c>
      <c r="B115" s="7" t="s">
        <v>159</v>
      </c>
      <c r="C115" s="7" t="s">
        <v>647</v>
      </c>
      <c r="D115" s="7" t="s">
        <v>668</v>
      </c>
      <c r="E115" s="7" t="s">
        <v>781</v>
      </c>
      <c r="F115" s="7" t="s">
        <v>670</v>
      </c>
      <c r="G115" s="9">
        <v>46129</v>
      </c>
      <c r="H115" s="7" t="s">
        <v>111</v>
      </c>
      <c r="I115" s="7">
        <v>9</v>
      </c>
      <c r="J115" s="7"/>
      <c r="K115" s="7"/>
    </row>
    <row r="116" spans="1:11">
      <c r="A116" s="7" t="s">
        <v>159</v>
      </c>
      <c r="B116" s="7" t="s">
        <v>159</v>
      </c>
      <c r="C116" s="7" t="s">
        <v>647</v>
      </c>
      <c r="D116" s="7" t="s">
        <v>287</v>
      </c>
      <c r="E116" s="7" t="s">
        <v>781</v>
      </c>
      <c r="F116" s="7" t="s">
        <v>672</v>
      </c>
      <c r="G116" s="9">
        <v>46129</v>
      </c>
      <c r="H116" s="7" t="s">
        <v>111</v>
      </c>
      <c r="I116" s="7">
        <v>11</v>
      </c>
      <c r="J116" s="7"/>
      <c r="K116" s="7"/>
    </row>
    <row r="117" spans="1:11">
      <c r="A117" s="7" t="s">
        <v>159</v>
      </c>
      <c r="B117" s="7" t="s">
        <v>159</v>
      </c>
      <c r="C117" s="7" t="s">
        <v>647</v>
      </c>
      <c r="D117" s="7" t="s">
        <v>673</v>
      </c>
      <c r="E117" s="7" t="s">
        <v>781</v>
      </c>
      <c r="F117" s="7" t="s">
        <v>675</v>
      </c>
      <c r="G117" s="9">
        <v>46129</v>
      </c>
      <c r="H117" s="7" t="s">
        <v>111</v>
      </c>
      <c r="I117" s="7">
        <v>18</v>
      </c>
      <c r="J117" s="7"/>
      <c r="K117" s="7"/>
    </row>
    <row r="118" spans="1:11">
      <c r="A118" s="7" t="s">
        <v>159</v>
      </c>
      <c r="B118" s="7" t="s">
        <v>159</v>
      </c>
      <c r="C118" s="7" t="s">
        <v>647</v>
      </c>
      <c r="D118" s="7" t="s">
        <v>676</v>
      </c>
      <c r="E118" s="7" t="s">
        <v>781</v>
      </c>
      <c r="F118" s="7" t="s">
        <v>678</v>
      </c>
      <c r="G118" s="9">
        <v>46129</v>
      </c>
      <c r="H118" s="7" t="s">
        <v>111</v>
      </c>
      <c r="I118" s="7">
        <v>15</v>
      </c>
      <c r="J118" s="7"/>
      <c r="K118" s="7"/>
    </row>
    <row r="119" spans="1:11">
      <c r="A119" s="7" t="s">
        <v>159</v>
      </c>
      <c r="B119" s="7" t="s">
        <v>159</v>
      </c>
      <c r="C119" s="7" t="s">
        <v>647</v>
      </c>
      <c r="D119" s="7" t="s">
        <v>679</v>
      </c>
      <c r="E119" s="7" t="s">
        <v>781</v>
      </c>
      <c r="F119" s="7" t="s">
        <v>681</v>
      </c>
      <c r="G119" s="9">
        <v>46129</v>
      </c>
      <c r="H119" s="7" t="s">
        <v>111</v>
      </c>
      <c r="I119" s="7">
        <v>18</v>
      </c>
      <c r="J119" s="7"/>
      <c r="K119" s="7"/>
    </row>
    <row r="120" spans="1:11">
      <c r="A120" s="7" t="s">
        <v>569</v>
      </c>
      <c r="B120" s="7" t="s">
        <v>202</v>
      </c>
      <c r="C120" s="7" t="s">
        <v>356</v>
      </c>
      <c r="D120" s="7" t="s">
        <v>178</v>
      </c>
      <c r="E120" s="7" t="s">
        <v>569</v>
      </c>
      <c r="F120" s="7" t="s">
        <v>458</v>
      </c>
      <c r="G120" s="9">
        <v>46063</v>
      </c>
      <c r="H120" s="7" t="s">
        <v>176</v>
      </c>
      <c r="I120" s="7">
        <v>15</v>
      </c>
      <c r="J120" s="7" t="s">
        <v>98</v>
      </c>
      <c r="K120" s="7" t="s">
        <v>98</v>
      </c>
    </row>
    <row r="121" spans="1:11">
      <c r="A121" s="7" t="s">
        <v>569</v>
      </c>
      <c r="B121" s="7" t="s">
        <v>202</v>
      </c>
      <c r="C121" s="7" t="s">
        <v>583</v>
      </c>
      <c r="D121" s="7" t="s">
        <v>262</v>
      </c>
      <c r="E121" s="7" t="s">
        <v>569</v>
      </c>
      <c r="F121" s="7" t="s">
        <v>443</v>
      </c>
      <c r="G121" s="9">
        <v>46122</v>
      </c>
      <c r="H121" s="7" t="s">
        <v>203</v>
      </c>
      <c r="I121" s="7">
        <v>10</v>
      </c>
    </row>
    <row r="122" spans="1:11">
      <c r="A122" s="7" t="s">
        <v>569</v>
      </c>
      <c r="B122" s="7" t="s">
        <v>202</v>
      </c>
      <c r="C122" s="7" t="s">
        <v>583</v>
      </c>
      <c r="D122" s="7" t="s">
        <v>259</v>
      </c>
      <c r="E122" s="7" t="s">
        <v>569</v>
      </c>
      <c r="F122" s="7" t="s">
        <v>445</v>
      </c>
      <c r="G122" s="9">
        <v>46122</v>
      </c>
      <c r="H122" s="7" t="s">
        <v>203</v>
      </c>
      <c r="I122" s="7">
        <v>10</v>
      </c>
    </row>
    <row r="123" spans="1:11">
      <c r="A123" s="7" t="s">
        <v>569</v>
      </c>
      <c r="B123" s="7" t="s">
        <v>202</v>
      </c>
      <c r="C123" s="7" t="s">
        <v>616</v>
      </c>
      <c r="D123" s="7" t="s">
        <v>192</v>
      </c>
      <c r="E123" s="7" t="s">
        <v>569</v>
      </c>
      <c r="F123" s="7" t="s">
        <v>644</v>
      </c>
      <c r="G123" s="9">
        <v>46122</v>
      </c>
      <c r="H123" s="7" t="s">
        <v>203</v>
      </c>
      <c r="I123" s="7">
        <v>21</v>
      </c>
    </row>
    <row r="124" spans="1:11">
      <c r="A124" s="7" t="s">
        <v>569</v>
      </c>
      <c r="B124" s="7" t="s">
        <v>202</v>
      </c>
      <c r="C124" s="7" t="s">
        <v>616</v>
      </c>
      <c r="D124" s="7" t="s">
        <v>181</v>
      </c>
      <c r="E124" s="7" t="s">
        <v>569</v>
      </c>
      <c r="F124" s="7" t="s">
        <v>642</v>
      </c>
      <c r="G124" s="9">
        <v>46122</v>
      </c>
      <c r="H124" s="7" t="s">
        <v>203</v>
      </c>
      <c r="I124" s="7">
        <v>21</v>
      </c>
    </row>
    <row r="125" spans="1:11">
      <c r="A125" s="7" t="s">
        <v>569</v>
      </c>
      <c r="B125" s="7" t="s">
        <v>202</v>
      </c>
      <c r="C125" s="7" t="s">
        <v>616</v>
      </c>
      <c r="D125" s="7" t="s">
        <v>143</v>
      </c>
      <c r="E125" s="7" t="s">
        <v>569</v>
      </c>
      <c r="F125" s="7" t="s">
        <v>638</v>
      </c>
      <c r="G125" s="9">
        <v>46122</v>
      </c>
      <c r="H125" s="7" t="s">
        <v>203</v>
      </c>
      <c r="I125" s="7">
        <v>27</v>
      </c>
    </row>
    <row r="126" spans="1:11">
      <c r="A126" s="7" t="s">
        <v>569</v>
      </c>
      <c r="B126" s="7" t="s">
        <v>202</v>
      </c>
      <c r="C126" s="7" t="s">
        <v>616</v>
      </c>
      <c r="D126" s="7" t="s">
        <v>178</v>
      </c>
      <c r="E126" s="7" t="s">
        <v>569</v>
      </c>
      <c r="F126" s="7" t="s">
        <v>636</v>
      </c>
      <c r="G126" s="9">
        <v>46122</v>
      </c>
      <c r="H126" s="7" t="s">
        <v>203</v>
      </c>
      <c r="I126" s="7">
        <v>21</v>
      </c>
    </row>
    <row r="127" spans="1:11">
      <c r="A127" s="7" t="s">
        <v>569</v>
      </c>
      <c r="B127" s="7" t="s">
        <v>202</v>
      </c>
      <c r="C127" s="7" t="s">
        <v>616</v>
      </c>
      <c r="D127" s="7" t="s">
        <v>259</v>
      </c>
      <c r="E127" s="7" t="s">
        <v>569</v>
      </c>
      <c r="F127" s="7" t="s">
        <v>632</v>
      </c>
      <c r="G127" s="9">
        <v>46122</v>
      </c>
      <c r="H127" s="7" t="s">
        <v>203</v>
      </c>
      <c r="I127" s="7">
        <v>27</v>
      </c>
    </row>
    <row r="128" spans="1:11">
      <c r="A128" s="7" t="s">
        <v>569</v>
      </c>
      <c r="B128" s="7" t="s">
        <v>202</v>
      </c>
      <c r="C128" s="7" t="s">
        <v>616</v>
      </c>
      <c r="D128" s="7" t="s">
        <v>235</v>
      </c>
      <c r="E128" s="7" t="s">
        <v>569</v>
      </c>
      <c r="F128" s="7" t="s">
        <v>626</v>
      </c>
      <c r="G128" s="9">
        <v>46122</v>
      </c>
      <c r="H128" s="7" t="s">
        <v>203</v>
      </c>
      <c r="I128" s="7">
        <v>21</v>
      </c>
    </row>
    <row r="129" spans="1:9">
      <c r="A129" s="7" t="s">
        <v>569</v>
      </c>
      <c r="B129" s="7" t="s">
        <v>202</v>
      </c>
      <c r="C129" s="7" t="s">
        <v>685</v>
      </c>
      <c r="D129" s="7" t="s">
        <v>69</v>
      </c>
      <c r="E129" s="7" t="s">
        <v>569</v>
      </c>
      <c r="F129" s="7" t="s">
        <v>691</v>
      </c>
      <c r="G129" s="9">
        <v>46113</v>
      </c>
      <c r="H129" s="7" t="s">
        <v>203</v>
      </c>
      <c r="I129" s="7">
        <v>100</v>
      </c>
    </row>
    <row r="130" spans="1:9">
      <c r="A130" s="7" t="s">
        <v>569</v>
      </c>
      <c r="B130" s="7" t="s">
        <v>202</v>
      </c>
      <c r="C130" s="7" t="s">
        <v>685</v>
      </c>
      <c r="D130" s="7" t="s">
        <v>143</v>
      </c>
      <c r="E130" s="7" t="s">
        <v>569</v>
      </c>
      <c r="F130" s="7" t="s">
        <v>689</v>
      </c>
      <c r="G130" s="9">
        <v>46113</v>
      </c>
      <c r="H130" s="7" t="s">
        <v>203</v>
      </c>
      <c r="I130" s="7">
        <v>100</v>
      </c>
    </row>
    <row r="131" spans="1:9">
      <c r="A131" s="7" t="s">
        <v>569</v>
      </c>
      <c r="B131" s="7" t="s">
        <v>202</v>
      </c>
      <c r="C131" s="7" t="s">
        <v>685</v>
      </c>
      <c r="D131" s="7" t="s">
        <v>178</v>
      </c>
      <c r="E131" s="7" t="s">
        <v>569</v>
      </c>
      <c r="F131" s="7" t="s">
        <v>687</v>
      </c>
      <c r="G131" s="9">
        <v>46113</v>
      </c>
      <c r="H131" s="7" t="s">
        <v>203</v>
      </c>
      <c r="I131" s="7">
        <v>200</v>
      </c>
    </row>
    <row r="132" spans="1:9">
      <c r="A132" s="7" t="s">
        <v>569</v>
      </c>
      <c r="B132" s="7" t="s">
        <v>588</v>
      </c>
      <c r="C132" s="7" t="s">
        <v>795</v>
      </c>
      <c r="D132" s="7" t="s">
        <v>243</v>
      </c>
      <c r="E132" s="7" t="s">
        <v>569</v>
      </c>
      <c r="F132" s="7" t="s">
        <v>247</v>
      </c>
      <c r="G132" s="9">
        <v>46190</v>
      </c>
      <c r="H132" s="7" t="s">
        <v>203</v>
      </c>
      <c r="I132" s="7">
        <v>10</v>
      </c>
    </row>
    <row r="133" spans="1:9">
      <c r="A133" s="7" t="s">
        <v>569</v>
      </c>
      <c r="B133" s="7" t="s">
        <v>588</v>
      </c>
      <c r="C133" s="7" t="s">
        <v>795</v>
      </c>
      <c r="D133" s="7" t="s">
        <v>235</v>
      </c>
      <c r="E133" s="7" t="s">
        <v>569</v>
      </c>
      <c r="F133" s="7" t="s">
        <v>823</v>
      </c>
      <c r="G133" s="9">
        <v>46190</v>
      </c>
      <c r="H133" s="7" t="s">
        <v>203</v>
      </c>
      <c r="I133" s="7">
        <v>5</v>
      </c>
    </row>
    <row r="134" spans="1:9">
      <c r="A134" s="7" t="s">
        <v>569</v>
      </c>
      <c r="B134" s="7" t="s">
        <v>569</v>
      </c>
      <c r="C134" s="7" t="s">
        <v>172</v>
      </c>
      <c r="D134" s="7" t="s">
        <v>109</v>
      </c>
      <c r="E134" s="7" t="s">
        <v>569</v>
      </c>
      <c r="F134" s="7" t="s">
        <v>174</v>
      </c>
      <c r="G134" s="9">
        <v>45855</v>
      </c>
      <c r="H134" s="7" t="s">
        <v>176</v>
      </c>
      <c r="I134" s="7">
        <v>10</v>
      </c>
    </row>
    <row r="135" spans="1:9">
      <c r="A135" s="7" t="s">
        <v>569</v>
      </c>
      <c r="B135" s="7" t="s">
        <v>569</v>
      </c>
      <c r="C135" s="7" t="s">
        <v>217</v>
      </c>
      <c r="D135" s="7" t="s">
        <v>69</v>
      </c>
      <c r="E135" s="7" t="s">
        <v>569</v>
      </c>
      <c r="F135" s="7" t="s">
        <v>247</v>
      </c>
      <c r="G135" s="9">
        <v>45902</v>
      </c>
      <c r="H135" s="7" t="s">
        <v>176</v>
      </c>
      <c r="I135" s="7">
        <v>30</v>
      </c>
    </row>
    <row r="136" spans="1:9">
      <c r="A136" s="7" t="s">
        <v>569</v>
      </c>
      <c r="B136" s="7" t="s">
        <v>569</v>
      </c>
      <c r="C136" s="7" t="s">
        <v>217</v>
      </c>
      <c r="D136" s="7" t="s">
        <v>143</v>
      </c>
      <c r="E136" s="7" t="s">
        <v>569</v>
      </c>
      <c r="F136" s="7" t="s">
        <v>505</v>
      </c>
      <c r="G136" s="9">
        <v>45902</v>
      </c>
      <c r="H136" s="7" t="s">
        <v>176</v>
      </c>
      <c r="I136" s="7">
        <v>6</v>
      </c>
    </row>
    <row r="137" spans="1:9">
      <c r="A137" s="7" t="s">
        <v>569</v>
      </c>
      <c r="B137" s="7" t="s">
        <v>569</v>
      </c>
      <c r="C137" s="7" t="s">
        <v>217</v>
      </c>
      <c r="D137" s="7" t="s">
        <v>178</v>
      </c>
      <c r="E137" s="7" t="s">
        <v>569</v>
      </c>
      <c r="F137" s="7" t="s">
        <v>493</v>
      </c>
      <c r="G137" s="9">
        <v>45902</v>
      </c>
      <c r="H137" s="7" t="s">
        <v>176</v>
      </c>
      <c r="I137" s="7">
        <v>6</v>
      </c>
    </row>
    <row r="138" spans="1:9">
      <c r="A138" s="7" t="s">
        <v>569</v>
      </c>
      <c r="B138" s="7" t="s">
        <v>569</v>
      </c>
      <c r="C138" s="7" t="s">
        <v>217</v>
      </c>
      <c r="D138" s="7" t="s">
        <v>262</v>
      </c>
      <c r="E138" s="7" t="s">
        <v>569</v>
      </c>
      <c r="F138" s="7" t="s">
        <v>353</v>
      </c>
      <c r="G138" s="9">
        <v>45902</v>
      </c>
      <c r="H138" s="7" t="s">
        <v>176</v>
      </c>
      <c r="I138" s="7">
        <v>1</v>
      </c>
    </row>
    <row r="139" spans="1:9">
      <c r="A139" s="7" t="s">
        <v>569</v>
      </c>
      <c r="B139" s="7" t="s">
        <v>569</v>
      </c>
      <c r="C139" s="7" t="s">
        <v>217</v>
      </c>
      <c r="D139" s="7" t="s">
        <v>259</v>
      </c>
      <c r="E139" s="7" t="s">
        <v>569</v>
      </c>
      <c r="F139" s="7" t="s">
        <v>355</v>
      </c>
      <c r="G139" s="9">
        <v>45902</v>
      </c>
      <c r="H139" s="7" t="s">
        <v>176</v>
      </c>
      <c r="I139" s="7">
        <v>1</v>
      </c>
    </row>
    <row r="140" spans="1:9">
      <c r="A140" s="7" t="s">
        <v>569</v>
      </c>
      <c r="B140" s="7" t="s">
        <v>569</v>
      </c>
      <c r="C140" s="7" t="s">
        <v>547</v>
      </c>
      <c r="D140" s="7" t="s">
        <v>109</v>
      </c>
      <c r="E140" s="7" t="s">
        <v>569</v>
      </c>
      <c r="F140" s="7" t="s">
        <v>563</v>
      </c>
      <c r="G140" s="9">
        <v>45940</v>
      </c>
      <c r="H140" s="7" t="s">
        <v>550</v>
      </c>
      <c r="I140" s="7">
        <v>10</v>
      </c>
    </row>
    <row r="141" spans="1:9">
      <c r="A141" s="7" t="s">
        <v>569</v>
      </c>
      <c r="B141" s="7" t="s">
        <v>569</v>
      </c>
      <c r="C141" s="7" t="s">
        <v>547</v>
      </c>
      <c r="D141" s="7" t="s">
        <v>69</v>
      </c>
      <c r="E141" s="7" t="s">
        <v>569</v>
      </c>
      <c r="F141" s="7" t="s">
        <v>567</v>
      </c>
      <c r="G141" s="9">
        <v>45940</v>
      </c>
      <c r="H141" s="7" t="s">
        <v>550</v>
      </c>
      <c r="I141" s="7">
        <v>10</v>
      </c>
    </row>
    <row r="142" spans="1:9">
      <c r="A142" s="7" t="s">
        <v>569</v>
      </c>
      <c r="B142" s="7" t="s">
        <v>569</v>
      </c>
      <c r="C142" s="7" t="s">
        <v>547</v>
      </c>
      <c r="D142" s="7" t="s">
        <v>143</v>
      </c>
      <c r="E142" s="7" t="s">
        <v>569</v>
      </c>
      <c r="F142" s="7" t="s">
        <v>565</v>
      </c>
      <c r="G142" s="9">
        <v>45940</v>
      </c>
      <c r="H142" s="7" t="s">
        <v>176</v>
      </c>
      <c r="I142" s="7">
        <v>2</v>
      </c>
    </row>
    <row r="143" spans="1:9">
      <c r="A143" s="7" t="s">
        <v>569</v>
      </c>
      <c r="B143" s="7" t="s">
        <v>569</v>
      </c>
      <c r="C143" s="7" t="s">
        <v>547</v>
      </c>
      <c r="D143" s="7" t="s">
        <v>178</v>
      </c>
      <c r="E143" s="7" t="s">
        <v>569</v>
      </c>
      <c r="F143" s="7" t="s">
        <v>549</v>
      </c>
      <c r="G143" s="9">
        <v>45940</v>
      </c>
      <c r="H143" s="7" t="s">
        <v>550</v>
      </c>
      <c r="I143" s="7">
        <v>6</v>
      </c>
    </row>
    <row r="144" spans="1:9">
      <c r="A144" s="7" t="s">
        <v>569</v>
      </c>
      <c r="B144" s="7" t="s">
        <v>569</v>
      </c>
      <c r="C144" s="7" t="s">
        <v>234</v>
      </c>
      <c r="D144" s="7" t="s">
        <v>262</v>
      </c>
      <c r="E144" s="7" t="s">
        <v>569</v>
      </c>
      <c r="F144" s="7" t="s">
        <v>443</v>
      </c>
      <c r="G144" s="9">
        <v>46045</v>
      </c>
      <c r="H144" s="7" t="s">
        <v>176</v>
      </c>
      <c r="I144" s="7">
        <v>10</v>
      </c>
    </row>
    <row r="145" spans="1:9">
      <c r="A145" s="7" t="s">
        <v>569</v>
      </c>
      <c r="B145" s="7" t="s">
        <v>569</v>
      </c>
      <c r="C145" s="7" t="s">
        <v>234</v>
      </c>
      <c r="D145" s="7" t="s">
        <v>140</v>
      </c>
      <c r="E145" s="7" t="s">
        <v>569</v>
      </c>
      <c r="F145" s="7" t="s">
        <v>445</v>
      </c>
      <c r="G145" s="9">
        <v>46045</v>
      </c>
      <c r="H145" s="7" t="s">
        <v>176</v>
      </c>
      <c r="I145" s="7">
        <v>5</v>
      </c>
    </row>
    <row r="146" spans="1:9">
      <c r="A146" s="7" t="s">
        <v>569</v>
      </c>
      <c r="B146" s="7" t="s">
        <v>569</v>
      </c>
      <c r="C146" s="7" t="s">
        <v>234</v>
      </c>
      <c r="D146" s="7" t="s">
        <v>243</v>
      </c>
      <c r="E146" s="7" t="s">
        <v>569</v>
      </c>
      <c r="F146" s="7" t="s">
        <v>245</v>
      </c>
      <c r="G146" s="9">
        <v>46045</v>
      </c>
      <c r="H146" s="7" t="s">
        <v>176</v>
      </c>
      <c r="I146" s="7">
        <v>40</v>
      </c>
    </row>
    <row r="147" spans="1:9">
      <c r="A147" s="7" t="s">
        <v>569</v>
      </c>
      <c r="B147" s="7" t="s">
        <v>569</v>
      </c>
      <c r="C147" s="7" t="s">
        <v>322</v>
      </c>
      <c r="D147" s="7" t="s">
        <v>262</v>
      </c>
      <c r="E147" s="7" t="s">
        <v>569</v>
      </c>
      <c r="F147" s="7" t="s">
        <v>324</v>
      </c>
      <c r="G147" s="9">
        <v>46073</v>
      </c>
      <c r="H147" s="7" t="s">
        <v>550</v>
      </c>
      <c r="I147" s="7">
        <v>1</v>
      </c>
    </row>
    <row r="148" spans="1:9">
      <c r="A148" s="7" t="s">
        <v>569</v>
      </c>
      <c r="B148" s="7" t="s">
        <v>569</v>
      </c>
      <c r="C148" s="7" t="s">
        <v>607</v>
      </c>
      <c r="D148" s="7" t="s">
        <v>109</v>
      </c>
      <c r="E148" s="7" t="s">
        <v>569</v>
      </c>
      <c r="F148" s="7" t="s">
        <v>609</v>
      </c>
      <c r="G148" s="9">
        <v>46111</v>
      </c>
      <c r="H148" s="7" t="s">
        <v>176</v>
      </c>
      <c r="I148" s="7">
        <v>1</v>
      </c>
    </row>
    <row r="149" spans="1:9">
      <c r="A149" s="7" t="s">
        <v>569</v>
      </c>
      <c r="B149" s="7" t="s">
        <v>569</v>
      </c>
      <c r="C149" s="7" t="s">
        <v>613</v>
      </c>
      <c r="D149" s="7" t="s">
        <v>109</v>
      </c>
      <c r="E149" s="7" t="s">
        <v>569</v>
      </c>
      <c r="F149" s="7" t="s">
        <v>615</v>
      </c>
      <c r="G149" s="9">
        <v>46111</v>
      </c>
      <c r="H149" s="7" t="s">
        <v>550</v>
      </c>
      <c r="I149" s="7">
        <v>1</v>
      </c>
    </row>
    <row r="150" spans="1:9">
      <c r="A150" s="7" t="s">
        <v>569</v>
      </c>
      <c r="B150" s="7" t="s">
        <v>569</v>
      </c>
      <c r="C150" s="7" t="s">
        <v>647</v>
      </c>
      <c r="D150" s="7" t="s">
        <v>648</v>
      </c>
      <c r="E150" s="7" t="s">
        <v>569</v>
      </c>
      <c r="F150" s="7" t="s">
        <v>650</v>
      </c>
      <c r="G150" s="9">
        <v>46129</v>
      </c>
      <c r="H150" s="7" t="s">
        <v>180</v>
      </c>
      <c r="I150" s="7">
        <v>11</v>
      </c>
    </row>
    <row r="151" spans="1:9">
      <c r="A151" s="7" t="s">
        <v>569</v>
      </c>
      <c r="B151" s="7" t="s">
        <v>569</v>
      </c>
      <c r="C151" s="7" t="s">
        <v>569</v>
      </c>
      <c r="D151" s="7" t="s">
        <v>569</v>
      </c>
      <c r="E151" s="7" t="s">
        <v>569</v>
      </c>
      <c r="F151" s="7" t="s">
        <v>569</v>
      </c>
      <c r="G151" s="9" t="s">
        <v>569</v>
      </c>
      <c r="H151" s="7" t="s">
        <v>569</v>
      </c>
      <c r="I151" s="7" t="s">
        <v>569</v>
      </c>
    </row>
    <row r="152" spans="1:9">
      <c r="A152" s="7" t="s">
        <v>569</v>
      </c>
      <c r="B152" s="7" t="s">
        <v>569</v>
      </c>
      <c r="C152" s="7" t="s">
        <v>785</v>
      </c>
      <c r="D152" s="7" t="s">
        <v>109</v>
      </c>
      <c r="E152" s="7" t="s">
        <v>569</v>
      </c>
      <c r="F152" s="7" t="s">
        <v>787</v>
      </c>
      <c r="G152" s="9">
        <v>46168</v>
      </c>
      <c r="H152" s="7" t="s">
        <v>180</v>
      </c>
      <c r="I152" s="7">
        <v>10</v>
      </c>
    </row>
    <row r="153" spans="1:9">
      <c r="A153" s="7" t="s">
        <v>569</v>
      </c>
      <c r="B153" s="7" t="s">
        <v>569</v>
      </c>
      <c r="C153" s="7" t="s">
        <v>795</v>
      </c>
      <c r="D153" s="7" t="s">
        <v>69</v>
      </c>
      <c r="E153" s="7" t="s">
        <v>569</v>
      </c>
      <c r="F153" s="7" t="s">
        <v>806</v>
      </c>
      <c r="G153" s="9">
        <v>46190</v>
      </c>
      <c r="H153" s="7" t="s">
        <v>180</v>
      </c>
      <c r="I153" s="7">
        <v>3</v>
      </c>
    </row>
    <row r="154" spans="1:9">
      <c r="A154" s="7" t="s">
        <v>569</v>
      </c>
      <c r="B154" s="7" t="s">
        <v>569</v>
      </c>
      <c r="C154" s="7" t="s">
        <v>795</v>
      </c>
      <c r="D154" s="7" t="s">
        <v>262</v>
      </c>
      <c r="E154" s="7" t="s">
        <v>569</v>
      </c>
      <c r="F154" s="7" t="s">
        <v>801</v>
      </c>
      <c r="G154" s="9">
        <v>46190</v>
      </c>
      <c r="H154" s="7" t="s">
        <v>180</v>
      </c>
      <c r="I154" s="7">
        <v>3</v>
      </c>
    </row>
    <row r="155" spans="1:9">
      <c r="A155" s="7" t="s">
        <v>569</v>
      </c>
      <c r="B155" s="7" t="s">
        <v>569</v>
      </c>
      <c r="C155" s="7" t="s">
        <v>795</v>
      </c>
      <c r="D155" s="7" t="s">
        <v>259</v>
      </c>
      <c r="E155" s="7" t="s">
        <v>569</v>
      </c>
      <c r="F155" s="7" t="s">
        <v>808</v>
      </c>
      <c r="G155" s="9">
        <v>46190</v>
      </c>
      <c r="H155" s="7" t="s">
        <v>180</v>
      </c>
      <c r="I155" s="7">
        <v>3</v>
      </c>
    </row>
    <row r="156" spans="1:9">
      <c r="A156" s="7" t="s">
        <v>569</v>
      </c>
      <c r="B156" s="7" t="s">
        <v>718</v>
      </c>
      <c r="C156" s="7" t="s">
        <v>322</v>
      </c>
      <c r="D156" s="7" t="s">
        <v>143</v>
      </c>
      <c r="E156" s="7" t="s">
        <v>569</v>
      </c>
      <c r="F156" s="7" t="s">
        <v>341</v>
      </c>
      <c r="G156" s="9">
        <v>46073</v>
      </c>
      <c r="H156" s="7" t="s">
        <v>203</v>
      </c>
      <c r="I156" s="7">
        <v>1</v>
      </c>
    </row>
    <row r="157" spans="1:9">
      <c r="A157" s="7" t="s">
        <v>569</v>
      </c>
      <c r="B157" s="7" t="s">
        <v>718</v>
      </c>
      <c r="C157" s="7" t="s">
        <v>177</v>
      </c>
      <c r="D157" s="7" t="s">
        <v>109</v>
      </c>
      <c r="E157" s="7" t="s">
        <v>569</v>
      </c>
      <c r="F157" s="7" t="s">
        <v>541</v>
      </c>
      <c r="G157" s="9">
        <v>46090</v>
      </c>
      <c r="H157" s="7" t="s">
        <v>203</v>
      </c>
      <c r="I157" s="7">
        <v>4</v>
      </c>
    </row>
    <row r="158" spans="1:9">
      <c r="A158" s="7" t="s">
        <v>569</v>
      </c>
      <c r="B158" s="7" t="s">
        <v>718</v>
      </c>
      <c r="C158" s="7" t="s">
        <v>177</v>
      </c>
      <c r="D158" s="7" t="s">
        <v>143</v>
      </c>
      <c r="E158" s="7" t="s">
        <v>569</v>
      </c>
      <c r="F158" s="7" t="s">
        <v>433</v>
      </c>
      <c r="G158" s="9">
        <v>46090</v>
      </c>
      <c r="H158" s="7" t="s">
        <v>203</v>
      </c>
      <c r="I158" s="7">
        <v>15</v>
      </c>
    </row>
    <row r="159" spans="1:9">
      <c r="A159" s="7" t="s">
        <v>569</v>
      </c>
      <c r="B159" s="7" t="s">
        <v>718</v>
      </c>
      <c r="C159" s="7" t="s">
        <v>177</v>
      </c>
      <c r="D159" s="7" t="s">
        <v>178</v>
      </c>
      <c r="E159" s="7" t="s">
        <v>569</v>
      </c>
      <c r="F159" s="7" t="s">
        <v>174</v>
      </c>
      <c r="G159" s="9">
        <v>46090</v>
      </c>
      <c r="H159" s="7" t="s">
        <v>203</v>
      </c>
      <c r="I159" s="7">
        <v>10</v>
      </c>
    </row>
    <row r="160" spans="1:9">
      <c r="A160" s="7" t="s">
        <v>569</v>
      </c>
      <c r="B160" s="7" t="s">
        <v>718</v>
      </c>
      <c r="C160" s="7" t="s">
        <v>713</v>
      </c>
      <c r="D160" s="7" t="s">
        <v>143</v>
      </c>
      <c r="E160" s="7" t="s">
        <v>569</v>
      </c>
      <c r="F160" s="7" t="s">
        <v>715</v>
      </c>
      <c r="G160" s="9">
        <v>46141</v>
      </c>
      <c r="H160" s="7" t="s">
        <v>203</v>
      </c>
      <c r="I160" s="7">
        <v>10</v>
      </c>
    </row>
    <row r="161" spans="1:9">
      <c r="A161" s="7" t="s">
        <v>569</v>
      </c>
      <c r="B161" s="7" t="s">
        <v>718</v>
      </c>
      <c r="C161" s="7" t="s">
        <v>726</v>
      </c>
      <c r="D161" s="7" t="s">
        <v>109</v>
      </c>
      <c r="E161" s="7" t="s">
        <v>569</v>
      </c>
      <c r="F161" s="7" t="s">
        <v>729</v>
      </c>
      <c r="G161" s="9">
        <v>46169</v>
      </c>
      <c r="H161" s="7" t="s">
        <v>203</v>
      </c>
      <c r="I161" s="7">
        <v>16</v>
      </c>
    </row>
    <row r="162" spans="1:9">
      <c r="A162" s="7" t="s">
        <v>569</v>
      </c>
      <c r="B162" s="7" t="s">
        <v>718</v>
      </c>
      <c r="C162" s="7" t="s">
        <v>761</v>
      </c>
      <c r="D162" s="7" t="s">
        <v>109</v>
      </c>
      <c r="E162" s="7" t="s">
        <v>569</v>
      </c>
      <c r="F162" s="7" t="s">
        <v>764</v>
      </c>
      <c r="G162" s="9">
        <v>46169</v>
      </c>
      <c r="H162" s="7" t="s">
        <v>203</v>
      </c>
      <c r="I162" s="7">
        <v>25</v>
      </c>
    </row>
    <row r="163" spans="1:9">
      <c r="A163" s="7" t="s">
        <v>569</v>
      </c>
      <c r="B163" s="7" t="s">
        <v>734</v>
      </c>
      <c r="C163" s="7" t="s">
        <v>795</v>
      </c>
      <c r="D163" s="7" t="s">
        <v>109</v>
      </c>
      <c r="E163" s="7" t="s">
        <v>569</v>
      </c>
      <c r="F163" s="7" t="s">
        <v>493</v>
      </c>
      <c r="G163" s="9">
        <v>46190</v>
      </c>
      <c r="H163" s="7" t="s">
        <v>203</v>
      </c>
      <c r="I163" s="7">
        <v>10</v>
      </c>
    </row>
    <row r="164" spans="1:9">
      <c r="A164" s="7" t="s">
        <v>569</v>
      </c>
      <c r="B164" s="7" t="s">
        <v>734</v>
      </c>
      <c r="C164" s="7" t="s">
        <v>795</v>
      </c>
      <c r="D164" s="7" t="s">
        <v>143</v>
      </c>
      <c r="E164" s="7" t="s">
        <v>569</v>
      </c>
      <c r="F164" s="7" t="s">
        <v>803</v>
      </c>
      <c r="G164" s="9">
        <v>46190</v>
      </c>
      <c r="H164" s="7" t="s">
        <v>203</v>
      </c>
      <c r="I164" s="7">
        <v>3</v>
      </c>
    </row>
    <row r="165" spans="1:9">
      <c r="A165" s="7" t="s">
        <v>569</v>
      </c>
      <c r="B165" s="7" t="s">
        <v>734</v>
      </c>
      <c r="C165" s="7" t="s">
        <v>795</v>
      </c>
      <c r="D165" s="7" t="s">
        <v>178</v>
      </c>
      <c r="E165" s="7" t="s">
        <v>569</v>
      </c>
      <c r="F165" s="7" t="s">
        <v>799</v>
      </c>
      <c r="G165" s="9">
        <v>46190</v>
      </c>
      <c r="H165" s="7" t="s">
        <v>203</v>
      </c>
      <c r="I165" s="7">
        <v>3</v>
      </c>
    </row>
    <row r="166" spans="1:9">
      <c r="A166" s="7" t="s">
        <v>569</v>
      </c>
      <c r="B166" s="7" t="s">
        <v>734</v>
      </c>
      <c r="C166" s="7" t="s">
        <v>795</v>
      </c>
      <c r="D166" s="7" t="s">
        <v>140</v>
      </c>
      <c r="E166" s="7" t="s">
        <v>569</v>
      </c>
      <c r="F166" s="7" t="s">
        <v>810</v>
      </c>
      <c r="G166" s="9">
        <v>46190</v>
      </c>
      <c r="H166" s="7" t="s">
        <v>203</v>
      </c>
      <c r="I166" s="7">
        <v>3</v>
      </c>
    </row>
    <row r="167" spans="1:9">
      <c r="A167" s="7" t="s">
        <v>588</v>
      </c>
      <c r="B167" s="7" t="s">
        <v>588</v>
      </c>
      <c r="C167" s="7" t="s">
        <v>207</v>
      </c>
      <c r="D167" s="7" t="s">
        <v>69</v>
      </c>
      <c r="E167" s="7" t="s">
        <v>591</v>
      </c>
      <c r="F167" s="7" t="s">
        <v>441</v>
      </c>
      <c r="G167" s="9">
        <v>46090</v>
      </c>
      <c r="H167" s="7" t="s">
        <v>100</v>
      </c>
      <c r="I167" s="7">
        <v>5</v>
      </c>
    </row>
    <row r="168" spans="1:9">
      <c r="A168" s="7" t="s">
        <v>588</v>
      </c>
      <c r="B168" s="7" t="s">
        <v>588</v>
      </c>
      <c r="C168" s="7" t="s">
        <v>207</v>
      </c>
      <c r="D168" s="7" t="s">
        <v>143</v>
      </c>
      <c r="E168" s="7" t="s">
        <v>591</v>
      </c>
      <c r="F168" s="7" t="s">
        <v>209</v>
      </c>
      <c r="G168" s="9">
        <v>46090</v>
      </c>
      <c r="H168" s="7" t="s">
        <v>100</v>
      </c>
      <c r="I168" s="7">
        <v>2</v>
      </c>
    </row>
    <row r="169" spans="1:9">
      <c r="A169" s="7" t="s">
        <v>202</v>
      </c>
      <c r="B169" s="7" t="s">
        <v>202</v>
      </c>
      <c r="C169" s="7" t="s">
        <v>196</v>
      </c>
      <c r="D169" s="7" t="s">
        <v>204</v>
      </c>
      <c r="E169" s="7" t="s">
        <v>684</v>
      </c>
      <c r="F169" s="7" t="s">
        <v>206</v>
      </c>
      <c r="G169" s="9">
        <v>46056</v>
      </c>
      <c r="H169" s="7" t="s">
        <v>100</v>
      </c>
      <c r="I169" s="7">
        <v>100</v>
      </c>
    </row>
    <row r="170" spans="1:9">
      <c r="A170" s="7" t="s">
        <v>202</v>
      </c>
      <c r="B170" s="7" t="s">
        <v>202</v>
      </c>
      <c r="C170" s="7" t="s">
        <v>196</v>
      </c>
      <c r="D170" s="7" t="s">
        <v>197</v>
      </c>
      <c r="E170" s="7" t="s">
        <v>684</v>
      </c>
      <c r="F170" s="7" t="s">
        <v>199</v>
      </c>
      <c r="G170" s="9">
        <v>46056</v>
      </c>
      <c r="H170" s="7" t="s">
        <v>100</v>
      </c>
      <c r="I170" s="7">
        <v>100</v>
      </c>
    </row>
    <row r="171" spans="1:9">
      <c r="A171" s="7" t="s">
        <v>202</v>
      </c>
      <c r="B171" s="7" t="s">
        <v>202</v>
      </c>
      <c r="C171" s="7" t="s">
        <v>254</v>
      </c>
      <c r="D171" s="7" t="s">
        <v>145</v>
      </c>
      <c r="E171" s="7" t="s">
        <v>757</v>
      </c>
      <c r="F171" s="7" t="s">
        <v>343</v>
      </c>
      <c r="G171" s="9">
        <v>46073</v>
      </c>
      <c r="H171" s="7" t="s">
        <v>227</v>
      </c>
      <c r="I171" s="7">
        <v>10</v>
      </c>
    </row>
    <row r="172" spans="1:9">
      <c r="A172" s="7" t="s">
        <v>202</v>
      </c>
      <c r="B172" s="7" t="s">
        <v>202</v>
      </c>
      <c r="C172" s="7" t="s">
        <v>254</v>
      </c>
      <c r="D172" s="7" t="s">
        <v>143</v>
      </c>
      <c r="E172" s="7" t="s">
        <v>757</v>
      </c>
      <c r="F172" s="7" t="s">
        <v>275</v>
      </c>
      <c r="G172" s="9">
        <v>46073</v>
      </c>
      <c r="H172" s="7" t="s">
        <v>227</v>
      </c>
      <c r="I172" s="7">
        <v>10</v>
      </c>
    </row>
    <row r="173" spans="1:9">
      <c r="A173" s="7" t="s">
        <v>734</v>
      </c>
      <c r="B173" s="7" t="s">
        <v>734</v>
      </c>
      <c r="C173" s="7" t="s">
        <v>610</v>
      </c>
      <c r="D173" s="7" t="s">
        <v>109</v>
      </c>
      <c r="E173" s="7" t="s">
        <v>767</v>
      </c>
      <c r="F173" s="7" t="s">
        <v>245</v>
      </c>
      <c r="G173" s="9">
        <v>46122</v>
      </c>
      <c r="H173" s="7" t="s">
        <v>227</v>
      </c>
      <c r="I173" s="7">
        <v>40</v>
      </c>
    </row>
    <row r="174" spans="1:9">
      <c r="A174" s="7" t="s">
        <v>734</v>
      </c>
      <c r="B174" s="7" t="s">
        <v>734</v>
      </c>
      <c r="C174" s="7" t="s">
        <v>610</v>
      </c>
      <c r="D174" s="7" t="s">
        <v>69</v>
      </c>
      <c r="E174" s="7" t="s">
        <v>735</v>
      </c>
      <c r="F174" s="7" t="s">
        <v>612</v>
      </c>
      <c r="G174" s="9">
        <v>46122</v>
      </c>
      <c r="H174" s="7" t="s">
        <v>227</v>
      </c>
      <c r="I174" s="7">
        <v>5</v>
      </c>
    </row>
    <row r="175" spans="1:9">
      <c r="A175" s="7" t="s">
        <v>734</v>
      </c>
      <c r="B175" s="7" t="s">
        <v>734</v>
      </c>
      <c r="C175" s="7" t="s">
        <v>610</v>
      </c>
      <c r="D175" s="7" t="s">
        <v>143</v>
      </c>
      <c r="E175" s="7" t="s">
        <v>737</v>
      </c>
      <c r="F175" s="7" t="s">
        <v>353</v>
      </c>
      <c r="G175" s="9">
        <v>46122</v>
      </c>
      <c r="H175" s="7" t="s">
        <v>227</v>
      </c>
      <c r="I175" s="7">
        <v>5</v>
      </c>
    </row>
    <row r="176" spans="1:9">
      <c r="A176" s="7" t="s">
        <v>734</v>
      </c>
      <c r="B176" s="7" t="s">
        <v>734</v>
      </c>
      <c r="C176" s="7" t="s">
        <v>610</v>
      </c>
      <c r="D176" s="7" t="s">
        <v>178</v>
      </c>
      <c r="E176" s="7" t="s">
        <v>737</v>
      </c>
      <c r="F176" s="7" t="s">
        <v>355</v>
      </c>
      <c r="G176" s="9">
        <v>46122</v>
      </c>
      <c r="H176" s="7" t="s">
        <v>227</v>
      </c>
      <c r="I176" s="7">
        <v>5</v>
      </c>
    </row>
    <row r="177" spans="1:9">
      <c r="A177" s="7" t="s">
        <v>718</v>
      </c>
      <c r="B177" s="7" t="s">
        <v>718</v>
      </c>
      <c r="C177" s="7" t="s">
        <v>583</v>
      </c>
      <c r="D177" s="7" t="s">
        <v>140</v>
      </c>
      <c r="E177" s="7" t="s">
        <v>811</v>
      </c>
      <c r="F177" s="7" t="s">
        <v>317</v>
      </c>
      <c r="G177" s="9">
        <v>46122</v>
      </c>
      <c r="H177" s="7" t="s">
        <v>227</v>
      </c>
      <c r="I177" s="7">
        <v>2</v>
      </c>
    </row>
    <row r="178" spans="1:9">
      <c r="A178" s="7" t="s">
        <v>732</v>
      </c>
      <c r="B178" s="7" t="s">
        <v>732</v>
      </c>
      <c r="C178" s="7" t="s">
        <v>254</v>
      </c>
      <c r="D178" s="7" t="s">
        <v>69</v>
      </c>
      <c r="E178" s="7" t="s">
        <v>815</v>
      </c>
      <c r="F178" s="7" t="s">
        <v>277</v>
      </c>
      <c r="G178" s="9">
        <v>46073</v>
      </c>
      <c r="H178" s="7" t="s">
        <v>227</v>
      </c>
      <c r="I178" s="7">
        <v>10</v>
      </c>
    </row>
    <row r="179" spans="1:9">
      <c r="A179" s="7" t="s">
        <v>732</v>
      </c>
      <c r="B179" s="7" t="s">
        <v>732</v>
      </c>
      <c r="C179" s="7" t="s">
        <v>254</v>
      </c>
      <c r="D179" s="7" t="s">
        <v>262</v>
      </c>
      <c r="E179" s="7" t="s">
        <v>818</v>
      </c>
      <c r="F179" s="7" t="s">
        <v>264</v>
      </c>
      <c r="G179" s="9">
        <v>46073</v>
      </c>
      <c r="H179" s="7" t="s">
        <v>227</v>
      </c>
      <c r="I179" s="7">
        <v>20</v>
      </c>
    </row>
    <row r="180" spans="1:9">
      <c r="A180" s="7" t="s">
        <v>732</v>
      </c>
      <c r="B180" s="7" t="s">
        <v>732</v>
      </c>
      <c r="C180" s="7" t="s">
        <v>254</v>
      </c>
      <c r="D180" s="7" t="s">
        <v>259</v>
      </c>
      <c r="E180" s="7" t="s">
        <v>821</v>
      </c>
      <c r="F180" s="7" t="s">
        <v>261</v>
      </c>
      <c r="G180" s="9">
        <v>46073</v>
      </c>
      <c r="H180" s="7" t="s">
        <v>227</v>
      </c>
      <c r="I180" s="7">
        <v>5</v>
      </c>
    </row>
    <row r="181" spans="1:9">
      <c r="A181" s="7" t="s">
        <v>732</v>
      </c>
      <c r="B181" s="7" t="s">
        <v>732</v>
      </c>
      <c r="C181" s="7" t="s">
        <v>685</v>
      </c>
      <c r="D181" s="7" t="s">
        <v>109</v>
      </c>
      <c r="E181" s="7" t="s">
        <v>818</v>
      </c>
      <c r="F181" s="7" t="s">
        <v>199</v>
      </c>
      <c r="G181" s="9">
        <v>46113</v>
      </c>
      <c r="H181" s="7" t="s">
        <v>227</v>
      </c>
      <c r="I181" s="7">
        <v>100</v>
      </c>
    </row>
    <row r="182" spans="1:9">
      <c r="A182" s="7" t="s">
        <v>570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80"/>
  <sheetViews>
    <sheetView workbookViewId="0">
      <selection activeCell="P4" sqref="P4"/>
    </sheetView>
  </sheetViews>
  <sheetFormatPr defaultRowHeight="15"/>
  <cols>
    <col min="1" max="1" width="10.42578125" bestFit="1" customWidth="1"/>
    <col min="2" max="2" width="10.85546875" bestFit="1" customWidth="1"/>
    <col min="3" max="3" width="7.5703125" bestFit="1" customWidth="1"/>
    <col min="4" max="4" width="18" bestFit="1" customWidth="1"/>
    <col min="5" max="5" width="20" bestFit="1" customWidth="1"/>
    <col min="6" max="6" width="7.5703125" bestFit="1" customWidth="1"/>
    <col min="7" max="7" width="13.140625" bestFit="1" customWidth="1"/>
    <col min="8" max="8" width="12.85546875" bestFit="1" customWidth="1"/>
    <col min="9" max="9" width="14.140625" bestFit="1" customWidth="1"/>
    <col min="10" max="10" width="16.85546875" bestFit="1" customWidth="1"/>
    <col min="11" max="11" width="15.5703125" bestFit="1" customWidth="1"/>
    <col min="12" max="12" width="8.7109375" bestFit="1" customWidth="1"/>
    <col min="13" max="13" width="6.7109375" bestFit="1" customWidth="1"/>
    <col min="14" max="14" width="25.28515625" bestFit="1" customWidth="1"/>
    <col min="15" max="15" width="8.28515625" bestFit="1" customWidth="1"/>
    <col min="16" max="16" width="43.5703125" bestFit="1" customWidth="1"/>
    <col min="17" max="17" width="7.85546875" bestFit="1" customWidth="1"/>
    <col min="18" max="18" width="11.140625" bestFit="1" customWidth="1"/>
    <col min="19" max="19" width="12.140625" bestFit="1" customWidth="1"/>
    <col min="20" max="20" width="18.85546875" bestFit="1" customWidth="1"/>
    <col min="21" max="21" width="26.28515625" bestFit="1" customWidth="1"/>
    <col min="22" max="22" width="19.28515625" bestFit="1" customWidth="1"/>
    <col min="23" max="23" width="15.7109375" bestFit="1" customWidth="1"/>
    <col min="24" max="24" width="11.85546875" bestFit="1" customWidth="1"/>
    <col min="25" max="25" width="15.42578125" bestFit="1" customWidth="1"/>
    <col min="26" max="26" width="28.7109375" bestFit="1" customWidth="1"/>
    <col min="27" max="27" width="22.5703125" bestFit="1" customWidth="1"/>
    <col min="28" max="28" width="19.42578125" bestFit="1" customWidth="1"/>
    <col min="29" max="29" width="7" bestFit="1" customWidth="1"/>
    <col min="30" max="30" width="16.42578125" bestFit="1" customWidth="1"/>
    <col min="31" max="31" width="11" bestFit="1" customWidth="1"/>
    <col min="32" max="32" width="12.5703125" bestFit="1" customWidth="1"/>
    <col min="33" max="33" width="19" bestFit="1" customWidth="1"/>
    <col min="34" max="34" width="12.85546875" bestFit="1" customWidth="1"/>
    <col min="35" max="35" width="18.140625" bestFit="1" customWidth="1"/>
    <col min="36" max="36" width="11" bestFit="1" customWidth="1"/>
    <col min="37" max="37" width="12.85546875" bestFit="1" customWidth="1"/>
    <col min="38" max="38" width="19.28515625" bestFit="1" customWidth="1"/>
    <col min="39" max="39" width="13.28515625" bestFit="1" customWidth="1"/>
    <col min="40" max="40" width="18.42578125" bestFit="1" customWidth="1"/>
    <col min="41" max="41" width="18.28515625" bestFit="1" customWidth="1"/>
    <col min="42" max="42" width="17" bestFit="1" customWidth="1"/>
    <col min="43" max="43" width="15" bestFit="1" customWidth="1"/>
    <col min="44" max="44" width="41.140625" bestFit="1" customWidth="1"/>
    <col min="45" max="45" width="17" bestFit="1" customWidth="1"/>
    <col min="46" max="46" width="52.7109375" bestFit="1" customWidth="1"/>
    <col min="47" max="48" width="11" bestFit="1" customWidth="1"/>
    <col min="49" max="49" width="11.42578125" bestFit="1" customWidth="1"/>
    <col min="50" max="50" width="12.7109375" bestFit="1" customWidth="1"/>
    <col min="51" max="51" width="18.28515625" bestFit="1" customWidth="1"/>
    <col min="52" max="52" width="16.85546875" bestFit="1" customWidth="1"/>
    <col min="53" max="53" width="29" bestFit="1" customWidth="1"/>
    <col min="54" max="54" width="20.42578125" bestFit="1" customWidth="1"/>
    <col min="55" max="55" width="18.140625" bestFit="1" customWidth="1"/>
    <col min="56" max="56" width="19.28515625" bestFit="1" customWidth="1"/>
    <col min="57" max="57" width="15.7109375" bestFit="1" customWidth="1"/>
    <col min="58" max="58" width="10.7109375" bestFit="1" customWidth="1"/>
    <col min="59" max="60" width="13.5703125" bestFit="1" customWidth="1"/>
    <col min="61" max="61" width="10.42578125" bestFit="1" customWidth="1"/>
    <col min="62" max="63" width="14.85546875" bestFit="1" customWidth="1"/>
    <col min="64" max="64" width="10.42578125" bestFit="1" customWidth="1"/>
    <col min="65" max="65" width="11.42578125" bestFit="1" customWidth="1"/>
    <col min="66" max="66" width="13.42578125" bestFit="1" customWidth="1"/>
    <col min="67" max="67" width="26.7109375" bestFit="1" customWidth="1"/>
    <col min="68" max="68" width="11.28515625" bestFit="1" customWidth="1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>
      <c r="B2" t="s">
        <v>547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s="2">
        <v>45940</v>
      </c>
      <c r="I2" s="2">
        <v>45960</v>
      </c>
      <c r="J2" t="s">
        <v>74</v>
      </c>
      <c r="K2" s="2">
        <v>45947</v>
      </c>
      <c r="L2" t="s">
        <v>75</v>
      </c>
      <c r="M2" t="s">
        <v>76</v>
      </c>
      <c r="N2" t="s">
        <v>77</v>
      </c>
      <c r="O2" t="s">
        <v>566</v>
      </c>
      <c r="P2" t="s">
        <v>567</v>
      </c>
      <c r="Q2">
        <v>10</v>
      </c>
      <c r="R2" t="s">
        <v>115</v>
      </c>
      <c r="S2" t="s">
        <v>116</v>
      </c>
      <c r="V2" t="s">
        <v>98</v>
      </c>
      <c r="W2" t="s">
        <v>83</v>
      </c>
      <c r="X2" t="s">
        <v>84</v>
      </c>
      <c r="Y2" t="s">
        <v>14</v>
      </c>
      <c r="Z2" t="s">
        <v>148</v>
      </c>
      <c r="AA2" t="s">
        <v>86</v>
      </c>
      <c r="AB2" t="s">
        <v>87</v>
      </c>
      <c r="AD2" s="3">
        <v>1141000003</v>
      </c>
      <c r="AX2" t="s">
        <v>175</v>
      </c>
      <c r="BB2" s="4"/>
      <c r="BD2" s="2"/>
      <c r="BL2" s="2"/>
      <c r="BO2" t="s">
        <v>550</v>
      </c>
      <c r="BP2" s="5">
        <v>1</v>
      </c>
    </row>
    <row r="3" spans="1:68">
      <c r="B3" t="s">
        <v>547</v>
      </c>
      <c r="C3" t="s">
        <v>143</v>
      </c>
      <c r="D3" t="s">
        <v>70</v>
      </c>
      <c r="E3" t="s">
        <v>71</v>
      </c>
      <c r="F3" t="s">
        <v>72</v>
      </c>
      <c r="G3" t="s">
        <v>73</v>
      </c>
      <c r="H3" s="2">
        <v>45940</v>
      </c>
      <c r="I3" s="2">
        <v>45960</v>
      </c>
      <c r="J3" t="s">
        <v>74</v>
      </c>
      <c r="K3" s="2">
        <v>45947</v>
      </c>
      <c r="L3" t="s">
        <v>75</v>
      </c>
      <c r="M3" t="s">
        <v>76</v>
      </c>
      <c r="N3" t="s">
        <v>77</v>
      </c>
      <c r="O3" t="s">
        <v>564</v>
      </c>
      <c r="P3" t="s">
        <v>565</v>
      </c>
      <c r="Q3">
        <v>2</v>
      </c>
      <c r="R3" t="s">
        <v>115</v>
      </c>
      <c r="S3" t="s">
        <v>116</v>
      </c>
      <c r="V3" t="s">
        <v>98</v>
      </c>
      <c r="W3" t="s">
        <v>83</v>
      </c>
      <c r="X3" t="s">
        <v>84</v>
      </c>
      <c r="Y3" t="s">
        <v>14</v>
      </c>
      <c r="Z3" t="s">
        <v>133</v>
      </c>
      <c r="AA3" t="s">
        <v>86</v>
      </c>
      <c r="AB3" t="s">
        <v>87</v>
      </c>
      <c r="AD3" s="3">
        <v>1141000003</v>
      </c>
      <c r="AX3" t="s">
        <v>175</v>
      </c>
      <c r="BB3" s="4"/>
      <c r="BD3" s="2"/>
      <c r="BL3" s="2"/>
      <c r="BO3" t="s">
        <v>176</v>
      </c>
      <c r="BP3" s="5">
        <v>1</v>
      </c>
    </row>
    <row r="4" spans="1:68">
      <c r="B4" t="s">
        <v>547</v>
      </c>
      <c r="C4" t="s">
        <v>109</v>
      </c>
      <c r="D4" t="s">
        <v>70</v>
      </c>
      <c r="E4" t="s">
        <v>71</v>
      </c>
      <c r="F4" t="s">
        <v>72</v>
      </c>
      <c r="G4" t="s">
        <v>73</v>
      </c>
      <c r="H4" s="2">
        <v>45940</v>
      </c>
      <c r="I4" s="2">
        <v>45960</v>
      </c>
      <c r="J4" t="s">
        <v>74</v>
      </c>
      <c r="K4" s="2">
        <v>45947</v>
      </c>
      <c r="L4" t="s">
        <v>75</v>
      </c>
      <c r="M4" t="s">
        <v>76</v>
      </c>
      <c r="N4" t="s">
        <v>77</v>
      </c>
      <c r="O4" t="s">
        <v>562</v>
      </c>
      <c r="P4" t="s">
        <v>563</v>
      </c>
      <c r="Q4">
        <v>10</v>
      </c>
      <c r="R4" t="s">
        <v>115</v>
      </c>
      <c r="S4" t="s">
        <v>116</v>
      </c>
      <c r="V4" t="s">
        <v>98</v>
      </c>
      <c r="W4" t="s">
        <v>83</v>
      </c>
      <c r="X4" t="s">
        <v>84</v>
      </c>
      <c r="Y4" t="s">
        <v>14</v>
      </c>
      <c r="Z4" t="s">
        <v>133</v>
      </c>
      <c r="AA4" t="s">
        <v>86</v>
      </c>
      <c r="AB4" t="s">
        <v>87</v>
      </c>
      <c r="AD4" s="3">
        <v>1141000003</v>
      </c>
      <c r="AX4" t="s">
        <v>175</v>
      </c>
      <c r="BB4" s="4"/>
      <c r="BD4" s="2"/>
      <c r="BL4" s="2"/>
      <c r="BO4" t="s">
        <v>550</v>
      </c>
      <c r="BP4" s="5">
        <v>1</v>
      </c>
    </row>
    <row r="5" spans="1:68">
      <c r="B5" t="s">
        <v>547</v>
      </c>
      <c r="C5" t="s">
        <v>262</v>
      </c>
      <c r="D5" t="s">
        <v>70</v>
      </c>
      <c r="E5" t="s">
        <v>71</v>
      </c>
      <c r="F5" t="s">
        <v>72</v>
      </c>
      <c r="G5" t="s">
        <v>73</v>
      </c>
      <c r="H5" s="2">
        <v>45940</v>
      </c>
      <c r="I5" s="2">
        <v>45992</v>
      </c>
      <c r="J5" t="s">
        <v>74</v>
      </c>
      <c r="K5" s="2">
        <v>45947</v>
      </c>
      <c r="L5" t="s">
        <v>75</v>
      </c>
      <c r="M5" t="s">
        <v>76</v>
      </c>
      <c r="N5" t="s">
        <v>77</v>
      </c>
      <c r="O5" t="s">
        <v>551</v>
      </c>
      <c r="P5" t="s">
        <v>552</v>
      </c>
      <c r="Q5">
        <v>4</v>
      </c>
      <c r="R5" t="s">
        <v>115</v>
      </c>
      <c r="S5" t="s">
        <v>116</v>
      </c>
      <c r="T5" t="s">
        <v>553</v>
      </c>
      <c r="U5" s="2">
        <v>45645</v>
      </c>
      <c r="V5" t="s">
        <v>98</v>
      </c>
      <c r="W5" t="s">
        <v>35</v>
      </c>
      <c r="X5" t="s">
        <v>84</v>
      </c>
      <c r="Y5" t="s">
        <v>14</v>
      </c>
      <c r="Z5" t="s">
        <v>133</v>
      </c>
      <c r="AA5" t="s">
        <v>86</v>
      </c>
      <c r="AB5" t="s">
        <v>87</v>
      </c>
      <c r="AD5" s="3">
        <v>1141000003</v>
      </c>
      <c r="AJ5" t="s">
        <v>554</v>
      </c>
      <c r="AK5" t="s">
        <v>555</v>
      </c>
      <c r="AL5" t="s">
        <v>556</v>
      </c>
      <c r="AM5">
        <v>0</v>
      </c>
      <c r="AN5" s="2">
        <v>45645</v>
      </c>
      <c r="AO5" t="s">
        <v>99</v>
      </c>
      <c r="AQ5" t="s">
        <v>557</v>
      </c>
      <c r="AR5" t="s">
        <v>558</v>
      </c>
      <c r="AS5" t="s">
        <v>559</v>
      </c>
      <c r="AT5" t="s">
        <v>560</v>
      </c>
      <c r="AU5" t="s">
        <v>124</v>
      </c>
      <c r="AV5" t="s">
        <v>561</v>
      </c>
      <c r="AW5" t="s">
        <v>109</v>
      </c>
      <c r="AX5" t="s">
        <v>82</v>
      </c>
      <c r="AY5" t="s">
        <v>126</v>
      </c>
      <c r="AZ5" s="2">
        <v>45954</v>
      </c>
      <c r="BA5" t="s">
        <v>99</v>
      </c>
      <c r="BB5" s="4">
        <v>45957.358495370368</v>
      </c>
      <c r="BD5" s="2"/>
      <c r="BF5">
        <v>4</v>
      </c>
      <c r="BG5">
        <v>4</v>
      </c>
      <c r="BH5">
        <v>0</v>
      </c>
      <c r="BI5" s="2">
        <v>46007</v>
      </c>
      <c r="BJ5">
        <v>4</v>
      </c>
      <c r="BK5">
        <v>0</v>
      </c>
      <c r="BL5" s="2">
        <v>46007</v>
      </c>
      <c r="BO5" t="s">
        <v>100</v>
      </c>
      <c r="BP5" s="5">
        <v>1</v>
      </c>
    </row>
    <row r="6" spans="1:68">
      <c r="B6" t="s">
        <v>547</v>
      </c>
      <c r="C6" t="s">
        <v>178</v>
      </c>
      <c r="D6" t="s">
        <v>70</v>
      </c>
      <c r="E6" t="s">
        <v>71</v>
      </c>
      <c r="F6" t="s">
        <v>72</v>
      </c>
      <c r="G6" t="s">
        <v>73</v>
      </c>
      <c r="H6" s="2">
        <v>45940</v>
      </c>
      <c r="I6" s="2">
        <v>45960</v>
      </c>
      <c r="J6" t="s">
        <v>74</v>
      </c>
      <c r="K6" s="2">
        <v>45947</v>
      </c>
      <c r="L6" t="s">
        <v>75</v>
      </c>
      <c r="M6" t="s">
        <v>76</v>
      </c>
      <c r="N6" t="s">
        <v>77</v>
      </c>
      <c r="O6" t="s">
        <v>548</v>
      </c>
      <c r="P6" t="s">
        <v>549</v>
      </c>
      <c r="Q6">
        <v>6</v>
      </c>
      <c r="R6" t="s">
        <v>115</v>
      </c>
      <c r="S6" t="s">
        <v>116</v>
      </c>
      <c r="V6" t="s">
        <v>98</v>
      </c>
      <c r="W6" t="s">
        <v>83</v>
      </c>
      <c r="X6" t="s">
        <v>84</v>
      </c>
      <c r="Y6" t="s">
        <v>14</v>
      </c>
      <c r="Z6" t="s">
        <v>133</v>
      </c>
      <c r="AA6" t="s">
        <v>86</v>
      </c>
      <c r="AB6" t="s">
        <v>87</v>
      </c>
      <c r="AD6" s="3">
        <v>1141000003</v>
      </c>
      <c r="AX6" t="s">
        <v>175</v>
      </c>
      <c r="BB6" s="4"/>
      <c r="BD6" s="2"/>
      <c r="BL6" s="2"/>
      <c r="BO6" t="s">
        <v>550</v>
      </c>
      <c r="BP6" s="5">
        <v>1</v>
      </c>
    </row>
    <row r="7" spans="1:68">
      <c r="B7" t="s">
        <v>706</v>
      </c>
      <c r="C7" t="s">
        <v>109</v>
      </c>
      <c r="D7" t="s">
        <v>70</v>
      </c>
      <c r="E7" t="s">
        <v>71</v>
      </c>
      <c r="F7" t="s">
        <v>72</v>
      </c>
      <c r="G7" t="s">
        <v>73</v>
      </c>
      <c r="H7" s="2">
        <v>46150</v>
      </c>
      <c r="I7" s="2">
        <v>46150</v>
      </c>
      <c r="J7" t="s">
        <v>74</v>
      </c>
      <c r="K7" s="2">
        <v>46164</v>
      </c>
      <c r="L7" t="s">
        <v>75</v>
      </c>
      <c r="M7" t="s">
        <v>76</v>
      </c>
      <c r="N7" t="s">
        <v>77</v>
      </c>
      <c r="O7" t="s">
        <v>707</v>
      </c>
      <c r="P7" t="s">
        <v>708</v>
      </c>
      <c r="Q7">
        <v>2</v>
      </c>
      <c r="R7" t="s">
        <v>115</v>
      </c>
      <c r="S7" t="s">
        <v>13</v>
      </c>
      <c r="T7" t="s">
        <v>102</v>
      </c>
      <c r="U7">
        <v>46170</v>
      </c>
      <c r="V7" t="s">
        <v>82</v>
      </c>
      <c r="W7" t="s">
        <v>83</v>
      </c>
      <c r="X7" t="s">
        <v>84</v>
      </c>
      <c r="Y7" t="s">
        <v>14</v>
      </c>
      <c r="Z7" t="s">
        <v>85</v>
      </c>
      <c r="AA7" t="s">
        <v>86</v>
      </c>
      <c r="AB7" t="s">
        <v>87</v>
      </c>
      <c r="AD7" s="3">
        <v>1141000001</v>
      </c>
      <c r="AE7" t="s">
        <v>791</v>
      </c>
      <c r="AF7" t="s">
        <v>346</v>
      </c>
      <c r="AG7" t="s">
        <v>105</v>
      </c>
      <c r="AH7">
        <v>2</v>
      </c>
      <c r="AI7">
        <v>46170</v>
      </c>
      <c r="AK7" t="s">
        <v>91</v>
      </c>
      <c r="AQ7" t="s">
        <v>792</v>
      </c>
      <c r="AR7" t="s">
        <v>793</v>
      </c>
      <c r="AS7" t="s">
        <v>94</v>
      </c>
      <c r="AT7" t="s">
        <v>95</v>
      </c>
      <c r="AU7" t="s">
        <v>96</v>
      </c>
      <c r="AV7" t="s">
        <v>794</v>
      </c>
      <c r="AW7" t="s">
        <v>109</v>
      </c>
      <c r="AX7" t="s">
        <v>82</v>
      </c>
      <c r="AY7" t="s">
        <v>105</v>
      </c>
      <c r="AZ7">
        <v>46187</v>
      </c>
      <c r="BA7" t="s">
        <v>99</v>
      </c>
      <c r="BB7" s="4">
        <v>46188.342106481483</v>
      </c>
      <c r="BD7" s="2"/>
      <c r="BE7">
        <v>46204</v>
      </c>
      <c r="BF7">
        <v>2</v>
      </c>
      <c r="BH7">
        <v>2</v>
      </c>
      <c r="BK7">
        <v>2</v>
      </c>
      <c r="BL7" s="2"/>
      <c r="BO7" t="s">
        <v>227</v>
      </c>
      <c r="BP7" s="5">
        <v>1</v>
      </c>
    </row>
    <row r="8" spans="1:68">
      <c r="B8" t="s">
        <v>706</v>
      </c>
      <c r="C8" t="s">
        <v>69</v>
      </c>
      <c r="D8" t="s">
        <v>70</v>
      </c>
      <c r="E8" t="s">
        <v>71</v>
      </c>
      <c r="F8" t="s">
        <v>72</v>
      </c>
      <c r="G8" t="s">
        <v>73</v>
      </c>
      <c r="H8" s="2">
        <v>46150</v>
      </c>
      <c r="I8" s="2">
        <v>46150</v>
      </c>
      <c r="J8" t="s">
        <v>74</v>
      </c>
      <c r="K8" s="2">
        <v>46164</v>
      </c>
      <c r="L8" t="s">
        <v>75</v>
      </c>
      <c r="M8" t="s">
        <v>76</v>
      </c>
      <c r="N8" t="s">
        <v>77</v>
      </c>
      <c r="O8" t="s">
        <v>709</v>
      </c>
      <c r="P8" t="s">
        <v>710</v>
      </c>
      <c r="Q8">
        <v>2</v>
      </c>
      <c r="R8" t="s">
        <v>115</v>
      </c>
      <c r="S8" t="s">
        <v>13</v>
      </c>
      <c r="T8" t="s">
        <v>102</v>
      </c>
      <c r="U8">
        <v>46170</v>
      </c>
      <c r="V8" t="s">
        <v>82</v>
      </c>
      <c r="W8" t="s">
        <v>83</v>
      </c>
      <c r="X8" t="s">
        <v>84</v>
      </c>
      <c r="Y8" t="s">
        <v>14</v>
      </c>
      <c r="Z8" t="s">
        <v>85</v>
      </c>
      <c r="AA8" t="s">
        <v>86</v>
      </c>
      <c r="AB8" t="s">
        <v>87</v>
      </c>
      <c r="AD8" s="3">
        <v>1141000001</v>
      </c>
      <c r="AE8" t="s">
        <v>791</v>
      </c>
      <c r="AF8" t="s">
        <v>420</v>
      </c>
      <c r="AG8" t="s">
        <v>105</v>
      </c>
      <c r="AH8">
        <v>2</v>
      </c>
      <c r="AI8">
        <v>46170</v>
      </c>
      <c r="AK8" t="s">
        <v>91</v>
      </c>
      <c r="AQ8" t="s">
        <v>792</v>
      </c>
      <c r="AR8" t="s">
        <v>793</v>
      </c>
      <c r="AS8" t="s">
        <v>94</v>
      </c>
      <c r="AT8" t="s">
        <v>95</v>
      </c>
      <c r="AU8" t="s">
        <v>96</v>
      </c>
      <c r="AV8" t="s">
        <v>794</v>
      </c>
      <c r="AW8" t="s">
        <v>69</v>
      </c>
      <c r="AX8" t="s">
        <v>82</v>
      </c>
      <c r="AY8" t="s">
        <v>105</v>
      </c>
      <c r="AZ8">
        <v>46187</v>
      </c>
      <c r="BA8" t="s">
        <v>99</v>
      </c>
      <c r="BB8" s="4">
        <v>46188.342106481483</v>
      </c>
      <c r="BD8" s="2"/>
      <c r="BE8">
        <v>46204</v>
      </c>
      <c r="BF8">
        <v>2</v>
      </c>
      <c r="BH8">
        <v>2</v>
      </c>
      <c r="BK8">
        <v>2</v>
      </c>
      <c r="BL8" s="2"/>
      <c r="BO8" t="s">
        <v>227</v>
      </c>
      <c r="BP8" s="5">
        <v>1</v>
      </c>
    </row>
    <row r="9" spans="1:68">
      <c r="B9" t="s">
        <v>234</v>
      </c>
      <c r="C9" t="s">
        <v>259</v>
      </c>
      <c r="D9" t="s">
        <v>70</v>
      </c>
      <c r="E9" t="s">
        <v>71</v>
      </c>
      <c r="F9" t="s">
        <v>72</v>
      </c>
      <c r="G9" t="s">
        <v>73</v>
      </c>
      <c r="H9" s="2">
        <v>46045</v>
      </c>
      <c r="I9" s="2">
        <v>46076</v>
      </c>
      <c r="J9" t="s">
        <v>74</v>
      </c>
      <c r="K9" s="2">
        <v>46045</v>
      </c>
      <c r="L9" t="s">
        <v>75</v>
      </c>
      <c r="M9" t="s">
        <v>76</v>
      </c>
      <c r="N9" t="s">
        <v>77</v>
      </c>
      <c r="O9" t="s">
        <v>542</v>
      </c>
      <c r="P9" t="s">
        <v>543</v>
      </c>
      <c r="Q9">
        <v>5</v>
      </c>
      <c r="R9" t="s">
        <v>115</v>
      </c>
      <c r="S9" t="s">
        <v>116</v>
      </c>
      <c r="T9" t="s">
        <v>184</v>
      </c>
      <c r="U9" s="2">
        <v>45820</v>
      </c>
      <c r="V9" t="s">
        <v>98</v>
      </c>
      <c r="W9" t="s">
        <v>35</v>
      </c>
      <c r="X9" t="s">
        <v>84</v>
      </c>
      <c r="Y9" t="s">
        <v>14</v>
      </c>
      <c r="Z9" t="s">
        <v>185</v>
      </c>
      <c r="AA9" t="s">
        <v>86</v>
      </c>
      <c r="AB9" t="s">
        <v>87</v>
      </c>
      <c r="AD9" s="3">
        <v>1141000003</v>
      </c>
      <c r="AJ9" t="s">
        <v>327</v>
      </c>
      <c r="AK9" t="s">
        <v>420</v>
      </c>
      <c r="AL9" t="s">
        <v>188</v>
      </c>
      <c r="AM9">
        <v>0</v>
      </c>
      <c r="AN9" s="2">
        <v>45820</v>
      </c>
      <c r="AO9" t="s">
        <v>99</v>
      </c>
      <c r="AQ9" t="s">
        <v>282</v>
      </c>
      <c r="AR9" t="s">
        <v>573</v>
      </c>
      <c r="AS9" t="s">
        <v>544</v>
      </c>
      <c r="AT9" t="s">
        <v>545</v>
      </c>
      <c r="AU9" t="s">
        <v>124</v>
      </c>
      <c r="AV9" t="s">
        <v>546</v>
      </c>
      <c r="AW9" t="s">
        <v>109</v>
      </c>
      <c r="AX9" t="s">
        <v>82</v>
      </c>
      <c r="AY9" t="s">
        <v>188</v>
      </c>
      <c r="AZ9" s="2">
        <v>46056</v>
      </c>
      <c r="BA9" t="s">
        <v>99</v>
      </c>
      <c r="BB9" s="4">
        <v>46065.708622685182</v>
      </c>
      <c r="BD9" s="2"/>
      <c r="BE9" s="2">
        <v>46101</v>
      </c>
      <c r="BF9">
        <v>5</v>
      </c>
      <c r="BG9">
        <v>5</v>
      </c>
      <c r="BH9">
        <v>0</v>
      </c>
      <c r="BI9" s="2">
        <v>46108</v>
      </c>
      <c r="BJ9">
        <v>5</v>
      </c>
      <c r="BK9">
        <v>0</v>
      </c>
      <c r="BL9" s="2">
        <v>46108</v>
      </c>
      <c r="BO9" t="s">
        <v>100</v>
      </c>
      <c r="BP9" s="5">
        <v>1</v>
      </c>
    </row>
    <row r="10" spans="1:68">
      <c r="B10" t="s">
        <v>177</v>
      </c>
      <c r="C10" t="s">
        <v>109</v>
      </c>
      <c r="D10" t="s">
        <v>70</v>
      </c>
      <c r="E10" t="s">
        <v>71</v>
      </c>
      <c r="F10" t="s">
        <v>72</v>
      </c>
      <c r="G10" t="s">
        <v>179</v>
      </c>
      <c r="H10" s="2">
        <v>46090</v>
      </c>
      <c r="I10" s="2">
        <v>46128</v>
      </c>
      <c r="J10" t="s">
        <v>74</v>
      </c>
      <c r="K10" s="2">
        <v>46104</v>
      </c>
      <c r="L10" t="s">
        <v>75</v>
      </c>
      <c r="M10" t="s">
        <v>76</v>
      </c>
      <c r="N10" t="s">
        <v>77</v>
      </c>
      <c r="O10" t="s">
        <v>540</v>
      </c>
      <c r="P10" t="s">
        <v>541</v>
      </c>
      <c r="Q10">
        <v>4</v>
      </c>
      <c r="R10" t="s">
        <v>115</v>
      </c>
      <c r="S10" t="s">
        <v>13</v>
      </c>
      <c r="T10" t="s">
        <v>716</v>
      </c>
      <c r="U10" s="2">
        <v>46121</v>
      </c>
      <c r="V10" t="s">
        <v>98</v>
      </c>
      <c r="W10" t="s">
        <v>83</v>
      </c>
      <c r="X10" t="s">
        <v>84</v>
      </c>
      <c r="Y10" t="s">
        <v>14</v>
      </c>
      <c r="Z10" t="s">
        <v>117</v>
      </c>
      <c r="AA10" t="s">
        <v>86</v>
      </c>
      <c r="AB10" t="s">
        <v>87</v>
      </c>
      <c r="AD10" s="3">
        <v>1141000001</v>
      </c>
      <c r="AE10" t="s">
        <v>574</v>
      </c>
      <c r="AF10" t="s">
        <v>262</v>
      </c>
      <c r="AG10" t="s">
        <v>718</v>
      </c>
      <c r="AH10">
        <v>4</v>
      </c>
      <c r="AI10" s="2">
        <v>46121</v>
      </c>
      <c r="AX10" t="s">
        <v>175</v>
      </c>
      <c r="BB10" s="4"/>
      <c r="BD10" s="2"/>
      <c r="BL10" s="2"/>
      <c r="BO10" t="s">
        <v>203</v>
      </c>
      <c r="BP10" s="5">
        <v>1</v>
      </c>
    </row>
    <row r="11" spans="1:68">
      <c r="B11" t="s">
        <v>196</v>
      </c>
      <c r="C11" t="s">
        <v>537</v>
      </c>
      <c r="D11" t="s">
        <v>70</v>
      </c>
      <c r="E11" t="s">
        <v>71</v>
      </c>
      <c r="F11" t="s">
        <v>72</v>
      </c>
      <c r="G11" t="s">
        <v>73</v>
      </c>
      <c r="H11" s="2">
        <v>46056</v>
      </c>
      <c r="I11" s="2">
        <v>46076</v>
      </c>
      <c r="J11" t="s">
        <v>74</v>
      </c>
      <c r="K11" s="2">
        <v>46065</v>
      </c>
      <c r="L11" t="s">
        <v>75</v>
      </c>
      <c r="M11" t="s">
        <v>76</v>
      </c>
      <c r="N11" t="s">
        <v>77</v>
      </c>
      <c r="O11" t="s">
        <v>538</v>
      </c>
      <c r="P11" t="s">
        <v>539</v>
      </c>
      <c r="Q11">
        <v>5</v>
      </c>
      <c r="R11" t="s">
        <v>115</v>
      </c>
      <c r="S11" t="s">
        <v>116</v>
      </c>
      <c r="T11" t="s">
        <v>370</v>
      </c>
      <c r="U11" s="2">
        <v>46066</v>
      </c>
      <c r="V11" t="s">
        <v>98</v>
      </c>
      <c r="W11" t="s">
        <v>83</v>
      </c>
      <c r="X11" t="s">
        <v>84</v>
      </c>
      <c r="Y11" t="s">
        <v>14</v>
      </c>
      <c r="Z11" t="s">
        <v>291</v>
      </c>
      <c r="AA11" t="s">
        <v>86</v>
      </c>
      <c r="AB11" t="s">
        <v>87</v>
      </c>
      <c r="AD11" s="3">
        <v>1141000003</v>
      </c>
      <c r="AE11" t="s">
        <v>528</v>
      </c>
      <c r="AF11" t="s">
        <v>178</v>
      </c>
      <c r="AG11" t="s">
        <v>372</v>
      </c>
      <c r="AH11">
        <v>5</v>
      </c>
      <c r="AI11" s="2">
        <v>46066</v>
      </c>
      <c r="AK11" t="s">
        <v>91</v>
      </c>
      <c r="AQ11" t="s">
        <v>319</v>
      </c>
      <c r="AR11" t="s">
        <v>320</v>
      </c>
      <c r="AS11" t="s">
        <v>94</v>
      </c>
      <c r="AT11" t="s">
        <v>95</v>
      </c>
      <c r="AU11" t="s">
        <v>96</v>
      </c>
      <c r="AV11" t="s">
        <v>711</v>
      </c>
      <c r="AW11" t="s">
        <v>178</v>
      </c>
      <c r="AX11" t="s">
        <v>98</v>
      </c>
      <c r="AY11" t="s">
        <v>372</v>
      </c>
      <c r="AZ11" s="2">
        <v>46139</v>
      </c>
      <c r="BA11" t="s">
        <v>99</v>
      </c>
      <c r="BB11" s="4">
        <v>46140.406724537039</v>
      </c>
      <c r="BD11" s="2">
        <v>46156</v>
      </c>
      <c r="BE11" s="2">
        <v>46162</v>
      </c>
      <c r="BF11">
        <v>5</v>
      </c>
      <c r="BG11">
        <v>5</v>
      </c>
      <c r="BH11">
        <v>0</v>
      </c>
      <c r="BI11" s="2">
        <v>46154</v>
      </c>
      <c r="BJ11">
        <v>5</v>
      </c>
      <c r="BK11">
        <v>0</v>
      </c>
      <c r="BL11" s="2">
        <v>46154</v>
      </c>
      <c r="BO11" t="s">
        <v>100</v>
      </c>
      <c r="BP11" s="5">
        <v>1</v>
      </c>
    </row>
    <row r="12" spans="1:68">
      <c r="B12" t="s">
        <v>307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s="2">
        <v>45904</v>
      </c>
      <c r="I12" s="2">
        <v>45915</v>
      </c>
      <c r="J12" t="s">
        <v>74</v>
      </c>
      <c r="K12" s="2">
        <v>45904</v>
      </c>
      <c r="L12" t="s">
        <v>75</v>
      </c>
      <c r="M12" t="s">
        <v>76</v>
      </c>
      <c r="N12" t="s">
        <v>77</v>
      </c>
      <c r="O12" t="s">
        <v>534</v>
      </c>
      <c r="P12" t="s">
        <v>535</v>
      </c>
      <c r="Q12">
        <v>10</v>
      </c>
      <c r="R12" t="s">
        <v>115</v>
      </c>
      <c r="S12" t="s">
        <v>116</v>
      </c>
      <c r="T12" t="s">
        <v>290</v>
      </c>
      <c r="U12" s="2">
        <v>45904</v>
      </c>
      <c r="V12" t="s">
        <v>98</v>
      </c>
      <c r="W12" t="s">
        <v>83</v>
      </c>
      <c r="X12" t="s">
        <v>84</v>
      </c>
      <c r="Y12" t="s">
        <v>14</v>
      </c>
      <c r="Z12" t="s">
        <v>291</v>
      </c>
      <c r="AA12" t="s">
        <v>86</v>
      </c>
      <c r="AB12" t="s">
        <v>87</v>
      </c>
      <c r="AD12" s="3">
        <v>1141000003</v>
      </c>
      <c r="AE12" t="s">
        <v>532</v>
      </c>
      <c r="AF12" t="s">
        <v>69</v>
      </c>
      <c r="AG12" t="s">
        <v>293</v>
      </c>
      <c r="AH12">
        <v>10</v>
      </c>
      <c r="AI12" s="2">
        <v>45904</v>
      </c>
      <c r="AK12" t="s">
        <v>91</v>
      </c>
      <c r="AQ12" t="s">
        <v>319</v>
      </c>
      <c r="AR12" t="s">
        <v>320</v>
      </c>
      <c r="AS12" t="s">
        <v>94</v>
      </c>
      <c r="AT12" t="s">
        <v>95</v>
      </c>
      <c r="AU12" t="s">
        <v>96</v>
      </c>
      <c r="AV12" t="s">
        <v>533</v>
      </c>
      <c r="AW12" t="s">
        <v>69</v>
      </c>
      <c r="AX12" t="s">
        <v>98</v>
      </c>
      <c r="AY12" t="s">
        <v>293</v>
      </c>
      <c r="AZ12" s="2">
        <v>45910</v>
      </c>
      <c r="BA12" t="s">
        <v>99</v>
      </c>
      <c r="BB12" s="4">
        <v>45911.348298611112</v>
      </c>
      <c r="BD12" s="2">
        <v>45929</v>
      </c>
      <c r="BE12" s="2">
        <v>45945</v>
      </c>
      <c r="BF12">
        <v>10</v>
      </c>
      <c r="BG12">
        <v>10</v>
      </c>
      <c r="BH12">
        <v>0</v>
      </c>
      <c r="BI12" s="2">
        <v>45923</v>
      </c>
      <c r="BJ12">
        <v>10</v>
      </c>
      <c r="BK12">
        <v>0</v>
      </c>
      <c r="BL12" s="2">
        <v>45923</v>
      </c>
      <c r="BO12" t="s">
        <v>100</v>
      </c>
      <c r="BP12" s="5">
        <v>1</v>
      </c>
    </row>
    <row r="13" spans="1:68">
      <c r="B13" t="s">
        <v>196</v>
      </c>
      <c r="C13" t="s">
        <v>536</v>
      </c>
      <c r="D13" t="s">
        <v>70</v>
      </c>
      <c r="E13" t="s">
        <v>71</v>
      </c>
      <c r="F13" t="s">
        <v>72</v>
      </c>
      <c r="G13" t="s">
        <v>73</v>
      </c>
      <c r="H13" s="2">
        <v>46056</v>
      </c>
      <c r="I13" s="2">
        <v>46076</v>
      </c>
      <c r="J13" t="s">
        <v>74</v>
      </c>
      <c r="K13" s="2">
        <v>46065</v>
      </c>
      <c r="L13" t="s">
        <v>75</v>
      </c>
      <c r="M13" t="s">
        <v>76</v>
      </c>
      <c r="N13" t="s">
        <v>77</v>
      </c>
      <c r="O13" t="s">
        <v>534</v>
      </c>
      <c r="P13" t="s">
        <v>535</v>
      </c>
      <c r="Q13">
        <v>10</v>
      </c>
      <c r="R13" t="s">
        <v>115</v>
      </c>
      <c r="S13" t="s">
        <v>116</v>
      </c>
      <c r="T13" t="s">
        <v>370</v>
      </c>
      <c r="U13" s="2">
        <v>46066</v>
      </c>
      <c r="V13" t="s">
        <v>98</v>
      </c>
      <c r="W13" t="s">
        <v>83</v>
      </c>
      <c r="X13" t="s">
        <v>84</v>
      </c>
      <c r="Y13" t="s">
        <v>14</v>
      </c>
      <c r="Z13" t="s">
        <v>291</v>
      </c>
      <c r="AA13" t="s">
        <v>86</v>
      </c>
      <c r="AB13" t="s">
        <v>87</v>
      </c>
      <c r="AD13" s="3">
        <v>1141000003</v>
      </c>
      <c r="AE13" t="s">
        <v>528</v>
      </c>
      <c r="AF13" t="s">
        <v>69</v>
      </c>
      <c r="AG13" t="s">
        <v>372</v>
      </c>
      <c r="AH13">
        <v>10</v>
      </c>
      <c r="AI13" s="2">
        <v>46066</v>
      </c>
      <c r="AK13" t="s">
        <v>91</v>
      </c>
      <c r="AQ13" t="s">
        <v>319</v>
      </c>
      <c r="AR13" t="s">
        <v>320</v>
      </c>
      <c r="AS13" t="s">
        <v>94</v>
      </c>
      <c r="AT13" t="s">
        <v>95</v>
      </c>
      <c r="AU13" t="s">
        <v>96</v>
      </c>
      <c r="AV13" t="s">
        <v>711</v>
      </c>
      <c r="AW13" t="s">
        <v>69</v>
      </c>
      <c r="AX13" t="s">
        <v>98</v>
      </c>
      <c r="AY13" t="s">
        <v>372</v>
      </c>
      <c r="AZ13" s="2">
        <v>46139</v>
      </c>
      <c r="BA13" t="s">
        <v>99</v>
      </c>
      <c r="BB13" s="4">
        <v>46140.406724537039</v>
      </c>
      <c r="BD13" s="2">
        <v>46156</v>
      </c>
      <c r="BE13" s="2">
        <v>46162</v>
      </c>
      <c r="BF13">
        <v>10</v>
      </c>
      <c r="BG13">
        <v>10</v>
      </c>
      <c r="BH13">
        <v>0</v>
      </c>
      <c r="BI13" s="2">
        <v>46154</v>
      </c>
      <c r="BJ13">
        <v>10</v>
      </c>
      <c r="BK13">
        <v>0</v>
      </c>
      <c r="BL13" s="2">
        <v>46154</v>
      </c>
      <c r="BO13" t="s">
        <v>100</v>
      </c>
      <c r="BP13" s="5">
        <v>1</v>
      </c>
    </row>
    <row r="14" spans="1:68">
      <c r="B14" t="s">
        <v>254</v>
      </c>
      <c r="C14" t="s">
        <v>89</v>
      </c>
      <c r="D14" t="s">
        <v>70</v>
      </c>
      <c r="E14" t="s">
        <v>71</v>
      </c>
      <c r="F14" t="s">
        <v>72</v>
      </c>
      <c r="G14" t="s">
        <v>73</v>
      </c>
      <c r="H14" s="2">
        <v>46073</v>
      </c>
      <c r="I14" s="2">
        <v>46083</v>
      </c>
      <c r="J14" t="s">
        <v>74</v>
      </c>
      <c r="K14" s="2">
        <v>46091</v>
      </c>
      <c r="L14" t="s">
        <v>75</v>
      </c>
      <c r="M14" t="s">
        <v>76</v>
      </c>
      <c r="N14" t="s">
        <v>77</v>
      </c>
      <c r="O14" t="s">
        <v>534</v>
      </c>
      <c r="P14" t="s">
        <v>535</v>
      </c>
      <c r="Q14">
        <v>20</v>
      </c>
      <c r="R14" t="s">
        <v>115</v>
      </c>
      <c r="S14" t="s">
        <v>116</v>
      </c>
      <c r="T14" t="s">
        <v>370</v>
      </c>
      <c r="U14" s="2">
        <v>46102</v>
      </c>
      <c r="V14" t="s">
        <v>98</v>
      </c>
      <c r="W14" t="s">
        <v>83</v>
      </c>
      <c r="X14" t="s">
        <v>84</v>
      </c>
      <c r="Y14" t="s">
        <v>14</v>
      </c>
      <c r="Z14" t="s">
        <v>291</v>
      </c>
      <c r="AA14" t="s">
        <v>86</v>
      </c>
      <c r="AB14" t="s">
        <v>87</v>
      </c>
      <c r="AD14" s="3">
        <v>1141000003</v>
      </c>
      <c r="AE14" t="s">
        <v>529</v>
      </c>
      <c r="AF14" t="s">
        <v>69</v>
      </c>
      <c r="AG14" t="s">
        <v>372</v>
      </c>
      <c r="AH14">
        <v>20</v>
      </c>
      <c r="AI14" s="2">
        <v>46102</v>
      </c>
      <c r="AK14" t="s">
        <v>91</v>
      </c>
      <c r="AQ14" t="s">
        <v>578</v>
      </c>
      <c r="AR14" t="s">
        <v>579</v>
      </c>
      <c r="AS14" t="s">
        <v>94</v>
      </c>
      <c r="AT14" t="s">
        <v>95</v>
      </c>
      <c r="AU14" t="s">
        <v>96</v>
      </c>
      <c r="AV14" t="s">
        <v>712</v>
      </c>
      <c r="AW14" t="s">
        <v>69</v>
      </c>
      <c r="AX14" t="s">
        <v>82</v>
      </c>
      <c r="AY14" t="s">
        <v>372</v>
      </c>
      <c r="AZ14" s="2">
        <v>46141</v>
      </c>
      <c r="BA14" t="s">
        <v>99</v>
      </c>
      <c r="BB14" s="4">
        <v>46142.632800925923</v>
      </c>
      <c r="BD14" s="2">
        <v>46178</v>
      </c>
      <c r="BE14" s="2">
        <v>46178</v>
      </c>
      <c r="BF14">
        <v>20</v>
      </c>
      <c r="BG14">
        <v>20</v>
      </c>
      <c r="BH14">
        <v>0</v>
      </c>
      <c r="BI14" s="2">
        <v>46153</v>
      </c>
      <c r="BJ14">
        <v>20</v>
      </c>
      <c r="BK14">
        <v>0</v>
      </c>
      <c r="BL14" s="2">
        <v>46154</v>
      </c>
      <c r="BO14" t="s">
        <v>100</v>
      </c>
      <c r="BP14" s="5">
        <v>1</v>
      </c>
    </row>
    <row r="15" spans="1:68">
      <c r="B15" t="s">
        <v>307</v>
      </c>
      <c r="C15" t="s">
        <v>109</v>
      </c>
      <c r="D15" t="s">
        <v>70</v>
      </c>
      <c r="E15" t="s">
        <v>71</v>
      </c>
      <c r="F15" t="s">
        <v>72</v>
      </c>
      <c r="G15" t="s">
        <v>73</v>
      </c>
      <c r="H15" s="2">
        <v>45904</v>
      </c>
      <c r="I15" s="2">
        <v>45915</v>
      </c>
      <c r="J15" t="s">
        <v>74</v>
      </c>
      <c r="K15" s="2">
        <v>45904</v>
      </c>
      <c r="L15" t="s">
        <v>75</v>
      </c>
      <c r="M15" t="s">
        <v>76</v>
      </c>
      <c r="N15" t="s">
        <v>77</v>
      </c>
      <c r="O15" t="s">
        <v>530</v>
      </c>
      <c r="P15" t="s">
        <v>531</v>
      </c>
      <c r="Q15">
        <v>10</v>
      </c>
      <c r="R15" t="s">
        <v>115</v>
      </c>
      <c r="S15" t="s">
        <v>116</v>
      </c>
      <c r="T15" t="s">
        <v>290</v>
      </c>
      <c r="U15" s="2">
        <v>45904</v>
      </c>
      <c r="V15" t="s">
        <v>98</v>
      </c>
      <c r="W15" t="s">
        <v>83</v>
      </c>
      <c r="X15" t="s">
        <v>84</v>
      </c>
      <c r="Y15" t="s">
        <v>14</v>
      </c>
      <c r="Z15" t="s">
        <v>291</v>
      </c>
      <c r="AA15" t="s">
        <v>86</v>
      </c>
      <c r="AB15" t="s">
        <v>87</v>
      </c>
      <c r="AD15" s="3">
        <v>1141000003</v>
      </c>
      <c r="AE15" t="s">
        <v>532</v>
      </c>
      <c r="AF15" t="s">
        <v>109</v>
      </c>
      <c r="AG15" t="s">
        <v>293</v>
      </c>
      <c r="AH15">
        <v>10</v>
      </c>
      <c r="AI15" s="2">
        <v>45904</v>
      </c>
      <c r="AK15" t="s">
        <v>91</v>
      </c>
      <c r="AQ15" t="s">
        <v>319</v>
      </c>
      <c r="AR15" t="s">
        <v>320</v>
      </c>
      <c r="AS15" t="s">
        <v>94</v>
      </c>
      <c r="AT15" t="s">
        <v>95</v>
      </c>
      <c r="AU15" t="s">
        <v>96</v>
      </c>
      <c r="AV15" t="s">
        <v>533</v>
      </c>
      <c r="AW15" t="s">
        <v>109</v>
      </c>
      <c r="AX15" t="s">
        <v>98</v>
      </c>
      <c r="AY15" t="s">
        <v>293</v>
      </c>
      <c r="AZ15" s="2">
        <v>45910</v>
      </c>
      <c r="BA15" t="s">
        <v>99</v>
      </c>
      <c r="BB15" s="4">
        <v>45911.348298611112</v>
      </c>
      <c r="BD15" s="2">
        <v>45929</v>
      </c>
      <c r="BE15" s="2">
        <v>45945</v>
      </c>
      <c r="BF15">
        <v>10</v>
      </c>
      <c r="BG15">
        <v>10</v>
      </c>
      <c r="BH15">
        <v>0</v>
      </c>
      <c r="BI15" s="2">
        <v>45923</v>
      </c>
      <c r="BJ15">
        <v>10</v>
      </c>
      <c r="BK15">
        <v>0</v>
      </c>
      <c r="BL15" s="2">
        <v>45923</v>
      </c>
      <c r="BO15" t="s">
        <v>100</v>
      </c>
      <c r="BP15" s="5">
        <v>1</v>
      </c>
    </row>
    <row r="16" spans="1:68">
      <c r="B16" t="s">
        <v>196</v>
      </c>
      <c r="C16" t="s">
        <v>456</v>
      </c>
      <c r="D16" t="s">
        <v>70</v>
      </c>
      <c r="E16" t="s">
        <v>71</v>
      </c>
      <c r="F16" t="s">
        <v>72</v>
      </c>
      <c r="G16" t="s">
        <v>73</v>
      </c>
      <c r="H16" s="2">
        <v>46056</v>
      </c>
      <c r="I16" s="2">
        <v>46076</v>
      </c>
      <c r="J16" t="s">
        <v>74</v>
      </c>
      <c r="K16" s="2">
        <v>46065</v>
      </c>
      <c r="L16" t="s">
        <v>75</v>
      </c>
      <c r="M16" t="s">
        <v>76</v>
      </c>
      <c r="N16" t="s">
        <v>77</v>
      </c>
      <c r="O16" t="s">
        <v>530</v>
      </c>
      <c r="P16" t="s">
        <v>531</v>
      </c>
      <c r="Q16">
        <v>10</v>
      </c>
      <c r="R16" t="s">
        <v>115</v>
      </c>
      <c r="S16" t="s">
        <v>116</v>
      </c>
      <c r="T16" t="s">
        <v>370</v>
      </c>
      <c r="U16" s="2">
        <v>46066</v>
      </c>
      <c r="V16" t="s">
        <v>98</v>
      </c>
      <c r="W16" t="s">
        <v>83</v>
      </c>
      <c r="X16" t="s">
        <v>84</v>
      </c>
      <c r="Y16" t="s">
        <v>14</v>
      </c>
      <c r="Z16" t="s">
        <v>291</v>
      </c>
      <c r="AA16" t="s">
        <v>86</v>
      </c>
      <c r="AB16" t="s">
        <v>87</v>
      </c>
      <c r="AD16" s="3">
        <v>1141000003</v>
      </c>
      <c r="AE16" t="s">
        <v>528</v>
      </c>
      <c r="AF16" t="s">
        <v>109</v>
      </c>
      <c r="AG16" t="s">
        <v>372</v>
      </c>
      <c r="AH16">
        <v>10</v>
      </c>
      <c r="AI16" s="2">
        <v>46066</v>
      </c>
      <c r="AK16" t="s">
        <v>91</v>
      </c>
      <c r="AQ16" t="s">
        <v>319</v>
      </c>
      <c r="AR16" t="s">
        <v>320</v>
      </c>
      <c r="AS16" t="s">
        <v>94</v>
      </c>
      <c r="AT16" t="s">
        <v>95</v>
      </c>
      <c r="AU16" t="s">
        <v>96</v>
      </c>
      <c r="AV16" t="s">
        <v>711</v>
      </c>
      <c r="AW16" t="s">
        <v>109</v>
      </c>
      <c r="AX16" t="s">
        <v>98</v>
      </c>
      <c r="AY16" t="s">
        <v>372</v>
      </c>
      <c r="AZ16" s="2">
        <v>46139</v>
      </c>
      <c r="BA16" t="s">
        <v>99</v>
      </c>
      <c r="BB16" s="4">
        <v>46140.406724537039</v>
      </c>
      <c r="BD16" s="2">
        <v>46156</v>
      </c>
      <c r="BE16" s="2">
        <v>46162</v>
      </c>
      <c r="BF16">
        <v>10</v>
      </c>
      <c r="BG16">
        <v>10</v>
      </c>
      <c r="BH16">
        <v>0</v>
      </c>
      <c r="BI16" s="2">
        <v>46154</v>
      </c>
      <c r="BJ16">
        <v>10</v>
      </c>
      <c r="BK16">
        <v>0</v>
      </c>
      <c r="BL16" s="2">
        <v>46154</v>
      </c>
      <c r="BO16" t="s">
        <v>100</v>
      </c>
      <c r="BP16" s="5">
        <v>1</v>
      </c>
    </row>
    <row r="17" spans="2:68">
      <c r="B17" t="s">
        <v>254</v>
      </c>
      <c r="C17" t="s">
        <v>181</v>
      </c>
      <c r="D17" t="s">
        <v>70</v>
      </c>
      <c r="E17" t="s">
        <v>71</v>
      </c>
      <c r="F17" t="s">
        <v>72</v>
      </c>
      <c r="G17" t="s">
        <v>73</v>
      </c>
      <c r="H17" s="2">
        <v>46073</v>
      </c>
      <c r="I17" s="2">
        <v>46083</v>
      </c>
      <c r="J17" t="s">
        <v>74</v>
      </c>
      <c r="K17" s="2">
        <v>46091</v>
      </c>
      <c r="L17" t="s">
        <v>75</v>
      </c>
      <c r="M17" t="s">
        <v>76</v>
      </c>
      <c r="N17" t="s">
        <v>77</v>
      </c>
      <c r="O17" t="s">
        <v>530</v>
      </c>
      <c r="P17" t="s">
        <v>531</v>
      </c>
      <c r="Q17">
        <v>20</v>
      </c>
      <c r="R17" t="s">
        <v>115</v>
      </c>
      <c r="S17" t="s">
        <v>116</v>
      </c>
      <c r="T17" t="s">
        <v>370</v>
      </c>
      <c r="U17" s="2">
        <v>46102</v>
      </c>
      <c r="V17" t="s">
        <v>98</v>
      </c>
      <c r="W17" t="s">
        <v>83</v>
      </c>
      <c r="X17" t="s">
        <v>84</v>
      </c>
      <c r="Y17" t="s">
        <v>14</v>
      </c>
      <c r="Z17" t="s">
        <v>291</v>
      </c>
      <c r="AA17" t="s">
        <v>86</v>
      </c>
      <c r="AB17" t="s">
        <v>87</v>
      </c>
      <c r="AD17" s="3">
        <v>1141000003</v>
      </c>
      <c r="AE17" t="s">
        <v>529</v>
      </c>
      <c r="AF17" t="s">
        <v>109</v>
      </c>
      <c r="AG17" t="s">
        <v>372</v>
      </c>
      <c r="AH17">
        <v>20</v>
      </c>
      <c r="AI17" s="2">
        <v>46102</v>
      </c>
      <c r="AK17" t="s">
        <v>91</v>
      </c>
      <c r="AQ17" t="s">
        <v>578</v>
      </c>
      <c r="AR17" t="s">
        <v>579</v>
      </c>
      <c r="AS17" t="s">
        <v>94</v>
      </c>
      <c r="AT17" t="s">
        <v>95</v>
      </c>
      <c r="AU17" t="s">
        <v>96</v>
      </c>
      <c r="AV17" t="s">
        <v>712</v>
      </c>
      <c r="AW17" t="s">
        <v>109</v>
      </c>
      <c r="AX17" t="s">
        <v>82</v>
      </c>
      <c r="AY17" t="s">
        <v>372</v>
      </c>
      <c r="AZ17" s="2">
        <v>46141</v>
      </c>
      <c r="BA17" t="s">
        <v>99</v>
      </c>
      <c r="BB17" s="4">
        <v>46142.632800925923</v>
      </c>
      <c r="BD17" s="2">
        <v>46178</v>
      </c>
      <c r="BE17" s="2">
        <v>46178</v>
      </c>
      <c r="BF17">
        <v>20</v>
      </c>
      <c r="BG17">
        <v>20</v>
      </c>
      <c r="BH17">
        <v>0</v>
      </c>
      <c r="BI17" s="2">
        <v>46153</v>
      </c>
      <c r="BJ17">
        <v>20</v>
      </c>
      <c r="BK17">
        <v>0</v>
      </c>
      <c r="BL17" s="2">
        <v>46154</v>
      </c>
      <c r="BO17" t="s">
        <v>100</v>
      </c>
      <c r="BP17" s="5">
        <v>1</v>
      </c>
    </row>
    <row r="18" spans="2:68">
      <c r="B18" t="s">
        <v>196</v>
      </c>
      <c r="C18" t="s">
        <v>525</v>
      </c>
      <c r="D18" t="s">
        <v>70</v>
      </c>
      <c r="E18" t="s">
        <v>71</v>
      </c>
      <c r="F18" t="s">
        <v>72</v>
      </c>
      <c r="G18" t="s">
        <v>73</v>
      </c>
      <c r="H18" s="2">
        <v>46056</v>
      </c>
      <c r="I18" s="2">
        <v>46076</v>
      </c>
      <c r="J18" t="s">
        <v>74</v>
      </c>
      <c r="K18" s="2">
        <v>46065</v>
      </c>
      <c r="L18" t="s">
        <v>75</v>
      </c>
      <c r="M18" t="s">
        <v>76</v>
      </c>
      <c r="N18" t="s">
        <v>77</v>
      </c>
      <c r="O18" t="s">
        <v>526</v>
      </c>
      <c r="P18" t="s">
        <v>527</v>
      </c>
      <c r="Q18">
        <v>7</v>
      </c>
      <c r="R18" t="s">
        <v>115</v>
      </c>
      <c r="S18" t="s">
        <v>116</v>
      </c>
      <c r="T18" t="s">
        <v>370</v>
      </c>
      <c r="U18" s="2">
        <v>46066</v>
      </c>
      <c r="V18" t="s">
        <v>98</v>
      </c>
      <c r="W18" t="s">
        <v>83</v>
      </c>
      <c r="X18" t="s">
        <v>84</v>
      </c>
      <c r="Y18" t="s">
        <v>14</v>
      </c>
      <c r="Z18" t="s">
        <v>291</v>
      </c>
      <c r="AA18" t="s">
        <v>86</v>
      </c>
      <c r="AB18" t="s">
        <v>87</v>
      </c>
      <c r="AD18" s="3">
        <v>1141000003</v>
      </c>
      <c r="AE18" t="s">
        <v>528</v>
      </c>
      <c r="AF18" t="s">
        <v>143</v>
      </c>
      <c r="AG18" t="s">
        <v>372</v>
      </c>
      <c r="AH18">
        <v>7</v>
      </c>
      <c r="AI18" s="2">
        <v>46066</v>
      </c>
      <c r="AK18" t="s">
        <v>91</v>
      </c>
      <c r="AQ18" t="s">
        <v>319</v>
      </c>
      <c r="AR18" t="s">
        <v>320</v>
      </c>
      <c r="AS18" t="s">
        <v>94</v>
      </c>
      <c r="AT18" t="s">
        <v>95</v>
      </c>
      <c r="AU18" t="s">
        <v>96</v>
      </c>
      <c r="AV18" t="s">
        <v>711</v>
      </c>
      <c r="AW18" t="s">
        <v>143</v>
      </c>
      <c r="AX18" t="s">
        <v>98</v>
      </c>
      <c r="AY18" t="s">
        <v>372</v>
      </c>
      <c r="AZ18" s="2">
        <v>46139</v>
      </c>
      <c r="BA18" t="s">
        <v>99</v>
      </c>
      <c r="BB18" s="4">
        <v>46140.406724537039</v>
      </c>
      <c r="BD18" s="2">
        <v>46156</v>
      </c>
      <c r="BE18" s="2">
        <v>46162</v>
      </c>
      <c r="BF18">
        <v>7</v>
      </c>
      <c r="BG18">
        <v>7</v>
      </c>
      <c r="BH18">
        <v>0</v>
      </c>
      <c r="BI18" s="2">
        <v>46154</v>
      </c>
      <c r="BJ18">
        <v>7</v>
      </c>
      <c r="BK18">
        <v>0</v>
      </c>
      <c r="BL18" s="2">
        <v>46154</v>
      </c>
      <c r="BO18" t="s">
        <v>100</v>
      </c>
      <c r="BP18" s="5">
        <v>1</v>
      </c>
    </row>
    <row r="19" spans="2:68">
      <c r="B19" t="s">
        <v>254</v>
      </c>
      <c r="C19" t="s">
        <v>417</v>
      </c>
      <c r="D19" t="s">
        <v>70</v>
      </c>
      <c r="E19" t="s">
        <v>71</v>
      </c>
      <c r="F19" t="s">
        <v>72</v>
      </c>
      <c r="G19" t="s">
        <v>73</v>
      </c>
      <c r="H19" s="2">
        <v>46073</v>
      </c>
      <c r="I19" s="2">
        <v>46073</v>
      </c>
      <c r="J19" t="s">
        <v>74</v>
      </c>
      <c r="K19" s="2">
        <v>46091</v>
      </c>
      <c r="L19" t="s">
        <v>75</v>
      </c>
      <c r="M19" t="s">
        <v>76</v>
      </c>
      <c r="N19" t="s">
        <v>77</v>
      </c>
      <c r="O19" t="s">
        <v>526</v>
      </c>
      <c r="P19" t="s">
        <v>527</v>
      </c>
      <c r="Q19">
        <v>7</v>
      </c>
      <c r="R19" t="s">
        <v>115</v>
      </c>
      <c r="S19" t="s">
        <v>116</v>
      </c>
      <c r="T19" t="s">
        <v>370</v>
      </c>
      <c r="U19" s="2">
        <v>46102</v>
      </c>
      <c r="V19" t="s">
        <v>98</v>
      </c>
      <c r="W19" t="s">
        <v>83</v>
      </c>
      <c r="X19" t="s">
        <v>84</v>
      </c>
      <c r="Y19" t="s">
        <v>14</v>
      </c>
      <c r="Z19" t="s">
        <v>291</v>
      </c>
      <c r="AA19" t="s">
        <v>86</v>
      </c>
      <c r="AB19" t="s">
        <v>87</v>
      </c>
      <c r="AD19" s="3">
        <v>1141000003</v>
      </c>
      <c r="AE19" t="s">
        <v>529</v>
      </c>
      <c r="AF19" t="s">
        <v>143</v>
      </c>
      <c r="AG19" t="s">
        <v>372</v>
      </c>
      <c r="AH19">
        <v>7</v>
      </c>
      <c r="AI19" s="2">
        <v>46102</v>
      </c>
      <c r="AK19" t="s">
        <v>91</v>
      </c>
      <c r="AQ19" t="s">
        <v>578</v>
      </c>
      <c r="AR19" t="s">
        <v>579</v>
      </c>
      <c r="AS19" t="s">
        <v>94</v>
      </c>
      <c r="AT19" t="s">
        <v>95</v>
      </c>
      <c r="AU19" t="s">
        <v>96</v>
      </c>
      <c r="AV19" t="s">
        <v>712</v>
      </c>
      <c r="AW19" t="s">
        <v>143</v>
      </c>
      <c r="AX19" t="s">
        <v>82</v>
      </c>
      <c r="AY19" t="s">
        <v>372</v>
      </c>
      <c r="AZ19" s="2">
        <v>46141</v>
      </c>
      <c r="BA19" t="s">
        <v>99</v>
      </c>
      <c r="BB19" s="4">
        <v>46142.632800925923</v>
      </c>
      <c r="BD19" s="2">
        <v>46178</v>
      </c>
      <c r="BE19" s="2">
        <v>46178</v>
      </c>
      <c r="BF19">
        <v>7</v>
      </c>
      <c r="BG19">
        <v>7</v>
      </c>
      <c r="BH19">
        <v>0</v>
      </c>
      <c r="BI19" s="2">
        <v>46153</v>
      </c>
      <c r="BJ19">
        <v>7</v>
      </c>
      <c r="BK19">
        <v>0</v>
      </c>
      <c r="BL19" s="2">
        <v>46154</v>
      </c>
      <c r="BO19" t="s">
        <v>100</v>
      </c>
      <c r="BP19" s="5">
        <v>1</v>
      </c>
    </row>
    <row r="20" spans="2:68">
      <c r="B20" t="s">
        <v>713</v>
      </c>
      <c r="C20" t="s">
        <v>143</v>
      </c>
      <c r="D20" t="s">
        <v>70</v>
      </c>
      <c r="E20" t="s">
        <v>71</v>
      </c>
      <c r="F20" t="s">
        <v>72</v>
      </c>
      <c r="G20" t="s">
        <v>73</v>
      </c>
      <c r="H20" s="2">
        <v>46141</v>
      </c>
      <c r="I20" s="2">
        <v>46150</v>
      </c>
      <c r="J20" t="s">
        <v>74</v>
      </c>
      <c r="K20" s="2">
        <v>46150</v>
      </c>
      <c r="L20" t="s">
        <v>75</v>
      </c>
      <c r="M20" t="s">
        <v>76</v>
      </c>
      <c r="N20" t="s">
        <v>77</v>
      </c>
      <c r="O20" t="s">
        <v>714</v>
      </c>
      <c r="P20" t="s">
        <v>715</v>
      </c>
      <c r="Q20">
        <v>10</v>
      </c>
      <c r="R20" t="s">
        <v>115</v>
      </c>
      <c r="S20" t="s">
        <v>116</v>
      </c>
      <c r="T20" t="s">
        <v>716</v>
      </c>
      <c r="U20" s="2">
        <v>46161</v>
      </c>
      <c r="V20" t="s">
        <v>98</v>
      </c>
      <c r="W20" t="s">
        <v>83</v>
      </c>
      <c r="X20" t="s">
        <v>84</v>
      </c>
      <c r="Y20" t="s">
        <v>14</v>
      </c>
      <c r="Z20" t="s">
        <v>117</v>
      </c>
      <c r="AA20" t="s">
        <v>86</v>
      </c>
      <c r="AB20" t="s">
        <v>87</v>
      </c>
      <c r="AD20" s="3">
        <v>1141000003</v>
      </c>
      <c r="AE20" t="s">
        <v>717</v>
      </c>
      <c r="AF20" t="s">
        <v>222</v>
      </c>
      <c r="AG20" t="s">
        <v>718</v>
      </c>
      <c r="AH20">
        <v>10</v>
      </c>
      <c r="AI20" s="2">
        <v>46161</v>
      </c>
      <c r="AX20" t="s">
        <v>175</v>
      </c>
      <c r="BB20" s="4"/>
      <c r="BD20" s="2"/>
      <c r="BL20" s="2"/>
      <c r="BO20" t="s">
        <v>203</v>
      </c>
      <c r="BP20" s="5">
        <v>1</v>
      </c>
    </row>
    <row r="21" spans="2:68">
      <c r="B21" t="s">
        <v>332</v>
      </c>
      <c r="C21" t="s">
        <v>109</v>
      </c>
      <c r="D21" t="s">
        <v>70</v>
      </c>
      <c r="E21" t="s">
        <v>71</v>
      </c>
      <c r="F21" t="s">
        <v>72</v>
      </c>
      <c r="G21" t="s">
        <v>73</v>
      </c>
      <c r="H21" s="2">
        <v>45930</v>
      </c>
      <c r="I21" s="2">
        <v>45940</v>
      </c>
      <c r="J21" t="s">
        <v>74</v>
      </c>
      <c r="K21" s="2">
        <v>45932</v>
      </c>
      <c r="L21" t="s">
        <v>75</v>
      </c>
      <c r="M21" t="s">
        <v>76</v>
      </c>
      <c r="N21" t="s">
        <v>77</v>
      </c>
      <c r="O21" t="s">
        <v>516</v>
      </c>
      <c r="P21" t="s">
        <v>517</v>
      </c>
      <c r="Q21">
        <v>1</v>
      </c>
      <c r="R21" t="s">
        <v>115</v>
      </c>
      <c r="S21" t="s">
        <v>13</v>
      </c>
      <c r="T21" t="s">
        <v>518</v>
      </c>
      <c r="U21" s="2">
        <v>45936</v>
      </c>
      <c r="V21" t="s">
        <v>82</v>
      </c>
      <c r="W21" t="s">
        <v>83</v>
      </c>
      <c r="X21" t="s">
        <v>84</v>
      </c>
      <c r="Y21" t="s">
        <v>14</v>
      </c>
      <c r="Z21" t="s">
        <v>519</v>
      </c>
      <c r="AA21" t="s">
        <v>86</v>
      </c>
      <c r="AB21" t="s">
        <v>87</v>
      </c>
      <c r="AD21" s="3">
        <v>1141000001</v>
      </c>
      <c r="AE21" t="s">
        <v>520</v>
      </c>
      <c r="AF21" t="s">
        <v>143</v>
      </c>
      <c r="AG21" t="s">
        <v>521</v>
      </c>
      <c r="AH21">
        <v>1</v>
      </c>
      <c r="AI21" s="2">
        <v>45936</v>
      </c>
      <c r="AK21" t="s">
        <v>91</v>
      </c>
      <c r="AQ21" t="s">
        <v>522</v>
      </c>
      <c r="AR21" t="s">
        <v>523</v>
      </c>
      <c r="AS21" t="s">
        <v>94</v>
      </c>
      <c r="AT21" t="s">
        <v>95</v>
      </c>
      <c r="AU21" t="s">
        <v>96</v>
      </c>
      <c r="AV21" t="s">
        <v>524</v>
      </c>
      <c r="AW21" t="s">
        <v>109</v>
      </c>
      <c r="AX21" t="s">
        <v>98</v>
      </c>
      <c r="AY21" t="s">
        <v>521</v>
      </c>
      <c r="AZ21" s="2">
        <v>45946</v>
      </c>
      <c r="BA21" t="s">
        <v>99</v>
      </c>
      <c r="BB21" s="4">
        <v>45967.560648148145</v>
      </c>
      <c r="BD21" s="2">
        <v>45978</v>
      </c>
      <c r="BE21" s="2">
        <v>45978</v>
      </c>
      <c r="BF21">
        <v>1</v>
      </c>
      <c r="BG21">
        <v>1</v>
      </c>
      <c r="BH21">
        <v>0</v>
      </c>
      <c r="BI21" s="2">
        <v>45993</v>
      </c>
      <c r="BJ21">
        <v>1</v>
      </c>
      <c r="BK21">
        <v>0</v>
      </c>
      <c r="BL21" s="2">
        <v>45993</v>
      </c>
      <c r="BO21" t="s">
        <v>100</v>
      </c>
      <c r="BP21" s="5">
        <v>1</v>
      </c>
    </row>
    <row r="22" spans="2:68">
      <c r="B22" t="s">
        <v>207</v>
      </c>
      <c r="C22" t="s">
        <v>178</v>
      </c>
      <c r="D22" t="s">
        <v>70</v>
      </c>
      <c r="E22" t="s">
        <v>71</v>
      </c>
      <c r="F22" t="s">
        <v>72</v>
      </c>
      <c r="G22" t="s">
        <v>179</v>
      </c>
      <c r="H22" s="2">
        <v>46090</v>
      </c>
      <c r="I22" s="2">
        <v>46128</v>
      </c>
      <c r="J22" t="s">
        <v>74</v>
      </c>
      <c r="K22" s="2">
        <v>46104</v>
      </c>
      <c r="L22" t="s">
        <v>75</v>
      </c>
      <c r="M22" t="s">
        <v>76</v>
      </c>
      <c r="N22" t="s">
        <v>77</v>
      </c>
      <c r="O22" t="s">
        <v>514</v>
      </c>
      <c r="P22" t="s">
        <v>515</v>
      </c>
      <c r="Q22">
        <v>6</v>
      </c>
      <c r="R22" t="s">
        <v>115</v>
      </c>
      <c r="S22" t="s">
        <v>116</v>
      </c>
      <c r="T22" t="s">
        <v>370</v>
      </c>
      <c r="U22" s="2">
        <v>46150</v>
      </c>
      <c r="V22" t="s">
        <v>98</v>
      </c>
      <c r="W22" t="s">
        <v>83</v>
      </c>
      <c r="X22" t="s">
        <v>84</v>
      </c>
      <c r="Y22" t="s">
        <v>14</v>
      </c>
      <c r="Z22" t="s">
        <v>291</v>
      </c>
      <c r="AA22" t="s">
        <v>86</v>
      </c>
      <c r="AB22" t="s">
        <v>87</v>
      </c>
      <c r="AD22" s="3">
        <v>1141000003</v>
      </c>
      <c r="AE22" t="s">
        <v>719</v>
      </c>
      <c r="AF22" t="s">
        <v>69</v>
      </c>
      <c r="AG22" t="s">
        <v>372</v>
      </c>
      <c r="AH22">
        <v>6</v>
      </c>
      <c r="AI22" s="2">
        <v>46150</v>
      </c>
      <c r="AK22" t="s">
        <v>91</v>
      </c>
      <c r="AQ22" t="s">
        <v>319</v>
      </c>
      <c r="AR22" t="s">
        <v>320</v>
      </c>
      <c r="AS22" t="s">
        <v>94</v>
      </c>
      <c r="AT22" t="s">
        <v>95</v>
      </c>
      <c r="AU22" t="s">
        <v>96</v>
      </c>
      <c r="AV22" t="s">
        <v>720</v>
      </c>
      <c r="AW22" t="s">
        <v>109</v>
      </c>
      <c r="AX22" t="s">
        <v>98</v>
      </c>
      <c r="AY22" t="s">
        <v>372</v>
      </c>
      <c r="AZ22" s="2">
        <v>46167</v>
      </c>
      <c r="BA22" t="s">
        <v>99</v>
      </c>
      <c r="BB22" s="4">
        <v>46167.709178240744</v>
      </c>
      <c r="BD22" s="2">
        <v>46183</v>
      </c>
      <c r="BE22" s="2">
        <v>46203</v>
      </c>
      <c r="BF22">
        <v>6</v>
      </c>
      <c r="BH22">
        <v>6</v>
      </c>
      <c r="BK22">
        <v>6</v>
      </c>
      <c r="BL22" s="2"/>
      <c r="BO22" t="s">
        <v>227</v>
      </c>
      <c r="BP22" s="5">
        <v>1</v>
      </c>
    </row>
    <row r="23" spans="2:68">
      <c r="B23" t="s">
        <v>196</v>
      </c>
      <c r="C23" t="s">
        <v>346</v>
      </c>
      <c r="D23" t="s">
        <v>70</v>
      </c>
      <c r="E23" t="s">
        <v>71</v>
      </c>
      <c r="F23" t="s">
        <v>72</v>
      </c>
      <c r="G23" t="s">
        <v>73</v>
      </c>
      <c r="H23" s="2">
        <v>46056</v>
      </c>
      <c r="I23" s="2">
        <v>46076</v>
      </c>
      <c r="J23" t="s">
        <v>74</v>
      </c>
      <c r="K23" s="2">
        <v>46065</v>
      </c>
      <c r="L23" t="s">
        <v>75</v>
      </c>
      <c r="M23" t="s">
        <v>76</v>
      </c>
      <c r="N23" t="s">
        <v>77</v>
      </c>
      <c r="O23" t="s">
        <v>512</v>
      </c>
      <c r="P23" t="s">
        <v>513</v>
      </c>
      <c r="Q23">
        <v>4</v>
      </c>
      <c r="R23" t="s">
        <v>115</v>
      </c>
      <c r="S23" t="s">
        <v>116</v>
      </c>
      <c r="T23" t="s">
        <v>370</v>
      </c>
      <c r="U23" s="2">
        <v>46066</v>
      </c>
      <c r="V23" t="s">
        <v>98</v>
      </c>
      <c r="W23" t="s">
        <v>83</v>
      </c>
      <c r="X23" t="s">
        <v>84</v>
      </c>
      <c r="Y23" t="s">
        <v>14</v>
      </c>
      <c r="Z23" t="s">
        <v>291</v>
      </c>
      <c r="AA23" t="s">
        <v>86</v>
      </c>
      <c r="AB23" t="s">
        <v>87</v>
      </c>
      <c r="AD23" s="3">
        <v>1141000001</v>
      </c>
      <c r="AE23" t="s">
        <v>474</v>
      </c>
      <c r="AF23" t="s">
        <v>145</v>
      </c>
      <c r="AG23" t="s">
        <v>372</v>
      </c>
      <c r="AH23">
        <v>4</v>
      </c>
      <c r="AI23" s="2">
        <v>46066</v>
      </c>
      <c r="AK23" t="s">
        <v>91</v>
      </c>
      <c r="AQ23" t="s">
        <v>575</v>
      </c>
      <c r="AR23" t="s">
        <v>576</v>
      </c>
      <c r="AS23" t="s">
        <v>94</v>
      </c>
      <c r="AT23" t="s">
        <v>95</v>
      </c>
      <c r="AU23" t="s">
        <v>96</v>
      </c>
      <c r="AV23" t="s">
        <v>577</v>
      </c>
      <c r="AW23" t="s">
        <v>145</v>
      </c>
      <c r="AX23" t="s">
        <v>82</v>
      </c>
      <c r="AY23" t="s">
        <v>372</v>
      </c>
      <c r="AZ23" s="2">
        <v>46111</v>
      </c>
      <c r="BA23" t="s">
        <v>99</v>
      </c>
      <c r="BB23" s="4">
        <v>46127.455590277779</v>
      </c>
      <c r="BD23" s="2">
        <v>46134</v>
      </c>
      <c r="BE23" s="2">
        <v>46139</v>
      </c>
      <c r="BF23">
        <v>4</v>
      </c>
      <c r="BG23">
        <v>4</v>
      </c>
      <c r="BH23">
        <v>0</v>
      </c>
      <c r="BI23" s="2">
        <v>46150</v>
      </c>
      <c r="BJ23">
        <v>4</v>
      </c>
      <c r="BK23">
        <v>0</v>
      </c>
      <c r="BL23" s="2">
        <v>46168</v>
      </c>
      <c r="BO23" t="s">
        <v>100</v>
      </c>
      <c r="BP23" s="5">
        <v>1</v>
      </c>
    </row>
    <row r="24" spans="2:68">
      <c r="B24" t="s">
        <v>207</v>
      </c>
      <c r="C24" t="s">
        <v>262</v>
      </c>
      <c r="D24" t="s">
        <v>70</v>
      </c>
      <c r="E24" t="s">
        <v>71</v>
      </c>
      <c r="F24" t="s">
        <v>72</v>
      </c>
      <c r="G24" t="s">
        <v>179</v>
      </c>
      <c r="H24" s="2">
        <v>46090</v>
      </c>
      <c r="I24" s="2">
        <v>46128</v>
      </c>
      <c r="J24" t="s">
        <v>74</v>
      </c>
      <c r="K24" s="2">
        <v>46104</v>
      </c>
      <c r="L24" t="s">
        <v>75</v>
      </c>
      <c r="M24" t="s">
        <v>76</v>
      </c>
      <c r="N24" t="s">
        <v>77</v>
      </c>
      <c r="O24" t="s">
        <v>510</v>
      </c>
      <c r="P24" t="s">
        <v>511</v>
      </c>
      <c r="Q24">
        <v>6</v>
      </c>
      <c r="R24" t="s">
        <v>115</v>
      </c>
      <c r="S24" t="s">
        <v>116</v>
      </c>
      <c r="T24" t="s">
        <v>370</v>
      </c>
      <c r="U24" s="2">
        <v>46150</v>
      </c>
      <c r="V24" t="s">
        <v>98</v>
      </c>
      <c r="W24" t="s">
        <v>83</v>
      </c>
      <c r="X24" t="s">
        <v>84</v>
      </c>
      <c r="Y24" t="s">
        <v>14</v>
      </c>
      <c r="Z24" t="s">
        <v>291</v>
      </c>
      <c r="AA24" t="s">
        <v>86</v>
      </c>
      <c r="AB24" t="s">
        <v>87</v>
      </c>
      <c r="AD24" s="3">
        <v>1141000001</v>
      </c>
      <c r="AE24" t="s">
        <v>719</v>
      </c>
      <c r="AF24" t="s">
        <v>143</v>
      </c>
      <c r="AG24" t="s">
        <v>372</v>
      </c>
      <c r="AH24">
        <v>6</v>
      </c>
      <c r="AI24" s="2">
        <v>46150</v>
      </c>
      <c r="AK24" t="s">
        <v>91</v>
      </c>
      <c r="AQ24" t="s">
        <v>319</v>
      </c>
      <c r="AR24" t="s">
        <v>320</v>
      </c>
      <c r="AS24" t="s">
        <v>94</v>
      </c>
      <c r="AT24" t="s">
        <v>95</v>
      </c>
      <c r="AU24" t="s">
        <v>96</v>
      </c>
      <c r="AV24" t="s">
        <v>720</v>
      </c>
      <c r="AW24" t="s">
        <v>69</v>
      </c>
      <c r="AX24" t="s">
        <v>98</v>
      </c>
      <c r="AY24" t="s">
        <v>372</v>
      </c>
      <c r="AZ24" s="2">
        <v>46167</v>
      </c>
      <c r="BA24" t="s">
        <v>99</v>
      </c>
      <c r="BB24" s="4">
        <v>46167.709178240744</v>
      </c>
      <c r="BD24" s="2">
        <v>46183</v>
      </c>
      <c r="BE24" s="2">
        <v>46203</v>
      </c>
      <c r="BF24">
        <v>6</v>
      </c>
      <c r="BH24">
        <v>6</v>
      </c>
      <c r="BK24">
        <v>6</v>
      </c>
      <c r="BL24" s="2"/>
      <c r="BO24" t="s">
        <v>227</v>
      </c>
      <c r="BP24" s="5">
        <v>1</v>
      </c>
    </row>
    <row r="25" spans="2:68">
      <c r="B25" t="s">
        <v>196</v>
      </c>
      <c r="C25" t="s">
        <v>145</v>
      </c>
      <c r="D25" t="s">
        <v>70</v>
      </c>
      <c r="E25" t="s">
        <v>71</v>
      </c>
      <c r="F25" t="s">
        <v>72</v>
      </c>
      <c r="G25" t="s">
        <v>73</v>
      </c>
      <c r="H25" s="2">
        <v>46056</v>
      </c>
      <c r="I25" s="2">
        <v>46076</v>
      </c>
      <c r="J25" t="s">
        <v>74</v>
      </c>
      <c r="K25" s="2">
        <v>46065</v>
      </c>
      <c r="L25" t="s">
        <v>75</v>
      </c>
      <c r="M25" t="s">
        <v>76</v>
      </c>
      <c r="N25" t="s">
        <v>77</v>
      </c>
      <c r="O25" t="s">
        <v>508</v>
      </c>
      <c r="P25" t="s">
        <v>509</v>
      </c>
      <c r="Q25">
        <v>4</v>
      </c>
      <c r="R25" t="s">
        <v>115</v>
      </c>
      <c r="S25" t="s">
        <v>116</v>
      </c>
      <c r="T25" t="s">
        <v>370</v>
      </c>
      <c r="U25" s="2">
        <v>46066</v>
      </c>
      <c r="V25" t="s">
        <v>98</v>
      </c>
      <c r="W25" t="s">
        <v>83</v>
      </c>
      <c r="X25" t="s">
        <v>84</v>
      </c>
      <c r="Y25" t="s">
        <v>14</v>
      </c>
      <c r="Z25" t="s">
        <v>291</v>
      </c>
      <c r="AA25" t="s">
        <v>86</v>
      </c>
      <c r="AB25" t="s">
        <v>87</v>
      </c>
      <c r="AD25" s="3">
        <v>1141000001</v>
      </c>
      <c r="AE25" t="s">
        <v>474</v>
      </c>
      <c r="AF25" t="s">
        <v>235</v>
      </c>
      <c r="AG25" t="s">
        <v>372</v>
      </c>
      <c r="AH25">
        <v>4</v>
      </c>
      <c r="AI25" s="2">
        <v>46066</v>
      </c>
      <c r="AK25" t="s">
        <v>91</v>
      </c>
      <c r="AQ25" t="s">
        <v>575</v>
      </c>
      <c r="AR25" t="s">
        <v>576</v>
      </c>
      <c r="AS25" t="s">
        <v>94</v>
      </c>
      <c r="AT25" t="s">
        <v>95</v>
      </c>
      <c r="AU25" t="s">
        <v>96</v>
      </c>
      <c r="AV25" t="s">
        <v>577</v>
      </c>
      <c r="AW25" t="s">
        <v>235</v>
      </c>
      <c r="AX25" t="s">
        <v>82</v>
      </c>
      <c r="AY25" t="s">
        <v>372</v>
      </c>
      <c r="AZ25" s="2">
        <v>46111</v>
      </c>
      <c r="BA25" t="s">
        <v>99</v>
      </c>
      <c r="BB25" s="4">
        <v>46127.455590277779</v>
      </c>
      <c r="BD25" s="2">
        <v>46134</v>
      </c>
      <c r="BE25" s="2">
        <v>46139</v>
      </c>
      <c r="BF25">
        <v>4</v>
      </c>
      <c r="BG25">
        <v>4</v>
      </c>
      <c r="BH25">
        <v>0</v>
      </c>
      <c r="BI25" s="2">
        <v>46150</v>
      </c>
      <c r="BJ25">
        <v>4</v>
      </c>
      <c r="BK25">
        <v>0</v>
      </c>
      <c r="BL25" s="2">
        <v>46168</v>
      </c>
      <c r="BO25" t="s">
        <v>100</v>
      </c>
      <c r="BP25" s="5">
        <v>1</v>
      </c>
    </row>
    <row r="26" spans="2:68">
      <c r="B26" t="s">
        <v>196</v>
      </c>
      <c r="C26" t="s">
        <v>235</v>
      </c>
      <c r="D26" t="s">
        <v>70</v>
      </c>
      <c r="E26" t="s">
        <v>71</v>
      </c>
      <c r="F26" t="s">
        <v>72</v>
      </c>
      <c r="G26" t="s">
        <v>73</v>
      </c>
      <c r="H26" s="2">
        <v>46056</v>
      </c>
      <c r="I26" s="2">
        <v>46076</v>
      </c>
      <c r="J26" t="s">
        <v>74</v>
      </c>
      <c r="K26" s="2">
        <v>46065</v>
      </c>
      <c r="L26" t="s">
        <v>75</v>
      </c>
      <c r="M26" t="s">
        <v>76</v>
      </c>
      <c r="N26" t="s">
        <v>77</v>
      </c>
      <c r="O26" t="s">
        <v>506</v>
      </c>
      <c r="P26" t="s">
        <v>507</v>
      </c>
      <c r="Q26">
        <v>4</v>
      </c>
      <c r="R26" t="s">
        <v>115</v>
      </c>
      <c r="S26" t="s">
        <v>116</v>
      </c>
      <c r="T26" t="s">
        <v>370</v>
      </c>
      <c r="U26" s="2">
        <v>46066</v>
      </c>
      <c r="V26" t="s">
        <v>98</v>
      </c>
      <c r="W26" t="s">
        <v>83</v>
      </c>
      <c r="X26" t="s">
        <v>84</v>
      </c>
      <c r="Y26" t="s">
        <v>14</v>
      </c>
      <c r="Z26" t="s">
        <v>291</v>
      </c>
      <c r="AA26" t="s">
        <v>86</v>
      </c>
      <c r="AB26" t="s">
        <v>87</v>
      </c>
      <c r="AD26" s="3">
        <v>1141000003</v>
      </c>
      <c r="AE26" t="s">
        <v>474</v>
      </c>
      <c r="AF26" t="s">
        <v>243</v>
      </c>
      <c r="AG26" t="s">
        <v>372</v>
      </c>
      <c r="AH26">
        <v>4</v>
      </c>
      <c r="AI26" s="2">
        <v>46066</v>
      </c>
      <c r="AK26" t="s">
        <v>91</v>
      </c>
      <c r="AQ26" t="s">
        <v>575</v>
      </c>
      <c r="AR26" t="s">
        <v>576</v>
      </c>
      <c r="AS26" t="s">
        <v>94</v>
      </c>
      <c r="AT26" t="s">
        <v>95</v>
      </c>
      <c r="AU26" t="s">
        <v>96</v>
      </c>
      <c r="AV26" t="s">
        <v>577</v>
      </c>
      <c r="AW26" t="s">
        <v>243</v>
      </c>
      <c r="AX26" t="s">
        <v>82</v>
      </c>
      <c r="AY26" t="s">
        <v>372</v>
      </c>
      <c r="AZ26" s="2">
        <v>46111</v>
      </c>
      <c r="BA26" t="s">
        <v>99</v>
      </c>
      <c r="BB26" s="4">
        <v>46127.455590277779</v>
      </c>
      <c r="BD26" s="2">
        <v>46134</v>
      </c>
      <c r="BE26" s="2">
        <v>46139</v>
      </c>
      <c r="BF26">
        <v>4</v>
      </c>
      <c r="BG26">
        <v>4</v>
      </c>
      <c r="BH26">
        <v>0</v>
      </c>
      <c r="BI26" s="2">
        <v>46150</v>
      </c>
      <c r="BJ26">
        <v>4</v>
      </c>
      <c r="BK26">
        <v>0</v>
      </c>
      <c r="BL26" s="2">
        <v>46168</v>
      </c>
      <c r="BO26" t="s">
        <v>100</v>
      </c>
      <c r="BP26" s="5">
        <v>1</v>
      </c>
    </row>
    <row r="27" spans="2:68">
      <c r="B27" t="s">
        <v>217</v>
      </c>
      <c r="C27" t="s">
        <v>143</v>
      </c>
      <c r="D27" t="s">
        <v>70</v>
      </c>
      <c r="E27" t="s">
        <v>71</v>
      </c>
      <c r="F27" t="s">
        <v>72</v>
      </c>
      <c r="G27" t="s">
        <v>73</v>
      </c>
      <c r="H27" s="2">
        <v>45902</v>
      </c>
      <c r="I27" s="2">
        <v>45912</v>
      </c>
      <c r="J27" t="s">
        <v>74</v>
      </c>
      <c r="K27" s="2">
        <v>45903</v>
      </c>
      <c r="L27" t="s">
        <v>75</v>
      </c>
      <c r="M27" t="s">
        <v>76</v>
      </c>
      <c r="N27" t="s">
        <v>77</v>
      </c>
      <c r="O27" t="s">
        <v>504</v>
      </c>
      <c r="P27" t="s">
        <v>505</v>
      </c>
      <c r="Q27">
        <v>6</v>
      </c>
      <c r="R27" t="s">
        <v>115</v>
      </c>
      <c r="S27" t="s">
        <v>116</v>
      </c>
      <c r="U27" s="2"/>
      <c r="V27" t="s">
        <v>98</v>
      </c>
      <c r="W27" t="s">
        <v>83</v>
      </c>
      <c r="X27" t="s">
        <v>84</v>
      </c>
      <c r="Y27" t="s">
        <v>14</v>
      </c>
      <c r="Z27" t="s">
        <v>291</v>
      </c>
      <c r="AA27" t="s">
        <v>86</v>
      </c>
      <c r="AB27" t="s">
        <v>87</v>
      </c>
      <c r="AD27" s="3">
        <v>1141000003</v>
      </c>
      <c r="AI27" s="2"/>
      <c r="AX27" t="s">
        <v>175</v>
      </c>
      <c r="AZ27" s="2"/>
      <c r="BB27" s="4"/>
      <c r="BD27" s="2"/>
      <c r="BE27" s="2"/>
      <c r="BL27" s="2"/>
      <c r="BO27" t="s">
        <v>176</v>
      </c>
      <c r="BP27" s="5">
        <v>1</v>
      </c>
    </row>
    <row r="28" spans="2:68">
      <c r="B28" t="s">
        <v>234</v>
      </c>
      <c r="C28" t="s">
        <v>143</v>
      </c>
      <c r="D28" t="s">
        <v>70</v>
      </c>
      <c r="E28" t="s">
        <v>71</v>
      </c>
      <c r="F28" t="s">
        <v>72</v>
      </c>
      <c r="G28" t="s">
        <v>73</v>
      </c>
      <c r="H28" s="2">
        <v>46045</v>
      </c>
      <c r="I28" s="2">
        <v>46055</v>
      </c>
      <c r="J28" t="s">
        <v>74</v>
      </c>
      <c r="K28" s="2">
        <v>46045</v>
      </c>
      <c r="L28" t="s">
        <v>75</v>
      </c>
      <c r="M28" t="s">
        <v>76</v>
      </c>
      <c r="N28" t="s">
        <v>77</v>
      </c>
      <c r="O28" t="s">
        <v>504</v>
      </c>
      <c r="P28" t="s">
        <v>505</v>
      </c>
      <c r="Q28">
        <v>15</v>
      </c>
      <c r="R28" t="s">
        <v>115</v>
      </c>
      <c r="S28" t="s">
        <v>116</v>
      </c>
      <c r="T28" t="s">
        <v>370</v>
      </c>
      <c r="U28" s="2">
        <v>46050</v>
      </c>
      <c r="V28" t="s">
        <v>98</v>
      </c>
      <c r="W28" t="s">
        <v>83</v>
      </c>
      <c r="X28" t="s">
        <v>84</v>
      </c>
      <c r="Y28" t="s">
        <v>14</v>
      </c>
      <c r="Z28" t="s">
        <v>291</v>
      </c>
      <c r="AA28" t="s">
        <v>86</v>
      </c>
      <c r="AB28" t="s">
        <v>87</v>
      </c>
      <c r="AD28" s="3">
        <v>1141000003</v>
      </c>
      <c r="AE28" t="s">
        <v>495</v>
      </c>
      <c r="AF28" t="s">
        <v>109</v>
      </c>
      <c r="AG28" t="s">
        <v>372</v>
      </c>
      <c r="AH28">
        <v>15</v>
      </c>
      <c r="AI28" s="2">
        <v>46050</v>
      </c>
      <c r="AK28" t="s">
        <v>91</v>
      </c>
      <c r="AQ28" t="s">
        <v>578</v>
      </c>
      <c r="AR28" t="s">
        <v>579</v>
      </c>
      <c r="AS28" t="s">
        <v>94</v>
      </c>
      <c r="AT28" t="s">
        <v>95</v>
      </c>
      <c r="AU28" t="s">
        <v>96</v>
      </c>
      <c r="AV28" t="s">
        <v>580</v>
      </c>
      <c r="AW28" t="s">
        <v>109</v>
      </c>
      <c r="AX28" t="s">
        <v>82</v>
      </c>
      <c r="AY28" t="s">
        <v>372</v>
      </c>
      <c r="AZ28" s="2">
        <v>46113</v>
      </c>
      <c r="BA28" t="s">
        <v>99</v>
      </c>
      <c r="BB28" s="4">
        <v>46119.395613425928</v>
      </c>
      <c r="BD28" s="2">
        <v>46125</v>
      </c>
      <c r="BE28" s="2">
        <v>46132</v>
      </c>
      <c r="BF28">
        <v>15</v>
      </c>
      <c r="BG28">
        <v>15</v>
      </c>
      <c r="BH28">
        <v>0</v>
      </c>
      <c r="BI28">
        <v>46197</v>
      </c>
      <c r="BJ28">
        <v>15</v>
      </c>
      <c r="BK28">
        <v>0</v>
      </c>
      <c r="BL28" s="2">
        <v>46197</v>
      </c>
      <c r="BO28" t="s">
        <v>100</v>
      </c>
      <c r="BP28" s="5">
        <v>1</v>
      </c>
    </row>
    <row r="29" spans="2:68">
      <c r="B29" t="s">
        <v>196</v>
      </c>
      <c r="C29" t="s">
        <v>243</v>
      </c>
      <c r="D29" t="s">
        <v>70</v>
      </c>
      <c r="E29" t="s">
        <v>71</v>
      </c>
      <c r="F29" t="s">
        <v>72</v>
      </c>
      <c r="G29" t="s">
        <v>73</v>
      </c>
      <c r="H29" s="2">
        <v>46056</v>
      </c>
      <c r="I29" s="2">
        <v>46076</v>
      </c>
      <c r="J29" t="s">
        <v>74</v>
      </c>
      <c r="K29" s="2">
        <v>46065</v>
      </c>
      <c r="L29" t="s">
        <v>75</v>
      </c>
      <c r="M29" t="s">
        <v>76</v>
      </c>
      <c r="N29" t="s">
        <v>77</v>
      </c>
      <c r="O29" t="s">
        <v>502</v>
      </c>
      <c r="P29" t="s">
        <v>503</v>
      </c>
      <c r="Q29">
        <v>10</v>
      </c>
      <c r="R29" t="s">
        <v>115</v>
      </c>
      <c r="S29" t="s">
        <v>116</v>
      </c>
      <c r="T29" t="s">
        <v>370</v>
      </c>
      <c r="U29" s="2">
        <v>46066</v>
      </c>
      <c r="V29" t="s">
        <v>98</v>
      </c>
      <c r="W29" t="s">
        <v>83</v>
      </c>
      <c r="X29" t="s">
        <v>84</v>
      </c>
      <c r="Y29" t="s">
        <v>14</v>
      </c>
      <c r="Z29" t="s">
        <v>291</v>
      </c>
      <c r="AA29" t="s">
        <v>86</v>
      </c>
      <c r="AB29" t="s">
        <v>87</v>
      </c>
      <c r="AD29" s="3">
        <v>1141000001</v>
      </c>
      <c r="AE29" t="s">
        <v>474</v>
      </c>
      <c r="AF29" t="s">
        <v>140</v>
      </c>
      <c r="AG29" t="s">
        <v>372</v>
      </c>
      <c r="AH29">
        <v>10</v>
      </c>
      <c r="AI29" s="2">
        <v>46066</v>
      </c>
      <c r="AK29" t="s">
        <v>91</v>
      </c>
      <c r="AQ29" t="s">
        <v>575</v>
      </c>
      <c r="AR29" t="s">
        <v>576</v>
      </c>
      <c r="AS29" t="s">
        <v>94</v>
      </c>
      <c r="AT29" t="s">
        <v>95</v>
      </c>
      <c r="AU29" t="s">
        <v>96</v>
      </c>
      <c r="AV29" t="s">
        <v>577</v>
      </c>
      <c r="AW29" t="s">
        <v>140</v>
      </c>
      <c r="AX29" t="s">
        <v>82</v>
      </c>
      <c r="AY29" t="s">
        <v>372</v>
      </c>
      <c r="AZ29" s="2">
        <v>46111</v>
      </c>
      <c r="BA29" t="s">
        <v>99</v>
      </c>
      <c r="BB29" s="4">
        <v>46127.455590277779</v>
      </c>
      <c r="BD29" s="2">
        <v>46134</v>
      </c>
      <c r="BE29" s="2">
        <v>46139</v>
      </c>
      <c r="BF29">
        <v>10</v>
      </c>
      <c r="BG29">
        <v>10</v>
      </c>
      <c r="BH29">
        <v>0</v>
      </c>
      <c r="BI29" s="2">
        <v>46150</v>
      </c>
      <c r="BJ29">
        <v>10</v>
      </c>
      <c r="BK29">
        <v>0</v>
      </c>
      <c r="BL29" s="2">
        <v>46168</v>
      </c>
      <c r="BO29" t="s">
        <v>100</v>
      </c>
      <c r="BP29" s="5">
        <v>1</v>
      </c>
    </row>
    <row r="30" spans="2:68">
      <c r="B30" t="s">
        <v>144</v>
      </c>
      <c r="C30" t="s">
        <v>109</v>
      </c>
      <c r="D30" t="s">
        <v>70</v>
      </c>
      <c r="E30" t="s">
        <v>71</v>
      </c>
      <c r="F30" t="s">
        <v>72</v>
      </c>
      <c r="G30" t="s">
        <v>73</v>
      </c>
      <c r="H30" s="2">
        <v>45922</v>
      </c>
      <c r="I30" s="2">
        <v>45932</v>
      </c>
      <c r="J30" t="s">
        <v>74</v>
      </c>
      <c r="K30" s="2">
        <v>45922</v>
      </c>
      <c r="L30" t="s">
        <v>75</v>
      </c>
      <c r="M30" t="s">
        <v>76</v>
      </c>
      <c r="N30" t="s">
        <v>77</v>
      </c>
      <c r="O30" t="s">
        <v>500</v>
      </c>
      <c r="P30" t="s">
        <v>501</v>
      </c>
      <c r="Q30">
        <v>6</v>
      </c>
      <c r="R30" t="s">
        <v>115</v>
      </c>
      <c r="S30" t="s">
        <v>116</v>
      </c>
      <c r="T30" t="s">
        <v>290</v>
      </c>
      <c r="U30" s="2">
        <v>45924</v>
      </c>
      <c r="V30" t="s">
        <v>98</v>
      </c>
      <c r="W30" t="s">
        <v>83</v>
      </c>
      <c r="X30" t="s">
        <v>84</v>
      </c>
      <c r="Y30" t="s">
        <v>14</v>
      </c>
      <c r="Z30" t="s">
        <v>291</v>
      </c>
      <c r="AA30" t="s">
        <v>86</v>
      </c>
      <c r="AB30" t="s">
        <v>87</v>
      </c>
      <c r="AD30" s="3">
        <v>1141000001</v>
      </c>
      <c r="AE30" t="s">
        <v>479</v>
      </c>
      <c r="AF30" t="s">
        <v>109</v>
      </c>
      <c r="AG30" t="s">
        <v>293</v>
      </c>
      <c r="AH30">
        <v>6</v>
      </c>
      <c r="AI30" s="2">
        <v>45924</v>
      </c>
      <c r="AK30" t="s">
        <v>91</v>
      </c>
      <c r="AQ30" t="s">
        <v>480</v>
      </c>
      <c r="AR30" t="s">
        <v>481</v>
      </c>
      <c r="AS30" t="s">
        <v>94</v>
      </c>
      <c r="AT30" t="s">
        <v>95</v>
      </c>
      <c r="AU30" t="s">
        <v>96</v>
      </c>
      <c r="AV30" t="s">
        <v>482</v>
      </c>
      <c r="AW30" t="s">
        <v>109</v>
      </c>
      <c r="AX30" t="s">
        <v>82</v>
      </c>
      <c r="AY30" t="s">
        <v>293</v>
      </c>
      <c r="AZ30" s="2">
        <v>45933</v>
      </c>
      <c r="BA30" t="s">
        <v>99</v>
      </c>
      <c r="BB30" s="4">
        <v>45947.698680555557</v>
      </c>
      <c r="BD30" s="2">
        <v>45958</v>
      </c>
      <c r="BE30" s="2">
        <v>45978</v>
      </c>
      <c r="BF30">
        <v>6</v>
      </c>
      <c r="BH30">
        <v>6</v>
      </c>
      <c r="BK30">
        <v>6</v>
      </c>
      <c r="BL30" s="2"/>
      <c r="BO30" t="s">
        <v>483</v>
      </c>
      <c r="BP30" s="5">
        <v>1</v>
      </c>
    </row>
    <row r="31" spans="2:68">
      <c r="B31" t="s">
        <v>196</v>
      </c>
      <c r="C31" t="s">
        <v>284</v>
      </c>
      <c r="D31" t="s">
        <v>70</v>
      </c>
      <c r="E31" t="s">
        <v>71</v>
      </c>
      <c r="F31" t="s">
        <v>72</v>
      </c>
      <c r="G31" t="s">
        <v>73</v>
      </c>
      <c r="H31" s="2">
        <v>46056</v>
      </c>
      <c r="I31" s="2">
        <v>46076</v>
      </c>
      <c r="J31" t="s">
        <v>74</v>
      </c>
      <c r="K31" s="2">
        <v>46065</v>
      </c>
      <c r="L31" t="s">
        <v>75</v>
      </c>
      <c r="M31" t="s">
        <v>76</v>
      </c>
      <c r="N31" t="s">
        <v>77</v>
      </c>
      <c r="O31" t="s">
        <v>498</v>
      </c>
      <c r="P31" t="s">
        <v>499</v>
      </c>
      <c r="Q31">
        <v>4</v>
      </c>
      <c r="R31" t="s">
        <v>115</v>
      </c>
      <c r="S31" t="s">
        <v>116</v>
      </c>
      <c r="T31" t="s">
        <v>370</v>
      </c>
      <c r="U31" s="2">
        <v>46066</v>
      </c>
      <c r="V31" t="s">
        <v>98</v>
      </c>
      <c r="W31" t="s">
        <v>83</v>
      </c>
      <c r="X31" t="s">
        <v>84</v>
      </c>
      <c r="Y31" t="s">
        <v>14</v>
      </c>
      <c r="Z31" t="s">
        <v>291</v>
      </c>
      <c r="AA31" t="s">
        <v>86</v>
      </c>
      <c r="AB31" t="s">
        <v>87</v>
      </c>
      <c r="AD31" s="3">
        <v>1141000001</v>
      </c>
      <c r="AE31" t="s">
        <v>474</v>
      </c>
      <c r="AF31" t="s">
        <v>420</v>
      </c>
      <c r="AG31" t="s">
        <v>372</v>
      </c>
      <c r="AH31">
        <v>4</v>
      </c>
      <c r="AI31" s="2">
        <v>46066</v>
      </c>
      <c r="AK31" t="s">
        <v>91</v>
      </c>
      <c r="AQ31" t="s">
        <v>575</v>
      </c>
      <c r="AR31" t="s">
        <v>576</v>
      </c>
      <c r="AS31" t="s">
        <v>94</v>
      </c>
      <c r="AT31" t="s">
        <v>95</v>
      </c>
      <c r="AU31" t="s">
        <v>96</v>
      </c>
      <c r="AV31" t="s">
        <v>577</v>
      </c>
      <c r="AW31" t="s">
        <v>420</v>
      </c>
      <c r="AX31" t="s">
        <v>82</v>
      </c>
      <c r="AY31" t="s">
        <v>372</v>
      </c>
      <c r="AZ31" s="2">
        <v>46111</v>
      </c>
      <c r="BA31" t="s">
        <v>99</v>
      </c>
      <c r="BB31" s="4">
        <v>46127.455590277779</v>
      </c>
      <c r="BD31" s="2">
        <v>46134</v>
      </c>
      <c r="BE31" s="2">
        <v>46125</v>
      </c>
      <c r="BF31">
        <v>4</v>
      </c>
      <c r="BG31">
        <v>4</v>
      </c>
      <c r="BH31">
        <v>0</v>
      </c>
      <c r="BI31" s="2">
        <v>46150</v>
      </c>
      <c r="BJ31">
        <v>4</v>
      </c>
      <c r="BK31">
        <v>0</v>
      </c>
      <c r="BL31" s="2">
        <v>46168</v>
      </c>
      <c r="BO31" t="s">
        <v>100</v>
      </c>
      <c r="BP31" s="5">
        <v>1</v>
      </c>
    </row>
    <row r="32" spans="2:68">
      <c r="B32" t="s">
        <v>196</v>
      </c>
      <c r="C32" t="s">
        <v>140</v>
      </c>
      <c r="D32" t="s">
        <v>70</v>
      </c>
      <c r="E32" t="s">
        <v>71</v>
      </c>
      <c r="F32" t="s">
        <v>72</v>
      </c>
      <c r="G32" t="s">
        <v>73</v>
      </c>
      <c r="H32" s="2">
        <v>46056</v>
      </c>
      <c r="I32" s="2">
        <v>46076</v>
      </c>
      <c r="J32" t="s">
        <v>74</v>
      </c>
      <c r="K32" s="2">
        <v>46065</v>
      </c>
      <c r="L32" t="s">
        <v>75</v>
      </c>
      <c r="M32" t="s">
        <v>76</v>
      </c>
      <c r="N32" t="s">
        <v>77</v>
      </c>
      <c r="O32" t="s">
        <v>496</v>
      </c>
      <c r="P32" t="s">
        <v>497</v>
      </c>
      <c r="Q32">
        <v>8</v>
      </c>
      <c r="R32" t="s">
        <v>115</v>
      </c>
      <c r="S32" t="s">
        <v>116</v>
      </c>
      <c r="T32" t="s">
        <v>370</v>
      </c>
      <c r="U32" s="2">
        <v>46066</v>
      </c>
      <c r="V32" t="s">
        <v>98</v>
      </c>
      <c r="W32" t="s">
        <v>83</v>
      </c>
      <c r="X32" t="s">
        <v>84</v>
      </c>
      <c r="Y32" t="s">
        <v>14</v>
      </c>
      <c r="Z32" t="s">
        <v>291</v>
      </c>
      <c r="AA32" t="s">
        <v>86</v>
      </c>
      <c r="AB32" t="s">
        <v>87</v>
      </c>
      <c r="AD32" s="3">
        <v>1141000003</v>
      </c>
      <c r="AE32" t="s">
        <v>474</v>
      </c>
      <c r="AF32" t="s">
        <v>259</v>
      </c>
      <c r="AG32" t="s">
        <v>372</v>
      </c>
      <c r="AH32">
        <v>8</v>
      </c>
      <c r="AI32" s="2">
        <v>46066</v>
      </c>
      <c r="AK32" t="s">
        <v>91</v>
      </c>
      <c r="AQ32" t="s">
        <v>575</v>
      </c>
      <c r="AR32" t="s">
        <v>576</v>
      </c>
      <c r="AS32" t="s">
        <v>94</v>
      </c>
      <c r="AT32" t="s">
        <v>95</v>
      </c>
      <c r="AU32" t="s">
        <v>96</v>
      </c>
      <c r="AV32" t="s">
        <v>577</v>
      </c>
      <c r="AW32" t="s">
        <v>259</v>
      </c>
      <c r="AX32" t="s">
        <v>82</v>
      </c>
      <c r="AY32" t="s">
        <v>372</v>
      </c>
      <c r="AZ32" s="2">
        <v>46111</v>
      </c>
      <c r="BA32" t="s">
        <v>99</v>
      </c>
      <c r="BB32" s="4">
        <v>46127.455590277779</v>
      </c>
      <c r="BD32" s="2">
        <v>46134</v>
      </c>
      <c r="BE32" s="2">
        <v>46139</v>
      </c>
      <c r="BF32">
        <v>8</v>
      </c>
      <c r="BH32">
        <v>8</v>
      </c>
      <c r="BK32">
        <v>8</v>
      </c>
      <c r="BL32" s="2"/>
      <c r="BO32" t="s">
        <v>227</v>
      </c>
      <c r="BP32" s="5">
        <v>1</v>
      </c>
    </row>
    <row r="33" spans="2:68">
      <c r="B33" t="s">
        <v>217</v>
      </c>
      <c r="C33" t="s">
        <v>178</v>
      </c>
      <c r="D33" t="s">
        <v>70</v>
      </c>
      <c r="E33" t="s">
        <v>71</v>
      </c>
      <c r="F33" t="s">
        <v>72</v>
      </c>
      <c r="G33" t="s">
        <v>73</v>
      </c>
      <c r="H33" s="2">
        <v>45902</v>
      </c>
      <c r="I33" s="2">
        <v>45909</v>
      </c>
      <c r="J33" t="s">
        <v>74</v>
      </c>
      <c r="K33" s="2">
        <v>45903</v>
      </c>
      <c r="L33" t="s">
        <v>75</v>
      </c>
      <c r="M33" t="s">
        <v>76</v>
      </c>
      <c r="N33" t="s">
        <v>77</v>
      </c>
      <c r="O33" t="s">
        <v>492</v>
      </c>
      <c r="P33" t="s">
        <v>493</v>
      </c>
      <c r="Q33">
        <v>6</v>
      </c>
      <c r="R33" t="s">
        <v>115</v>
      </c>
      <c r="S33" t="s">
        <v>116</v>
      </c>
      <c r="U33" s="2"/>
      <c r="V33" t="s">
        <v>98</v>
      </c>
      <c r="W33" t="s">
        <v>83</v>
      </c>
      <c r="X33" t="s">
        <v>84</v>
      </c>
      <c r="Y33" t="s">
        <v>14</v>
      </c>
      <c r="Z33" t="s">
        <v>291</v>
      </c>
      <c r="AA33" t="s">
        <v>86</v>
      </c>
      <c r="AB33" t="s">
        <v>87</v>
      </c>
      <c r="AD33" s="3">
        <v>1141000003</v>
      </c>
      <c r="AI33" s="2"/>
      <c r="AX33" t="s">
        <v>175</v>
      </c>
      <c r="AZ33" s="2"/>
      <c r="BB33" s="4"/>
      <c r="BD33" s="2"/>
      <c r="BE33" s="2"/>
      <c r="BL33" s="2"/>
      <c r="BO33" t="s">
        <v>176</v>
      </c>
      <c r="BP33" s="5">
        <v>1</v>
      </c>
    </row>
    <row r="34" spans="2:68">
      <c r="B34" t="s">
        <v>234</v>
      </c>
      <c r="C34" t="s">
        <v>178</v>
      </c>
      <c r="D34" t="s">
        <v>70</v>
      </c>
      <c r="E34" t="s">
        <v>71</v>
      </c>
      <c r="F34" t="s">
        <v>72</v>
      </c>
      <c r="G34" t="s">
        <v>73</v>
      </c>
      <c r="H34" s="2">
        <v>46045</v>
      </c>
      <c r="I34" s="2">
        <v>46052</v>
      </c>
      <c r="J34" t="s">
        <v>74</v>
      </c>
      <c r="K34" s="2">
        <v>46045</v>
      </c>
      <c r="L34" t="s">
        <v>75</v>
      </c>
      <c r="M34" t="s">
        <v>76</v>
      </c>
      <c r="N34" t="s">
        <v>77</v>
      </c>
      <c r="O34" t="s">
        <v>492</v>
      </c>
      <c r="P34" t="s">
        <v>493</v>
      </c>
      <c r="Q34">
        <v>15</v>
      </c>
      <c r="R34" t="s">
        <v>115</v>
      </c>
      <c r="S34" t="s">
        <v>116</v>
      </c>
      <c r="T34" t="s">
        <v>370</v>
      </c>
      <c r="U34" s="2">
        <v>46050</v>
      </c>
      <c r="V34" t="s">
        <v>98</v>
      </c>
      <c r="W34" t="s">
        <v>83</v>
      </c>
      <c r="X34" t="s">
        <v>84</v>
      </c>
      <c r="Y34" t="s">
        <v>14</v>
      </c>
      <c r="Z34" t="s">
        <v>291</v>
      </c>
      <c r="AA34" t="s">
        <v>86</v>
      </c>
      <c r="AB34" t="s">
        <v>87</v>
      </c>
      <c r="AD34" s="3">
        <v>1141000003</v>
      </c>
      <c r="AE34" t="s">
        <v>495</v>
      </c>
      <c r="AF34" t="s">
        <v>69</v>
      </c>
      <c r="AG34" t="s">
        <v>372</v>
      </c>
      <c r="AH34">
        <v>15</v>
      </c>
      <c r="AI34" s="2">
        <v>46050</v>
      </c>
      <c r="AK34" t="s">
        <v>91</v>
      </c>
      <c r="AQ34" t="s">
        <v>578</v>
      </c>
      <c r="AR34" t="s">
        <v>579</v>
      </c>
      <c r="AS34" t="s">
        <v>94</v>
      </c>
      <c r="AT34" t="s">
        <v>95</v>
      </c>
      <c r="AU34" t="s">
        <v>96</v>
      </c>
      <c r="AV34" t="s">
        <v>580</v>
      </c>
      <c r="AW34" t="s">
        <v>69</v>
      </c>
      <c r="AX34" t="s">
        <v>82</v>
      </c>
      <c r="AY34" t="s">
        <v>372</v>
      </c>
      <c r="AZ34" s="2">
        <v>46113</v>
      </c>
      <c r="BA34" t="s">
        <v>99</v>
      </c>
      <c r="BB34" s="4">
        <v>46119.395613425928</v>
      </c>
      <c r="BD34" s="2">
        <v>46125</v>
      </c>
      <c r="BE34" s="2">
        <v>46132</v>
      </c>
      <c r="BF34">
        <v>15</v>
      </c>
      <c r="BG34">
        <v>15</v>
      </c>
      <c r="BH34">
        <v>0</v>
      </c>
      <c r="BI34">
        <v>46197</v>
      </c>
      <c r="BJ34">
        <v>15</v>
      </c>
      <c r="BK34">
        <v>0</v>
      </c>
      <c r="BL34" s="2">
        <v>46197</v>
      </c>
      <c r="BO34" t="s">
        <v>100</v>
      </c>
      <c r="BP34" s="5">
        <v>1</v>
      </c>
    </row>
    <row r="35" spans="2:68">
      <c r="B35" t="s">
        <v>795</v>
      </c>
      <c r="C35" t="s">
        <v>109</v>
      </c>
      <c r="D35" t="s">
        <v>70</v>
      </c>
      <c r="E35" t="s">
        <v>71</v>
      </c>
      <c r="F35" t="s">
        <v>72</v>
      </c>
      <c r="G35" t="s">
        <v>727</v>
      </c>
      <c r="H35" s="2">
        <v>46190</v>
      </c>
      <c r="I35" s="2">
        <v>46218</v>
      </c>
      <c r="J35" t="s">
        <v>74</v>
      </c>
      <c r="K35" s="2">
        <v>46190</v>
      </c>
      <c r="L35" t="s">
        <v>75</v>
      </c>
      <c r="M35" t="s">
        <v>76</v>
      </c>
      <c r="N35" t="s">
        <v>77</v>
      </c>
      <c r="O35" t="s">
        <v>492</v>
      </c>
      <c r="P35" t="s">
        <v>493</v>
      </c>
      <c r="Q35">
        <v>10</v>
      </c>
      <c r="R35" t="s">
        <v>115</v>
      </c>
      <c r="S35" t="s">
        <v>116</v>
      </c>
      <c r="T35" t="s">
        <v>119</v>
      </c>
      <c r="U35" s="2">
        <v>46198</v>
      </c>
      <c r="V35" t="s">
        <v>98</v>
      </c>
      <c r="W35" t="s">
        <v>83</v>
      </c>
      <c r="X35" t="s">
        <v>84</v>
      </c>
      <c r="Y35" t="s">
        <v>14</v>
      </c>
      <c r="Z35" t="s">
        <v>291</v>
      </c>
      <c r="AA35" t="s">
        <v>86</v>
      </c>
      <c r="AB35" t="s">
        <v>87</v>
      </c>
      <c r="AD35" s="3">
        <v>1141000003</v>
      </c>
      <c r="AE35" t="s">
        <v>796</v>
      </c>
      <c r="AF35" t="s">
        <v>537</v>
      </c>
      <c r="AG35" t="s">
        <v>734</v>
      </c>
      <c r="AH35">
        <v>10</v>
      </c>
      <c r="AI35" s="2">
        <v>46198</v>
      </c>
      <c r="AX35" t="s">
        <v>175</v>
      </c>
      <c r="AZ35" s="2"/>
      <c r="BB35" s="4"/>
      <c r="BD35" s="2"/>
      <c r="BE35" s="2"/>
      <c r="BI35" s="2"/>
      <c r="BL35" s="2"/>
      <c r="BO35" t="s">
        <v>203</v>
      </c>
      <c r="BP35" s="5">
        <v>1</v>
      </c>
    </row>
    <row r="36" spans="2:68">
      <c r="B36" t="s">
        <v>196</v>
      </c>
      <c r="C36" t="s">
        <v>222</v>
      </c>
      <c r="D36" t="s">
        <v>70</v>
      </c>
      <c r="E36" t="s">
        <v>71</v>
      </c>
      <c r="F36" t="s">
        <v>72</v>
      </c>
      <c r="G36" t="s">
        <v>73</v>
      </c>
      <c r="H36" s="2">
        <v>46056</v>
      </c>
      <c r="I36" s="2">
        <v>46076</v>
      </c>
      <c r="J36" t="s">
        <v>74</v>
      </c>
      <c r="K36" s="2">
        <v>46065</v>
      </c>
      <c r="L36" t="s">
        <v>75</v>
      </c>
      <c r="M36" t="s">
        <v>76</v>
      </c>
      <c r="N36" t="s">
        <v>77</v>
      </c>
      <c r="O36" t="s">
        <v>490</v>
      </c>
      <c r="P36" t="s">
        <v>491</v>
      </c>
      <c r="Q36">
        <v>10</v>
      </c>
      <c r="R36" t="s">
        <v>115</v>
      </c>
      <c r="S36" t="s">
        <v>116</v>
      </c>
      <c r="T36" t="s">
        <v>370</v>
      </c>
      <c r="U36" s="2">
        <v>46066</v>
      </c>
      <c r="V36" t="s">
        <v>98</v>
      </c>
      <c r="W36" t="s">
        <v>83</v>
      </c>
      <c r="X36" t="s">
        <v>84</v>
      </c>
      <c r="Y36" t="s">
        <v>14</v>
      </c>
      <c r="Z36" t="s">
        <v>291</v>
      </c>
      <c r="AA36" t="s">
        <v>86</v>
      </c>
      <c r="AB36" t="s">
        <v>87</v>
      </c>
      <c r="AD36" s="3">
        <v>1141000001</v>
      </c>
      <c r="AE36" t="s">
        <v>474</v>
      </c>
      <c r="AF36" t="s">
        <v>346</v>
      </c>
      <c r="AG36" t="s">
        <v>372</v>
      </c>
      <c r="AH36">
        <v>10</v>
      </c>
      <c r="AI36" s="2">
        <v>46066</v>
      </c>
      <c r="AK36" t="s">
        <v>91</v>
      </c>
      <c r="AQ36" t="s">
        <v>575</v>
      </c>
      <c r="AR36" t="s">
        <v>576</v>
      </c>
      <c r="AS36" t="s">
        <v>94</v>
      </c>
      <c r="AT36" t="s">
        <v>95</v>
      </c>
      <c r="AU36" t="s">
        <v>96</v>
      </c>
      <c r="AV36" t="s">
        <v>577</v>
      </c>
      <c r="AW36" t="s">
        <v>346</v>
      </c>
      <c r="AX36" t="s">
        <v>82</v>
      </c>
      <c r="AY36" t="s">
        <v>372</v>
      </c>
      <c r="AZ36" s="2">
        <v>46111</v>
      </c>
      <c r="BA36" t="s">
        <v>99</v>
      </c>
      <c r="BB36" s="4">
        <v>46127.455590277779</v>
      </c>
      <c r="BD36" s="2">
        <v>46134</v>
      </c>
      <c r="BE36" s="2">
        <v>46139</v>
      </c>
      <c r="BF36">
        <v>10</v>
      </c>
      <c r="BG36">
        <v>10</v>
      </c>
      <c r="BH36">
        <v>0</v>
      </c>
      <c r="BI36" s="2">
        <v>46150</v>
      </c>
      <c r="BJ36">
        <v>10</v>
      </c>
      <c r="BK36">
        <v>0</v>
      </c>
      <c r="BL36" s="2">
        <v>46168</v>
      </c>
      <c r="BO36" t="s">
        <v>100</v>
      </c>
      <c r="BP36" s="5">
        <v>1</v>
      </c>
    </row>
    <row r="37" spans="2:68">
      <c r="B37" t="s">
        <v>196</v>
      </c>
      <c r="C37" t="s">
        <v>259</v>
      </c>
      <c r="D37" t="s">
        <v>70</v>
      </c>
      <c r="E37" t="s">
        <v>71</v>
      </c>
      <c r="F37" t="s">
        <v>72</v>
      </c>
      <c r="G37" t="s">
        <v>73</v>
      </c>
      <c r="H37" s="2">
        <v>46056</v>
      </c>
      <c r="I37" s="2">
        <v>46076</v>
      </c>
      <c r="J37" t="s">
        <v>74</v>
      </c>
      <c r="K37" s="2">
        <v>46065</v>
      </c>
      <c r="L37" t="s">
        <v>75</v>
      </c>
      <c r="M37" t="s">
        <v>76</v>
      </c>
      <c r="N37" t="s">
        <v>77</v>
      </c>
      <c r="O37" t="s">
        <v>488</v>
      </c>
      <c r="P37" t="s">
        <v>489</v>
      </c>
      <c r="Q37">
        <v>5</v>
      </c>
      <c r="R37" t="s">
        <v>115</v>
      </c>
      <c r="S37" t="s">
        <v>116</v>
      </c>
      <c r="T37" t="s">
        <v>370</v>
      </c>
      <c r="U37" s="2">
        <v>46066</v>
      </c>
      <c r="V37" t="s">
        <v>98</v>
      </c>
      <c r="W37" t="s">
        <v>83</v>
      </c>
      <c r="X37" t="s">
        <v>84</v>
      </c>
      <c r="Y37" t="s">
        <v>14</v>
      </c>
      <c r="Z37" t="s">
        <v>291</v>
      </c>
      <c r="AA37" t="s">
        <v>86</v>
      </c>
      <c r="AB37" t="s">
        <v>87</v>
      </c>
      <c r="AD37" s="3">
        <v>1141000001</v>
      </c>
      <c r="AE37" t="s">
        <v>474</v>
      </c>
      <c r="AF37" t="s">
        <v>262</v>
      </c>
      <c r="AG37" t="s">
        <v>372</v>
      </c>
      <c r="AH37">
        <v>5</v>
      </c>
      <c r="AI37" s="2">
        <v>46066</v>
      </c>
      <c r="AK37" t="s">
        <v>91</v>
      </c>
      <c r="AQ37" t="s">
        <v>575</v>
      </c>
      <c r="AR37" t="s">
        <v>576</v>
      </c>
      <c r="AS37" t="s">
        <v>94</v>
      </c>
      <c r="AT37" t="s">
        <v>95</v>
      </c>
      <c r="AU37" t="s">
        <v>96</v>
      </c>
      <c r="AV37" t="s">
        <v>577</v>
      </c>
      <c r="AW37" t="s">
        <v>262</v>
      </c>
      <c r="AX37" t="s">
        <v>82</v>
      </c>
      <c r="AY37" t="s">
        <v>372</v>
      </c>
      <c r="AZ37" s="2">
        <v>46111</v>
      </c>
      <c r="BA37" t="s">
        <v>99</v>
      </c>
      <c r="BB37" s="4">
        <v>46127.455590277779</v>
      </c>
      <c r="BD37" s="2">
        <v>46134</v>
      </c>
      <c r="BE37" s="2">
        <v>46139</v>
      </c>
      <c r="BF37">
        <v>5</v>
      </c>
      <c r="BG37">
        <v>5</v>
      </c>
      <c r="BH37">
        <v>0</v>
      </c>
      <c r="BI37" s="2">
        <v>46150</v>
      </c>
      <c r="BJ37">
        <v>5</v>
      </c>
      <c r="BK37">
        <v>0</v>
      </c>
      <c r="BL37" s="2">
        <v>46168</v>
      </c>
      <c r="BO37" t="s">
        <v>100</v>
      </c>
      <c r="BP37" s="5">
        <v>1</v>
      </c>
    </row>
    <row r="38" spans="2:68">
      <c r="B38" t="s">
        <v>196</v>
      </c>
      <c r="C38" t="s">
        <v>262</v>
      </c>
      <c r="D38" t="s">
        <v>70</v>
      </c>
      <c r="E38" t="s">
        <v>71</v>
      </c>
      <c r="F38" t="s">
        <v>72</v>
      </c>
      <c r="G38" t="s">
        <v>73</v>
      </c>
      <c r="H38" s="2">
        <v>46056</v>
      </c>
      <c r="I38" s="2">
        <v>46076</v>
      </c>
      <c r="J38" t="s">
        <v>74</v>
      </c>
      <c r="K38" s="2">
        <v>46065</v>
      </c>
      <c r="L38" t="s">
        <v>75</v>
      </c>
      <c r="M38" t="s">
        <v>76</v>
      </c>
      <c r="N38" t="s">
        <v>77</v>
      </c>
      <c r="O38" t="s">
        <v>486</v>
      </c>
      <c r="P38" t="s">
        <v>487</v>
      </c>
      <c r="Q38">
        <v>5</v>
      </c>
      <c r="R38" t="s">
        <v>115</v>
      </c>
      <c r="S38" t="s">
        <v>116</v>
      </c>
      <c r="T38" t="s">
        <v>370</v>
      </c>
      <c r="U38" s="2">
        <v>46066</v>
      </c>
      <c r="V38" t="s">
        <v>98</v>
      </c>
      <c r="W38" t="s">
        <v>83</v>
      </c>
      <c r="X38" t="s">
        <v>84</v>
      </c>
      <c r="Y38" t="s">
        <v>14</v>
      </c>
      <c r="Z38" t="s">
        <v>291</v>
      </c>
      <c r="AA38" t="s">
        <v>86</v>
      </c>
      <c r="AB38" t="s">
        <v>87</v>
      </c>
      <c r="AD38" s="3">
        <v>1141000001</v>
      </c>
      <c r="AE38" t="s">
        <v>474</v>
      </c>
      <c r="AF38" t="s">
        <v>178</v>
      </c>
      <c r="AG38" t="s">
        <v>372</v>
      </c>
      <c r="AH38">
        <v>5</v>
      </c>
      <c r="AI38" s="2">
        <v>46066</v>
      </c>
      <c r="AK38" t="s">
        <v>91</v>
      </c>
      <c r="AQ38" t="s">
        <v>575</v>
      </c>
      <c r="AR38" t="s">
        <v>576</v>
      </c>
      <c r="AS38" t="s">
        <v>94</v>
      </c>
      <c r="AT38" t="s">
        <v>95</v>
      </c>
      <c r="AU38" t="s">
        <v>96</v>
      </c>
      <c r="AV38" t="s">
        <v>577</v>
      </c>
      <c r="AW38" t="s">
        <v>178</v>
      </c>
      <c r="AX38" t="s">
        <v>82</v>
      </c>
      <c r="AY38" t="s">
        <v>372</v>
      </c>
      <c r="AZ38" s="2">
        <v>46111</v>
      </c>
      <c r="BA38" t="s">
        <v>99</v>
      </c>
      <c r="BB38" s="4">
        <v>46127.455590277779</v>
      </c>
      <c r="BD38" s="2">
        <v>46134</v>
      </c>
      <c r="BE38" s="2">
        <v>46139</v>
      </c>
      <c r="BF38">
        <v>5</v>
      </c>
      <c r="BG38">
        <v>5</v>
      </c>
      <c r="BH38">
        <v>0</v>
      </c>
      <c r="BI38" s="2">
        <v>46150</v>
      </c>
      <c r="BJ38">
        <v>5</v>
      </c>
      <c r="BK38">
        <v>0</v>
      </c>
      <c r="BL38" s="2">
        <v>46168</v>
      </c>
      <c r="BO38" t="s">
        <v>100</v>
      </c>
      <c r="BP38" s="5">
        <v>1</v>
      </c>
    </row>
    <row r="39" spans="2:68">
      <c r="B39" t="s">
        <v>196</v>
      </c>
      <c r="C39" t="s">
        <v>143</v>
      </c>
      <c r="D39" t="s">
        <v>70</v>
      </c>
      <c r="E39" t="s">
        <v>71</v>
      </c>
      <c r="F39" t="s">
        <v>72</v>
      </c>
      <c r="G39" t="s">
        <v>73</v>
      </c>
      <c r="H39" s="2">
        <v>46056</v>
      </c>
      <c r="I39" s="2">
        <v>46076</v>
      </c>
      <c r="J39" t="s">
        <v>74</v>
      </c>
      <c r="K39" s="2">
        <v>46065</v>
      </c>
      <c r="L39" t="s">
        <v>75</v>
      </c>
      <c r="M39" t="s">
        <v>76</v>
      </c>
      <c r="N39" t="s">
        <v>77</v>
      </c>
      <c r="O39" t="s">
        <v>484</v>
      </c>
      <c r="P39" t="s">
        <v>485</v>
      </c>
      <c r="Q39">
        <v>4</v>
      </c>
      <c r="R39" t="s">
        <v>115</v>
      </c>
      <c r="S39" t="s">
        <v>116</v>
      </c>
      <c r="T39" t="s">
        <v>370</v>
      </c>
      <c r="U39" s="2">
        <v>46066</v>
      </c>
      <c r="V39" t="s">
        <v>98</v>
      </c>
      <c r="W39" t="s">
        <v>83</v>
      </c>
      <c r="X39" t="s">
        <v>84</v>
      </c>
      <c r="Y39" t="s">
        <v>14</v>
      </c>
      <c r="Z39" t="s">
        <v>291</v>
      </c>
      <c r="AA39" t="s">
        <v>86</v>
      </c>
      <c r="AB39" t="s">
        <v>87</v>
      </c>
      <c r="AD39" s="3">
        <v>1141000001</v>
      </c>
      <c r="AE39" t="s">
        <v>474</v>
      </c>
      <c r="AF39" t="s">
        <v>143</v>
      </c>
      <c r="AG39" t="s">
        <v>372</v>
      </c>
      <c r="AH39">
        <v>4</v>
      </c>
      <c r="AI39" s="2">
        <v>46066</v>
      </c>
      <c r="AK39" t="s">
        <v>91</v>
      </c>
      <c r="AQ39" t="s">
        <v>575</v>
      </c>
      <c r="AR39" t="s">
        <v>576</v>
      </c>
      <c r="AS39" t="s">
        <v>94</v>
      </c>
      <c r="AT39" t="s">
        <v>95</v>
      </c>
      <c r="AU39" t="s">
        <v>96</v>
      </c>
      <c r="AV39" t="s">
        <v>577</v>
      </c>
      <c r="AW39" t="s">
        <v>143</v>
      </c>
      <c r="AX39" t="s">
        <v>82</v>
      </c>
      <c r="AY39" t="s">
        <v>372</v>
      </c>
      <c r="AZ39" s="2">
        <v>46111</v>
      </c>
      <c r="BA39" t="s">
        <v>99</v>
      </c>
      <c r="BB39" s="4">
        <v>46127.455590277779</v>
      </c>
      <c r="BD39" s="2">
        <v>46134</v>
      </c>
      <c r="BE39" s="2">
        <v>46139</v>
      </c>
      <c r="BF39">
        <v>4</v>
      </c>
      <c r="BG39">
        <v>4</v>
      </c>
      <c r="BH39">
        <v>0</v>
      </c>
      <c r="BI39">
        <v>46150</v>
      </c>
      <c r="BJ39">
        <v>4</v>
      </c>
      <c r="BK39">
        <v>0</v>
      </c>
      <c r="BL39" s="2">
        <v>46168</v>
      </c>
      <c r="BO39" t="s">
        <v>100</v>
      </c>
      <c r="BP39" s="5">
        <v>1</v>
      </c>
    </row>
    <row r="40" spans="2:68">
      <c r="B40" t="s">
        <v>144</v>
      </c>
      <c r="C40" t="s">
        <v>69</v>
      </c>
      <c r="D40" t="s">
        <v>70</v>
      </c>
      <c r="E40" t="s">
        <v>71</v>
      </c>
      <c r="F40" t="s">
        <v>72</v>
      </c>
      <c r="G40" t="s">
        <v>73</v>
      </c>
      <c r="H40" s="2">
        <v>45922</v>
      </c>
      <c r="I40" s="2">
        <v>45929</v>
      </c>
      <c r="J40" t="s">
        <v>74</v>
      </c>
      <c r="K40" s="2">
        <v>45922</v>
      </c>
      <c r="L40" t="s">
        <v>75</v>
      </c>
      <c r="M40" t="s">
        <v>76</v>
      </c>
      <c r="N40" t="s">
        <v>77</v>
      </c>
      <c r="O40" t="s">
        <v>477</v>
      </c>
      <c r="P40" t="s">
        <v>478</v>
      </c>
      <c r="Q40">
        <v>3</v>
      </c>
      <c r="R40" t="s">
        <v>115</v>
      </c>
      <c r="S40" t="s">
        <v>116</v>
      </c>
      <c r="T40" t="s">
        <v>290</v>
      </c>
      <c r="U40" s="2">
        <v>45924</v>
      </c>
      <c r="V40" t="s">
        <v>98</v>
      </c>
      <c r="W40" t="s">
        <v>83</v>
      </c>
      <c r="X40" t="s">
        <v>84</v>
      </c>
      <c r="Y40" t="s">
        <v>14</v>
      </c>
      <c r="Z40" t="s">
        <v>291</v>
      </c>
      <c r="AA40" t="s">
        <v>86</v>
      </c>
      <c r="AB40" t="s">
        <v>87</v>
      </c>
      <c r="AD40" s="3">
        <v>1141000001</v>
      </c>
      <c r="AE40" t="s">
        <v>479</v>
      </c>
      <c r="AF40" t="s">
        <v>69</v>
      </c>
      <c r="AG40" t="s">
        <v>293</v>
      </c>
      <c r="AH40">
        <v>3</v>
      </c>
      <c r="AI40" s="2">
        <v>45924</v>
      </c>
      <c r="AK40" t="s">
        <v>91</v>
      </c>
      <c r="AQ40" t="s">
        <v>480</v>
      </c>
      <c r="AR40" t="s">
        <v>481</v>
      </c>
      <c r="AS40" t="s">
        <v>94</v>
      </c>
      <c r="AT40" t="s">
        <v>95</v>
      </c>
      <c r="AU40" t="s">
        <v>96</v>
      </c>
      <c r="AV40" t="s">
        <v>482</v>
      </c>
      <c r="AW40" t="s">
        <v>69</v>
      </c>
      <c r="AX40" t="s">
        <v>82</v>
      </c>
      <c r="AY40" t="s">
        <v>293</v>
      </c>
      <c r="AZ40" s="2">
        <v>45933</v>
      </c>
      <c r="BA40" t="s">
        <v>99</v>
      </c>
      <c r="BB40" s="4">
        <v>45947.698680555557</v>
      </c>
      <c r="BD40" s="2">
        <v>45950</v>
      </c>
      <c r="BE40" s="2">
        <v>45978</v>
      </c>
      <c r="BF40">
        <v>3</v>
      </c>
      <c r="BH40">
        <v>3</v>
      </c>
      <c r="BI40" s="2"/>
      <c r="BK40">
        <v>3</v>
      </c>
      <c r="BL40" s="2"/>
      <c r="BO40" t="s">
        <v>483</v>
      </c>
      <c r="BP40" s="5">
        <v>1</v>
      </c>
    </row>
    <row r="41" spans="2:68">
      <c r="B41" t="s">
        <v>196</v>
      </c>
      <c r="C41" t="s">
        <v>69</v>
      </c>
      <c r="D41" t="s">
        <v>70</v>
      </c>
      <c r="E41" t="s">
        <v>71</v>
      </c>
      <c r="F41" t="s">
        <v>72</v>
      </c>
      <c r="G41" t="s">
        <v>73</v>
      </c>
      <c r="H41" s="2">
        <v>46056</v>
      </c>
      <c r="I41" s="2">
        <v>46076</v>
      </c>
      <c r="J41" t="s">
        <v>74</v>
      </c>
      <c r="K41" s="2">
        <v>46065</v>
      </c>
      <c r="L41" t="s">
        <v>75</v>
      </c>
      <c r="M41" t="s">
        <v>76</v>
      </c>
      <c r="N41" t="s">
        <v>77</v>
      </c>
      <c r="O41" t="s">
        <v>475</v>
      </c>
      <c r="P41" t="s">
        <v>476</v>
      </c>
      <c r="Q41">
        <v>4</v>
      </c>
      <c r="R41" t="s">
        <v>115</v>
      </c>
      <c r="S41" t="s">
        <v>116</v>
      </c>
      <c r="T41" t="s">
        <v>370</v>
      </c>
      <c r="U41" s="2">
        <v>46066</v>
      </c>
      <c r="V41" t="s">
        <v>98</v>
      </c>
      <c r="W41" t="s">
        <v>83</v>
      </c>
      <c r="X41" t="s">
        <v>84</v>
      </c>
      <c r="Y41" t="s">
        <v>14</v>
      </c>
      <c r="Z41" t="s">
        <v>291</v>
      </c>
      <c r="AA41" t="s">
        <v>86</v>
      </c>
      <c r="AB41" t="s">
        <v>87</v>
      </c>
      <c r="AD41" s="3">
        <v>1141000001</v>
      </c>
      <c r="AE41" t="s">
        <v>474</v>
      </c>
      <c r="AF41" t="s">
        <v>69</v>
      </c>
      <c r="AG41" t="s">
        <v>372</v>
      </c>
      <c r="AH41">
        <v>4</v>
      </c>
      <c r="AI41" s="2">
        <v>46066</v>
      </c>
      <c r="AK41" t="s">
        <v>91</v>
      </c>
      <c r="AQ41" t="s">
        <v>575</v>
      </c>
      <c r="AR41" t="s">
        <v>576</v>
      </c>
      <c r="AS41" t="s">
        <v>94</v>
      </c>
      <c r="AT41" t="s">
        <v>95</v>
      </c>
      <c r="AU41" t="s">
        <v>96</v>
      </c>
      <c r="AV41" t="s">
        <v>577</v>
      </c>
      <c r="AW41" t="s">
        <v>69</v>
      </c>
      <c r="AX41" t="s">
        <v>82</v>
      </c>
      <c r="AY41" t="s">
        <v>372</v>
      </c>
      <c r="AZ41" s="2">
        <v>46111</v>
      </c>
      <c r="BA41" t="s">
        <v>99</v>
      </c>
      <c r="BB41" s="4">
        <v>46127.455590277779</v>
      </c>
      <c r="BD41" s="2">
        <v>46134</v>
      </c>
      <c r="BE41" s="2">
        <v>46139</v>
      </c>
      <c r="BF41">
        <v>4</v>
      </c>
      <c r="BG41">
        <v>4</v>
      </c>
      <c r="BH41">
        <v>0</v>
      </c>
      <c r="BI41" s="2">
        <v>46150</v>
      </c>
      <c r="BJ41">
        <v>4</v>
      </c>
      <c r="BK41">
        <v>0</v>
      </c>
      <c r="BL41" s="2">
        <v>46168</v>
      </c>
      <c r="BO41" t="s">
        <v>100</v>
      </c>
      <c r="BP41" s="5">
        <v>1</v>
      </c>
    </row>
    <row r="42" spans="2:68">
      <c r="B42" t="s">
        <v>196</v>
      </c>
      <c r="C42" t="s">
        <v>109</v>
      </c>
      <c r="D42" t="s">
        <v>70</v>
      </c>
      <c r="E42" t="s">
        <v>71</v>
      </c>
      <c r="F42" t="s">
        <v>72</v>
      </c>
      <c r="G42" t="s">
        <v>73</v>
      </c>
      <c r="H42" s="2">
        <v>46056</v>
      </c>
      <c r="I42" s="2">
        <v>46076</v>
      </c>
      <c r="J42" t="s">
        <v>74</v>
      </c>
      <c r="K42" s="2">
        <v>46065</v>
      </c>
      <c r="L42" t="s">
        <v>75</v>
      </c>
      <c r="M42" t="s">
        <v>76</v>
      </c>
      <c r="N42" t="s">
        <v>77</v>
      </c>
      <c r="O42" t="s">
        <v>472</v>
      </c>
      <c r="P42" t="s">
        <v>473</v>
      </c>
      <c r="Q42">
        <v>4</v>
      </c>
      <c r="R42" t="s">
        <v>115</v>
      </c>
      <c r="S42" t="s">
        <v>116</v>
      </c>
      <c r="T42" t="s">
        <v>370</v>
      </c>
      <c r="U42" s="2">
        <v>46066</v>
      </c>
      <c r="V42" t="s">
        <v>98</v>
      </c>
      <c r="W42" t="s">
        <v>83</v>
      </c>
      <c r="X42" t="s">
        <v>84</v>
      </c>
      <c r="Y42" t="s">
        <v>14</v>
      </c>
      <c r="Z42" t="s">
        <v>291</v>
      </c>
      <c r="AA42" t="s">
        <v>86</v>
      </c>
      <c r="AB42" t="s">
        <v>87</v>
      </c>
      <c r="AD42" s="3">
        <v>1141000001</v>
      </c>
      <c r="AE42" t="s">
        <v>474</v>
      </c>
      <c r="AF42" t="s">
        <v>109</v>
      </c>
      <c r="AG42" t="s">
        <v>372</v>
      </c>
      <c r="AH42">
        <v>4</v>
      </c>
      <c r="AI42">
        <v>46066</v>
      </c>
      <c r="AK42" t="s">
        <v>91</v>
      </c>
      <c r="AN42" s="2"/>
      <c r="AQ42" t="s">
        <v>575</v>
      </c>
      <c r="AR42" t="s">
        <v>576</v>
      </c>
      <c r="AS42" t="s">
        <v>94</v>
      </c>
      <c r="AT42" t="s">
        <v>95</v>
      </c>
      <c r="AU42" t="s">
        <v>96</v>
      </c>
      <c r="AV42" t="s">
        <v>577</v>
      </c>
      <c r="AW42" t="s">
        <v>109</v>
      </c>
      <c r="AX42" t="s">
        <v>82</v>
      </c>
      <c r="AY42" t="s">
        <v>372</v>
      </c>
      <c r="AZ42" s="2">
        <v>46111</v>
      </c>
      <c r="BA42" t="s">
        <v>99</v>
      </c>
      <c r="BB42" s="4">
        <v>46127.455590277779</v>
      </c>
      <c r="BD42" s="2">
        <v>46134</v>
      </c>
      <c r="BE42" s="2">
        <v>46139</v>
      </c>
      <c r="BF42">
        <v>4</v>
      </c>
      <c r="BG42">
        <v>4</v>
      </c>
      <c r="BH42">
        <v>0</v>
      </c>
      <c r="BI42">
        <v>46150</v>
      </c>
      <c r="BJ42">
        <v>4</v>
      </c>
      <c r="BK42">
        <v>0</v>
      </c>
      <c r="BL42" s="2">
        <v>46168</v>
      </c>
      <c r="BO42" t="s">
        <v>100</v>
      </c>
      <c r="BP42" s="5">
        <v>1</v>
      </c>
    </row>
    <row r="43" spans="2:68">
      <c r="B43" t="s">
        <v>356</v>
      </c>
      <c r="C43" t="s">
        <v>69</v>
      </c>
      <c r="D43" t="s">
        <v>70</v>
      </c>
      <c r="E43" t="s">
        <v>71</v>
      </c>
      <c r="F43" t="s">
        <v>72</v>
      </c>
      <c r="G43" t="s">
        <v>73</v>
      </c>
      <c r="H43" s="2">
        <v>46063</v>
      </c>
      <c r="I43" s="2">
        <v>46073</v>
      </c>
      <c r="J43" t="s">
        <v>74</v>
      </c>
      <c r="K43" s="2">
        <v>46065</v>
      </c>
      <c r="L43" t="s">
        <v>75</v>
      </c>
      <c r="M43" t="s">
        <v>76</v>
      </c>
      <c r="N43" t="s">
        <v>77</v>
      </c>
      <c r="O43" t="s">
        <v>466</v>
      </c>
      <c r="P43" t="s">
        <v>467</v>
      </c>
      <c r="Q43">
        <v>3</v>
      </c>
      <c r="R43" t="s">
        <v>80</v>
      </c>
      <c r="S43" t="s">
        <v>116</v>
      </c>
      <c r="T43" t="s">
        <v>184</v>
      </c>
      <c r="U43" s="2">
        <v>45880</v>
      </c>
      <c r="V43" t="s">
        <v>98</v>
      </c>
      <c r="W43" t="s">
        <v>35</v>
      </c>
      <c r="X43" t="s">
        <v>84</v>
      </c>
      <c r="Y43" t="s">
        <v>14</v>
      </c>
      <c r="Z43" t="s">
        <v>185</v>
      </c>
      <c r="AA43" t="s">
        <v>86</v>
      </c>
      <c r="AB43" t="s">
        <v>87</v>
      </c>
      <c r="AD43" s="3">
        <v>1141000003</v>
      </c>
      <c r="AI43" s="2"/>
      <c r="AJ43" t="s">
        <v>468</v>
      </c>
      <c r="AK43" t="s">
        <v>192</v>
      </c>
      <c r="AL43" t="s">
        <v>188</v>
      </c>
      <c r="AM43">
        <v>0</v>
      </c>
      <c r="AN43">
        <v>45880</v>
      </c>
      <c r="AO43" t="s">
        <v>99</v>
      </c>
      <c r="AQ43" t="s">
        <v>469</v>
      </c>
      <c r="AR43" t="s">
        <v>470</v>
      </c>
      <c r="AS43" t="s">
        <v>122</v>
      </c>
      <c r="AT43" t="s">
        <v>123</v>
      </c>
      <c r="AU43" t="s">
        <v>124</v>
      </c>
      <c r="AV43" t="s">
        <v>471</v>
      </c>
      <c r="AW43" t="s">
        <v>109</v>
      </c>
      <c r="AX43" t="s">
        <v>82</v>
      </c>
      <c r="AY43" t="s">
        <v>126</v>
      </c>
      <c r="AZ43" s="2">
        <v>46069</v>
      </c>
      <c r="BA43" t="s">
        <v>99</v>
      </c>
      <c r="BB43" s="4">
        <v>46076.425983796296</v>
      </c>
      <c r="BD43" s="2"/>
      <c r="BE43" s="2">
        <v>46113</v>
      </c>
      <c r="BF43">
        <v>3</v>
      </c>
      <c r="BH43">
        <v>3</v>
      </c>
      <c r="BK43">
        <v>3</v>
      </c>
      <c r="BL43" s="2"/>
      <c r="BO43" t="s">
        <v>227</v>
      </c>
      <c r="BP43" s="5">
        <v>1</v>
      </c>
    </row>
    <row r="44" spans="2:68">
      <c r="B44" t="s">
        <v>101</v>
      </c>
      <c r="C44" t="s">
        <v>143</v>
      </c>
      <c r="D44" t="s">
        <v>70</v>
      </c>
      <c r="E44" t="s">
        <v>71</v>
      </c>
      <c r="F44" t="s">
        <v>72</v>
      </c>
      <c r="G44" t="s">
        <v>73</v>
      </c>
      <c r="H44" s="2">
        <v>46073</v>
      </c>
      <c r="I44" s="2">
        <v>46087</v>
      </c>
      <c r="J44" t="s">
        <v>74</v>
      </c>
      <c r="K44" s="2">
        <v>46076</v>
      </c>
      <c r="L44" t="s">
        <v>75</v>
      </c>
      <c r="M44" t="s">
        <v>76</v>
      </c>
      <c r="N44" t="s">
        <v>77</v>
      </c>
      <c r="O44" t="s">
        <v>463</v>
      </c>
      <c r="P44" t="s">
        <v>464</v>
      </c>
      <c r="Q44">
        <v>15</v>
      </c>
      <c r="R44" t="s">
        <v>115</v>
      </c>
      <c r="S44" t="s">
        <v>116</v>
      </c>
      <c r="T44" t="s">
        <v>156</v>
      </c>
      <c r="U44" s="2">
        <v>46080</v>
      </c>
      <c r="V44" t="s">
        <v>175</v>
      </c>
      <c r="W44" t="s">
        <v>83</v>
      </c>
      <c r="X44" t="s">
        <v>84</v>
      </c>
      <c r="Y44" t="s">
        <v>14</v>
      </c>
      <c r="Z44" t="s">
        <v>185</v>
      </c>
      <c r="AA44" t="s">
        <v>86</v>
      </c>
      <c r="AB44" t="s">
        <v>87</v>
      </c>
      <c r="AD44" s="3">
        <v>1141000003</v>
      </c>
      <c r="AE44" t="s">
        <v>465</v>
      </c>
      <c r="AF44" t="s">
        <v>69</v>
      </c>
      <c r="AG44" t="s">
        <v>159</v>
      </c>
      <c r="AH44">
        <v>15</v>
      </c>
      <c r="AI44">
        <v>46080</v>
      </c>
      <c r="AK44" t="s">
        <v>91</v>
      </c>
      <c r="AN44" s="2"/>
      <c r="AQ44" t="s">
        <v>304</v>
      </c>
      <c r="AR44" t="s">
        <v>305</v>
      </c>
      <c r="AS44" t="s">
        <v>94</v>
      </c>
      <c r="AT44" t="s">
        <v>95</v>
      </c>
      <c r="AU44" t="s">
        <v>96</v>
      </c>
      <c r="AV44" t="s">
        <v>581</v>
      </c>
      <c r="AW44" t="s">
        <v>109</v>
      </c>
      <c r="AX44" t="s">
        <v>82</v>
      </c>
      <c r="AY44" t="s">
        <v>159</v>
      </c>
      <c r="AZ44" s="2">
        <v>46126</v>
      </c>
      <c r="BA44" t="s">
        <v>99</v>
      </c>
      <c r="BB44" s="4">
        <v>46127.453275462962</v>
      </c>
      <c r="BD44" s="2">
        <v>46160</v>
      </c>
      <c r="BE44" s="2">
        <v>46195</v>
      </c>
      <c r="BF44">
        <v>15</v>
      </c>
      <c r="BH44">
        <v>15</v>
      </c>
      <c r="BI44" s="2"/>
      <c r="BK44">
        <v>15</v>
      </c>
      <c r="BL44" s="2"/>
      <c r="BO44" t="s">
        <v>227</v>
      </c>
      <c r="BP44" s="5">
        <v>1</v>
      </c>
    </row>
    <row r="45" spans="2:68">
      <c r="B45" t="s">
        <v>356</v>
      </c>
      <c r="C45" t="s">
        <v>262</v>
      </c>
      <c r="D45" t="s">
        <v>70</v>
      </c>
      <c r="E45" t="s">
        <v>71</v>
      </c>
      <c r="F45" t="s">
        <v>72</v>
      </c>
      <c r="G45" t="s">
        <v>73</v>
      </c>
      <c r="H45" s="2">
        <v>46063</v>
      </c>
      <c r="I45" s="2">
        <v>46093</v>
      </c>
      <c r="J45" t="s">
        <v>74</v>
      </c>
      <c r="K45" s="2">
        <v>46065</v>
      </c>
      <c r="L45" t="s">
        <v>75</v>
      </c>
      <c r="M45" t="s">
        <v>76</v>
      </c>
      <c r="N45" t="s">
        <v>77</v>
      </c>
      <c r="O45" t="s">
        <v>459</v>
      </c>
      <c r="P45" t="s">
        <v>460</v>
      </c>
      <c r="Q45">
        <v>15</v>
      </c>
      <c r="R45" t="s">
        <v>80</v>
      </c>
      <c r="S45" t="s">
        <v>116</v>
      </c>
      <c r="T45" t="s">
        <v>184</v>
      </c>
      <c r="U45" s="2">
        <v>45820</v>
      </c>
      <c r="V45" t="s">
        <v>98</v>
      </c>
      <c r="W45" t="s">
        <v>35</v>
      </c>
      <c r="X45" t="s">
        <v>84</v>
      </c>
      <c r="Y45" t="s">
        <v>14</v>
      </c>
      <c r="Z45" t="s">
        <v>185</v>
      </c>
      <c r="AA45" t="s">
        <v>86</v>
      </c>
      <c r="AB45" t="s">
        <v>87</v>
      </c>
      <c r="AD45" s="3">
        <v>1141000003</v>
      </c>
      <c r="AI45" s="2"/>
      <c r="AJ45" t="s">
        <v>349</v>
      </c>
      <c r="AK45" t="s">
        <v>461</v>
      </c>
      <c r="AL45" t="s">
        <v>188</v>
      </c>
      <c r="AM45">
        <v>0</v>
      </c>
      <c r="AN45">
        <v>45820</v>
      </c>
      <c r="AO45" t="s">
        <v>99</v>
      </c>
      <c r="AQ45" t="s">
        <v>240</v>
      </c>
      <c r="AR45" t="s">
        <v>241</v>
      </c>
      <c r="AS45" t="s">
        <v>122</v>
      </c>
      <c r="AT45" t="s">
        <v>123</v>
      </c>
      <c r="AU45" t="s">
        <v>124</v>
      </c>
      <c r="AV45" t="s">
        <v>462</v>
      </c>
      <c r="AW45" t="s">
        <v>109</v>
      </c>
      <c r="AX45" t="s">
        <v>98</v>
      </c>
      <c r="AY45" t="s">
        <v>126</v>
      </c>
      <c r="AZ45">
        <v>46065</v>
      </c>
      <c r="BA45" t="s">
        <v>99</v>
      </c>
      <c r="BB45" s="4">
        <v>46076.432303240741</v>
      </c>
      <c r="BD45" s="2"/>
      <c r="BE45">
        <v>46108</v>
      </c>
      <c r="BF45">
        <v>15</v>
      </c>
      <c r="BG45">
        <v>15</v>
      </c>
      <c r="BH45">
        <v>0</v>
      </c>
      <c r="BI45">
        <v>46105</v>
      </c>
      <c r="BJ45">
        <v>15</v>
      </c>
      <c r="BK45">
        <v>0</v>
      </c>
      <c r="BL45" s="2">
        <v>46105</v>
      </c>
      <c r="BO45" t="s">
        <v>100</v>
      </c>
      <c r="BP45" s="5">
        <v>1</v>
      </c>
    </row>
    <row r="46" spans="2:68">
      <c r="B46" t="s">
        <v>356</v>
      </c>
      <c r="C46" t="s">
        <v>178</v>
      </c>
      <c r="D46" t="s">
        <v>70</v>
      </c>
      <c r="E46" t="s">
        <v>71</v>
      </c>
      <c r="F46" t="s">
        <v>72</v>
      </c>
      <c r="G46" t="s">
        <v>73</v>
      </c>
      <c r="H46" s="2">
        <v>46063</v>
      </c>
      <c r="I46" s="2">
        <v>46125</v>
      </c>
      <c r="J46" t="s">
        <v>74</v>
      </c>
      <c r="K46" s="2">
        <v>46065</v>
      </c>
      <c r="L46" t="s">
        <v>75</v>
      </c>
      <c r="M46" t="s">
        <v>76</v>
      </c>
      <c r="N46" t="s">
        <v>77</v>
      </c>
      <c r="O46" t="s">
        <v>457</v>
      </c>
      <c r="P46" t="s">
        <v>458</v>
      </c>
      <c r="Q46">
        <v>15</v>
      </c>
      <c r="R46" t="s">
        <v>80</v>
      </c>
      <c r="S46" t="s">
        <v>116</v>
      </c>
      <c r="T46" t="s">
        <v>200</v>
      </c>
      <c r="U46" s="2">
        <v>46118</v>
      </c>
      <c r="V46" t="s">
        <v>98</v>
      </c>
      <c r="W46" t="s">
        <v>83</v>
      </c>
      <c r="X46" t="s">
        <v>84</v>
      </c>
      <c r="Y46" t="s">
        <v>14</v>
      </c>
      <c r="Z46" t="s">
        <v>185</v>
      </c>
      <c r="AA46" t="s">
        <v>86</v>
      </c>
      <c r="AB46" t="s">
        <v>87</v>
      </c>
      <c r="AD46" s="3">
        <v>1141000003</v>
      </c>
      <c r="AE46" t="s">
        <v>582</v>
      </c>
      <c r="AF46" t="s">
        <v>69</v>
      </c>
      <c r="AG46" t="s">
        <v>202</v>
      </c>
      <c r="AH46">
        <v>15</v>
      </c>
      <c r="AI46" s="2">
        <v>46118</v>
      </c>
      <c r="AX46" t="s">
        <v>175</v>
      </c>
      <c r="AZ46" s="2"/>
      <c r="BB46" s="4"/>
      <c r="BD46" s="2"/>
      <c r="BE46" s="2"/>
      <c r="BI46" s="2"/>
      <c r="BL46" s="2"/>
      <c r="BO46" t="s">
        <v>176</v>
      </c>
      <c r="BP46" s="5">
        <v>1</v>
      </c>
    </row>
    <row r="47" spans="2:68">
      <c r="B47" t="s">
        <v>144</v>
      </c>
      <c r="C47" t="s">
        <v>284</v>
      </c>
      <c r="D47" t="s">
        <v>70</v>
      </c>
      <c r="E47" t="s">
        <v>71</v>
      </c>
      <c r="F47" t="s">
        <v>72</v>
      </c>
      <c r="G47" t="s">
        <v>73</v>
      </c>
      <c r="H47" s="2">
        <v>45922</v>
      </c>
      <c r="I47" s="2">
        <v>45922</v>
      </c>
      <c r="J47" t="s">
        <v>74</v>
      </c>
      <c r="K47" s="2">
        <v>45922</v>
      </c>
      <c r="L47" t="s">
        <v>75</v>
      </c>
      <c r="M47" t="s">
        <v>76</v>
      </c>
      <c r="N47" t="s">
        <v>77</v>
      </c>
      <c r="O47" t="s">
        <v>454</v>
      </c>
      <c r="P47" t="s">
        <v>455</v>
      </c>
      <c r="Q47">
        <v>50</v>
      </c>
      <c r="R47" t="s">
        <v>115</v>
      </c>
      <c r="S47" t="s">
        <v>116</v>
      </c>
      <c r="T47" t="s">
        <v>290</v>
      </c>
      <c r="U47" s="2">
        <v>45924</v>
      </c>
      <c r="V47" t="s">
        <v>98</v>
      </c>
      <c r="W47" t="s">
        <v>83</v>
      </c>
      <c r="X47" t="s">
        <v>84</v>
      </c>
      <c r="Y47" t="s">
        <v>14</v>
      </c>
      <c r="Z47" t="s">
        <v>291</v>
      </c>
      <c r="AA47" t="s">
        <v>86</v>
      </c>
      <c r="AB47" t="s">
        <v>87</v>
      </c>
      <c r="AD47" s="3">
        <v>1141000003</v>
      </c>
      <c r="AE47" t="s">
        <v>448</v>
      </c>
      <c r="AF47" t="s">
        <v>456</v>
      </c>
      <c r="AG47" t="s">
        <v>293</v>
      </c>
      <c r="AH47">
        <v>50</v>
      </c>
      <c r="AI47" s="2">
        <v>45924</v>
      </c>
      <c r="AK47" t="s">
        <v>91</v>
      </c>
      <c r="AQ47" t="s">
        <v>319</v>
      </c>
      <c r="AR47" t="s">
        <v>320</v>
      </c>
      <c r="AS47" t="s">
        <v>94</v>
      </c>
      <c r="AT47" t="s">
        <v>95</v>
      </c>
      <c r="AU47" t="s">
        <v>96</v>
      </c>
      <c r="AV47" t="s">
        <v>449</v>
      </c>
      <c r="AW47" t="s">
        <v>178</v>
      </c>
      <c r="AX47" t="s">
        <v>98</v>
      </c>
      <c r="AY47" t="s">
        <v>293</v>
      </c>
      <c r="AZ47" s="2">
        <v>45937</v>
      </c>
      <c r="BA47" t="s">
        <v>99</v>
      </c>
      <c r="BB47" s="4">
        <v>45947.698287037034</v>
      </c>
      <c r="BD47" s="2">
        <v>45964</v>
      </c>
      <c r="BE47" s="2">
        <v>46011</v>
      </c>
      <c r="BF47">
        <v>50</v>
      </c>
      <c r="BG47">
        <v>50</v>
      </c>
      <c r="BH47">
        <v>0</v>
      </c>
      <c r="BI47" s="2">
        <v>45995</v>
      </c>
      <c r="BJ47">
        <v>50</v>
      </c>
      <c r="BK47">
        <v>0</v>
      </c>
      <c r="BL47" s="2">
        <v>45995</v>
      </c>
      <c r="BO47" t="s">
        <v>100</v>
      </c>
      <c r="BP47" s="5">
        <v>1</v>
      </c>
    </row>
    <row r="48" spans="2:68">
      <c r="B48" t="s">
        <v>144</v>
      </c>
      <c r="C48" t="s">
        <v>222</v>
      </c>
      <c r="D48" t="s">
        <v>70</v>
      </c>
      <c r="E48" t="s">
        <v>71</v>
      </c>
      <c r="F48" t="s">
        <v>72</v>
      </c>
      <c r="G48" t="s">
        <v>73</v>
      </c>
      <c r="H48" s="2">
        <v>45922</v>
      </c>
      <c r="I48" s="2">
        <v>45922</v>
      </c>
      <c r="J48" t="s">
        <v>74</v>
      </c>
      <c r="K48" s="2">
        <v>45922</v>
      </c>
      <c r="L48" t="s">
        <v>75</v>
      </c>
      <c r="M48" t="s">
        <v>76</v>
      </c>
      <c r="N48" t="s">
        <v>77</v>
      </c>
      <c r="O48" t="s">
        <v>452</v>
      </c>
      <c r="P48" t="s">
        <v>453</v>
      </c>
      <c r="Q48">
        <v>100</v>
      </c>
      <c r="R48" t="s">
        <v>115</v>
      </c>
      <c r="S48" t="s">
        <v>116</v>
      </c>
      <c r="T48" t="s">
        <v>290</v>
      </c>
      <c r="U48" s="2">
        <v>45924</v>
      </c>
      <c r="V48" t="s">
        <v>98</v>
      </c>
      <c r="W48" t="s">
        <v>83</v>
      </c>
      <c r="X48" t="s">
        <v>84</v>
      </c>
      <c r="Y48" t="s">
        <v>14</v>
      </c>
      <c r="Z48" t="s">
        <v>291</v>
      </c>
      <c r="AA48" t="s">
        <v>86</v>
      </c>
      <c r="AB48" t="s">
        <v>87</v>
      </c>
      <c r="AD48" s="3">
        <v>1141000003</v>
      </c>
      <c r="AE48" t="s">
        <v>448</v>
      </c>
      <c r="AF48" t="s">
        <v>407</v>
      </c>
      <c r="AG48" t="s">
        <v>293</v>
      </c>
      <c r="AH48">
        <v>100</v>
      </c>
      <c r="AI48" s="2">
        <v>45924</v>
      </c>
      <c r="AK48" t="s">
        <v>91</v>
      </c>
      <c r="AQ48" t="s">
        <v>319</v>
      </c>
      <c r="AR48" t="s">
        <v>320</v>
      </c>
      <c r="AS48" t="s">
        <v>94</v>
      </c>
      <c r="AT48" t="s">
        <v>95</v>
      </c>
      <c r="AU48" t="s">
        <v>96</v>
      </c>
      <c r="AV48" t="s">
        <v>449</v>
      </c>
      <c r="AW48" t="s">
        <v>143</v>
      </c>
      <c r="AX48" t="s">
        <v>98</v>
      </c>
      <c r="AY48" t="s">
        <v>293</v>
      </c>
      <c r="AZ48" s="2">
        <v>45937</v>
      </c>
      <c r="BA48" t="s">
        <v>99</v>
      </c>
      <c r="BB48" s="4">
        <v>45947.698287037034</v>
      </c>
      <c r="BD48" s="2">
        <v>45964</v>
      </c>
      <c r="BE48" s="2">
        <v>46011</v>
      </c>
      <c r="BF48">
        <v>100</v>
      </c>
      <c r="BG48">
        <v>100</v>
      </c>
      <c r="BH48">
        <v>0</v>
      </c>
      <c r="BI48" s="2">
        <v>45995</v>
      </c>
      <c r="BJ48">
        <v>100</v>
      </c>
      <c r="BK48">
        <v>0</v>
      </c>
      <c r="BL48" s="2">
        <v>45995</v>
      </c>
      <c r="BO48" t="s">
        <v>100</v>
      </c>
      <c r="BP48" s="5">
        <v>1</v>
      </c>
    </row>
    <row r="49" spans="2:68">
      <c r="B49" t="s">
        <v>144</v>
      </c>
      <c r="C49" t="s">
        <v>420</v>
      </c>
      <c r="D49" t="s">
        <v>70</v>
      </c>
      <c r="E49" t="s">
        <v>71</v>
      </c>
      <c r="F49" t="s">
        <v>72</v>
      </c>
      <c r="G49" t="s">
        <v>73</v>
      </c>
      <c r="H49" s="2">
        <v>45922</v>
      </c>
      <c r="I49" s="2">
        <v>45922</v>
      </c>
      <c r="J49" t="s">
        <v>74</v>
      </c>
      <c r="K49" s="2">
        <v>45922</v>
      </c>
      <c r="L49" t="s">
        <v>75</v>
      </c>
      <c r="M49" t="s">
        <v>76</v>
      </c>
      <c r="N49" t="s">
        <v>77</v>
      </c>
      <c r="O49" t="s">
        <v>450</v>
      </c>
      <c r="P49" t="s">
        <v>451</v>
      </c>
      <c r="Q49">
        <v>100</v>
      </c>
      <c r="R49" t="s">
        <v>115</v>
      </c>
      <c r="S49" t="s">
        <v>116</v>
      </c>
      <c r="T49" t="s">
        <v>290</v>
      </c>
      <c r="U49" s="2">
        <v>45924</v>
      </c>
      <c r="V49" t="s">
        <v>98</v>
      </c>
      <c r="W49" t="s">
        <v>83</v>
      </c>
      <c r="X49" t="s">
        <v>84</v>
      </c>
      <c r="Y49" t="s">
        <v>14</v>
      </c>
      <c r="Z49" t="s">
        <v>291</v>
      </c>
      <c r="AA49" t="s">
        <v>86</v>
      </c>
      <c r="AB49" t="s">
        <v>87</v>
      </c>
      <c r="AD49" s="3">
        <v>1141000003</v>
      </c>
      <c r="AE49" t="s">
        <v>448</v>
      </c>
      <c r="AF49" t="s">
        <v>393</v>
      </c>
      <c r="AG49" t="s">
        <v>293</v>
      </c>
      <c r="AH49">
        <v>100</v>
      </c>
      <c r="AI49" s="2">
        <v>45924</v>
      </c>
      <c r="AK49" t="s">
        <v>91</v>
      </c>
      <c r="AQ49" t="s">
        <v>319</v>
      </c>
      <c r="AR49" t="s">
        <v>320</v>
      </c>
      <c r="AS49" t="s">
        <v>94</v>
      </c>
      <c r="AT49" t="s">
        <v>95</v>
      </c>
      <c r="AU49" t="s">
        <v>96</v>
      </c>
      <c r="AV49" t="s">
        <v>449</v>
      </c>
      <c r="AW49" t="s">
        <v>69</v>
      </c>
      <c r="AX49" t="s">
        <v>98</v>
      </c>
      <c r="AY49" t="s">
        <v>293</v>
      </c>
      <c r="AZ49" s="2">
        <v>45937</v>
      </c>
      <c r="BA49" t="s">
        <v>99</v>
      </c>
      <c r="BB49" s="4">
        <v>45947.698287037034</v>
      </c>
      <c r="BD49" s="2">
        <v>45964</v>
      </c>
      <c r="BE49" s="2">
        <v>46011</v>
      </c>
      <c r="BF49">
        <v>100</v>
      </c>
      <c r="BG49">
        <v>100</v>
      </c>
      <c r="BH49">
        <v>0</v>
      </c>
      <c r="BI49" s="2">
        <v>45995</v>
      </c>
      <c r="BJ49">
        <v>100</v>
      </c>
      <c r="BK49">
        <v>0</v>
      </c>
      <c r="BL49" s="2">
        <v>45995</v>
      </c>
      <c r="BO49" t="s">
        <v>100</v>
      </c>
      <c r="BP49" s="5">
        <v>1</v>
      </c>
    </row>
    <row r="50" spans="2:68">
      <c r="B50" t="s">
        <v>144</v>
      </c>
      <c r="C50" t="s">
        <v>346</v>
      </c>
      <c r="D50" t="s">
        <v>70</v>
      </c>
      <c r="E50" t="s">
        <v>71</v>
      </c>
      <c r="F50" t="s">
        <v>72</v>
      </c>
      <c r="G50" t="s">
        <v>73</v>
      </c>
      <c r="H50" s="2">
        <v>45922</v>
      </c>
      <c r="I50" s="2">
        <v>45922</v>
      </c>
      <c r="J50" t="s">
        <v>74</v>
      </c>
      <c r="K50" s="2">
        <v>45922</v>
      </c>
      <c r="L50" t="s">
        <v>75</v>
      </c>
      <c r="M50" t="s">
        <v>76</v>
      </c>
      <c r="N50" t="s">
        <v>77</v>
      </c>
      <c r="O50" t="s">
        <v>446</v>
      </c>
      <c r="P50" t="s">
        <v>447</v>
      </c>
      <c r="Q50">
        <v>50</v>
      </c>
      <c r="R50" t="s">
        <v>115</v>
      </c>
      <c r="S50" t="s">
        <v>116</v>
      </c>
      <c r="T50" t="s">
        <v>290</v>
      </c>
      <c r="U50">
        <v>45924</v>
      </c>
      <c r="V50" t="s">
        <v>98</v>
      </c>
      <c r="W50" t="s">
        <v>83</v>
      </c>
      <c r="X50" t="s">
        <v>84</v>
      </c>
      <c r="Y50" t="s">
        <v>14</v>
      </c>
      <c r="Z50" t="s">
        <v>291</v>
      </c>
      <c r="AA50" t="s">
        <v>86</v>
      </c>
      <c r="AB50" t="s">
        <v>87</v>
      </c>
      <c r="AD50" s="3">
        <v>1141000003</v>
      </c>
      <c r="AE50" t="s">
        <v>448</v>
      </c>
      <c r="AF50" t="s">
        <v>403</v>
      </c>
      <c r="AG50" t="s">
        <v>293</v>
      </c>
      <c r="AH50">
        <v>50</v>
      </c>
      <c r="AI50">
        <v>45924</v>
      </c>
      <c r="AK50" t="s">
        <v>91</v>
      </c>
      <c r="AQ50" t="s">
        <v>319</v>
      </c>
      <c r="AR50" t="s">
        <v>320</v>
      </c>
      <c r="AS50" t="s">
        <v>94</v>
      </c>
      <c r="AT50" t="s">
        <v>95</v>
      </c>
      <c r="AU50" t="s">
        <v>96</v>
      </c>
      <c r="AV50" t="s">
        <v>449</v>
      </c>
      <c r="AW50" t="s">
        <v>109</v>
      </c>
      <c r="AX50" t="s">
        <v>98</v>
      </c>
      <c r="AY50" t="s">
        <v>293</v>
      </c>
      <c r="AZ50">
        <v>45937</v>
      </c>
      <c r="BA50" t="s">
        <v>99</v>
      </c>
      <c r="BB50" s="4">
        <v>45947.698287037034</v>
      </c>
      <c r="BD50" s="2">
        <v>45964</v>
      </c>
      <c r="BE50">
        <v>46011</v>
      </c>
      <c r="BF50">
        <v>50</v>
      </c>
      <c r="BG50">
        <v>50</v>
      </c>
      <c r="BH50">
        <v>0</v>
      </c>
      <c r="BI50">
        <v>45995</v>
      </c>
      <c r="BJ50">
        <v>50</v>
      </c>
      <c r="BK50">
        <v>0</v>
      </c>
      <c r="BL50" s="2">
        <v>45995</v>
      </c>
      <c r="BO50" t="s">
        <v>100</v>
      </c>
      <c r="BP50" s="5">
        <v>1</v>
      </c>
    </row>
    <row r="51" spans="2:68">
      <c r="B51" t="s">
        <v>234</v>
      </c>
      <c r="C51" t="s">
        <v>140</v>
      </c>
      <c r="D51" t="s">
        <v>70</v>
      </c>
      <c r="E51" t="s">
        <v>71</v>
      </c>
      <c r="F51" t="s">
        <v>72</v>
      </c>
      <c r="G51" t="s">
        <v>73</v>
      </c>
      <c r="H51" s="2">
        <v>46045</v>
      </c>
      <c r="I51" s="2">
        <v>46045</v>
      </c>
      <c r="J51" t="s">
        <v>74</v>
      </c>
      <c r="K51" s="2">
        <v>46045</v>
      </c>
      <c r="L51" t="s">
        <v>75</v>
      </c>
      <c r="M51" t="s">
        <v>76</v>
      </c>
      <c r="N51" t="s">
        <v>77</v>
      </c>
      <c r="O51" t="s">
        <v>444</v>
      </c>
      <c r="P51" t="s">
        <v>445</v>
      </c>
      <c r="Q51">
        <v>5</v>
      </c>
      <c r="R51" t="s">
        <v>115</v>
      </c>
      <c r="S51" t="s">
        <v>116</v>
      </c>
      <c r="V51" t="s">
        <v>98</v>
      </c>
      <c r="W51" t="s">
        <v>83</v>
      </c>
      <c r="X51" t="s">
        <v>84</v>
      </c>
      <c r="Y51" t="s">
        <v>14</v>
      </c>
      <c r="Z51" t="s">
        <v>185</v>
      </c>
      <c r="AA51" t="s">
        <v>86</v>
      </c>
      <c r="AB51" t="s">
        <v>87</v>
      </c>
      <c r="AD51" s="3">
        <v>1141000003</v>
      </c>
      <c r="AX51" t="s">
        <v>175</v>
      </c>
      <c r="BB51" s="4"/>
      <c r="BD51" s="2"/>
      <c r="BL51" s="2"/>
      <c r="BO51" t="s">
        <v>176</v>
      </c>
      <c r="BP51" s="5">
        <v>1</v>
      </c>
    </row>
    <row r="52" spans="2:68">
      <c r="B52" t="s">
        <v>583</v>
      </c>
      <c r="C52" t="s">
        <v>259</v>
      </c>
      <c r="D52" t="s">
        <v>70</v>
      </c>
      <c r="E52" t="s">
        <v>71</v>
      </c>
      <c r="F52" t="s">
        <v>72</v>
      </c>
      <c r="G52" t="s">
        <v>73</v>
      </c>
      <c r="H52" s="2">
        <v>46122</v>
      </c>
      <c r="I52" s="2">
        <v>46132</v>
      </c>
      <c r="J52" t="s">
        <v>74</v>
      </c>
      <c r="K52" s="2">
        <v>46150</v>
      </c>
      <c r="L52" t="s">
        <v>75</v>
      </c>
      <c r="M52" t="s">
        <v>76</v>
      </c>
      <c r="N52" t="s">
        <v>77</v>
      </c>
      <c r="O52" t="s">
        <v>444</v>
      </c>
      <c r="P52" t="s">
        <v>445</v>
      </c>
      <c r="Q52">
        <v>10</v>
      </c>
      <c r="R52" t="s">
        <v>115</v>
      </c>
      <c r="S52" t="s">
        <v>116</v>
      </c>
      <c r="T52" t="s">
        <v>200</v>
      </c>
      <c r="U52">
        <v>46171</v>
      </c>
      <c r="V52" t="s">
        <v>98</v>
      </c>
      <c r="W52" t="s">
        <v>83</v>
      </c>
      <c r="X52" t="s">
        <v>84</v>
      </c>
      <c r="Y52" t="s">
        <v>14</v>
      </c>
      <c r="Z52" t="s">
        <v>185</v>
      </c>
      <c r="AA52" t="s">
        <v>86</v>
      </c>
      <c r="AB52" t="s">
        <v>87</v>
      </c>
      <c r="AD52" s="3">
        <v>1141000003</v>
      </c>
      <c r="AE52" t="s">
        <v>797</v>
      </c>
      <c r="AF52" t="s">
        <v>420</v>
      </c>
      <c r="AG52" t="s">
        <v>202</v>
      </c>
      <c r="AH52">
        <v>10</v>
      </c>
      <c r="AI52">
        <v>46171</v>
      </c>
      <c r="AX52" t="s">
        <v>175</v>
      </c>
      <c r="BB52" s="4"/>
      <c r="BD52" s="2"/>
      <c r="BL52" s="2"/>
      <c r="BO52" t="s">
        <v>203</v>
      </c>
      <c r="BP52" s="5">
        <v>1</v>
      </c>
    </row>
    <row r="53" spans="2:68">
      <c r="B53" t="s">
        <v>234</v>
      </c>
      <c r="C53" t="s">
        <v>262</v>
      </c>
      <c r="D53" t="s">
        <v>70</v>
      </c>
      <c r="E53" t="s">
        <v>71</v>
      </c>
      <c r="F53" t="s">
        <v>72</v>
      </c>
      <c r="G53" t="s">
        <v>73</v>
      </c>
      <c r="H53" s="2">
        <v>46045</v>
      </c>
      <c r="I53" s="2">
        <v>46045</v>
      </c>
      <c r="J53" t="s">
        <v>74</v>
      </c>
      <c r="K53" s="2">
        <v>46045</v>
      </c>
      <c r="L53" t="s">
        <v>75</v>
      </c>
      <c r="M53" t="s">
        <v>76</v>
      </c>
      <c r="N53" t="s">
        <v>77</v>
      </c>
      <c r="O53" t="s">
        <v>442</v>
      </c>
      <c r="P53" t="s">
        <v>443</v>
      </c>
      <c r="Q53">
        <v>10</v>
      </c>
      <c r="R53" t="s">
        <v>115</v>
      </c>
      <c r="S53" t="s">
        <v>116</v>
      </c>
      <c r="V53" t="s">
        <v>98</v>
      </c>
      <c r="W53" t="s">
        <v>83</v>
      </c>
      <c r="X53" t="s">
        <v>84</v>
      </c>
      <c r="Y53" t="s">
        <v>14</v>
      </c>
      <c r="Z53" t="s">
        <v>185</v>
      </c>
      <c r="AA53" t="s">
        <v>86</v>
      </c>
      <c r="AB53" t="s">
        <v>87</v>
      </c>
      <c r="AD53" s="3">
        <v>1141000003</v>
      </c>
      <c r="AX53" t="s">
        <v>175</v>
      </c>
      <c r="BB53" s="4"/>
      <c r="BD53" s="2"/>
      <c r="BL53" s="2"/>
      <c r="BO53" t="s">
        <v>176</v>
      </c>
      <c r="BP53" s="5">
        <v>1</v>
      </c>
    </row>
    <row r="54" spans="2:68">
      <c r="B54" t="s">
        <v>583</v>
      </c>
      <c r="C54" t="s">
        <v>262</v>
      </c>
      <c r="D54" t="s">
        <v>70</v>
      </c>
      <c r="E54" t="s">
        <v>71</v>
      </c>
      <c r="F54" t="s">
        <v>72</v>
      </c>
      <c r="G54" t="s">
        <v>73</v>
      </c>
      <c r="H54" s="2">
        <v>46122</v>
      </c>
      <c r="I54" s="2">
        <v>46132</v>
      </c>
      <c r="J54" t="s">
        <v>74</v>
      </c>
      <c r="K54" s="2">
        <v>46150</v>
      </c>
      <c r="L54" t="s">
        <v>75</v>
      </c>
      <c r="M54" t="s">
        <v>76</v>
      </c>
      <c r="N54" t="s">
        <v>77</v>
      </c>
      <c r="O54" t="s">
        <v>442</v>
      </c>
      <c r="P54" t="s">
        <v>443</v>
      </c>
      <c r="Q54">
        <v>10</v>
      </c>
      <c r="R54" t="s">
        <v>115</v>
      </c>
      <c r="S54" t="s">
        <v>116</v>
      </c>
      <c r="T54" t="s">
        <v>200</v>
      </c>
      <c r="U54" s="2">
        <v>46171</v>
      </c>
      <c r="V54" t="s">
        <v>98</v>
      </c>
      <c r="W54" t="s">
        <v>83</v>
      </c>
      <c r="X54" t="s">
        <v>84</v>
      </c>
      <c r="Y54" t="s">
        <v>14</v>
      </c>
      <c r="Z54" t="s">
        <v>185</v>
      </c>
      <c r="AA54" t="s">
        <v>86</v>
      </c>
      <c r="AB54" t="s">
        <v>87</v>
      </c>
      <c r="AD54" s="3">
        <v>1141000003</v>
      </c>
      <c r="AE54" t="s">
        <v>797</v>
      </c>
      <c r="AF54" t="s">
        <v>346</v>
      </c>
      <c r="AG54" t="s">
        <v>202</v>
      </c>
      <c r="AH54">
        <v>10</v>
      </c>
      <c r="AI54" s="2">
        <v>46171</v>
      </c>
      <c r="AX54" t="s">
        <v>175</v>
      </c>
      <c r="AZ54" s="2"/>
      <c r="BB54" s="4"/>
      <c r="BD54" s="2"/>
      <c r="BE54" s="2"/>
      <c r="BI54" s="2"/>
      <c r="BL54" s="2"/>
      <c r="BO54" t="s">
        <v>203</v>
      </c>
      <c r="BP54" s="5">
        <v>1</v>
      </c>
    </row>
    <row r="55" spans="2:68">
      <c r="B55" t="s">
        <v>207</v>
      </c>
      <c r="C55" t="s">
        <v>69</v>
      </c>
      <c r="D55" t="s">
        <v>70</v>
      </c>
      <c r="E55" t="s">
        <v>71</v>
      </c>
      <c r="F55" t="s">
        <v>72</v>
      </c>
      <c r="G55" t="s">
        <v>179</v>
      </c>
      <c r="H55" s="2">
        <v>46090</v>
      </c>
      <c r="I55" s="2">
        <v>46128</v>
      </c>
      <c r="J55" t="s">
        <v>74</v>
      </c>
      <c r="K55" s="2">
        <v>46104</v>
      </c>
      <c r="L55" t="s">
        <v>75</v>
      </c>
      <c r="M55" t="s">
        <v>76</v>
      </c>
      <c r="N55" t="s">
        <v>77</v>
      </c>
      <c r="O55" t="s">
        <v>440</v>
      </c>
      <c r="P55" t="s">
        <v>441</v>
      </c>
      <c r="Q55">
        <v>5</v>
      </c>
      <c r="R55" t="s">
        <v>80</v>
      </c>
      <c r="S55" t="s">
        <v>13</v>
      </c>
      <c r="T55" t="s">
        <v>586</v>
      </c>
      <c r="U55" s="2">
        <v>46106</v>
      </c>
      <c r="V55" t="s">
        <v>82</v>
      </c>
      <c r="W55" t="s">
        <v>83</v>
      </c>
      <c r="X55" t="s">
        <v>84</v>
      </c>
      <c r="Y55" t="s">
        <v>14</v>
      </c>
      <c r="Z55" t="s">
        <v>165</v>
      </c>
      <c r="AA55" t="s">
        <v>86</v>
      </c>
      <c r="AB55" t="s">
        <v>87</v>
      </c>
      <c r="AD55" s="3">
        <v>1141000001</v>
      </c>
      <c r="AE55" t="s">
        <v>587</v>
      </c>
      <c r="AF55" t="s">
        <v>69</v>
      </c>
      <c r="AG55" t="s">
        <v>588</v>
      </c>
      <c r="AH55">
        <v>5</v>
      </c>
      <c r="AI55">
        <v>46106</v>
      </c>
      <c r="AK55" t="s">
        <v>91</v>
      </c>
      <c r="AN55" s="2"/>
      <c r="AQ55" t="s">
        <v>589</v>
      </c>
      <c r="AR55" t="s">
        <v>590</v>
      </c>
      <c r="AS55" t="s">
        <v>94</v>
      </c>
      <c r="AT55" t="s">
        <v>95</v>
      </c>
      <c r="AU55" t="s">
        <v>96</v>
      </c>
      <c r="AV55" t="s">
        <v>591</v>
      </c>
      <c r="AW55" t="s">
        <v>109</v>
      </c>
      <c r="AX55" t="s">
        <v>98</v>
      </c>
      <c r="AY55" t="s">
        <v>588</v>
      </c>
      <c r="AZ55" s="2">
        <v>46111</v>
      </c>
      <c r="BA55" t="s">
        <v>99</v>
      </c>
      <c r="BB55" s="4">
        <v>46119.395810185182</v>
      </c>
      <c r="BD55" s="2">
        <v>46127</v>
      </c>
      <c r="BE55">
        <v>46127</v>
      </c>
      <c r="BF55">
        <v>5</v>
      </c>
      <c r="BG55">
        <v>5</v>
      </c>
      <c r="BH55">
        <v>0</v>
      </c>
      <c r="BI55">
        <v>46128</v>
      </c>
      <c r="BJ55">
        <v>5</v>
      </c>
      <c r="BK55">
        <v>0</v>
      </c>
      <c r="BL55" s="2">
        <v>46128</v>
      </c>
      <c r="BO55" t="s">
        <v>100</v>
      </c>
      <c r="BP55" s="5">
        <v>1</v>
      </c>
    </row>
    <row r="56" spans="2:68">
      <c r="B56" t="s">
        <v>322</v>
      </c>
      <c r="C56" t="s">
        <v>109</v>
      </c>
      <c r="D56" t="s">
        <v>70</v>
      </c>
      <c r="E56" t="s">
        <v>71</v>
      </c>
      <c r="F56" t="s">
        <v>72</v>
      </c>
      <c r="G56" t="s">
        <v>73</v>
      </c>
      <c r="H56" s="2">
        <v>46073</v>
      </c>
      <c r="I56" s="2">
        <v>46083</v>
      </c>
      <c r="J56" t="s">
        <v>74</v>
      </c>
      <c r="K56" s="2">
        <v>46091</v>
      </c>
      <c r="L56" t="s">
        <v>75</v>
      </c>
      <c r="M56" t="s">
        <v>76</v>
      </c>
      <c r="N56" t="s">
        <v>77</v>
      </c>
      <c r="O56" t="s">
        <v>436</v>
      </c>
      <c r="P56" t="s">
        <v>437</v>
      </c>
      <c r="Q56">
        <v>1</v>
      </c>
      <c r="R56" t="s">
        <v>80</v>
      </c>
      <c r="S56" t="s">
        <v>13</v>
      </c>
      <c r="T56" t="s">
        <v>230</v>
      </c>
      <c r="U56" s="2">
        <v>45615</v>
      </c>
      <c r="V56" t="s">
        <v>98</v>
      </c>
      <c r="W56" t="s">
        <v>35</v>
      </c>
      <c r="X56" t="s">
        <v>84</v>
      </c>
      <c r="Y56" t="s">
        <v>14</v>
      </c>
      <c r="Z56" t="s">
        <v>117</v>
      </c>
      <c r="AA56" t="s">
        <v>86</v>
      </c>
      <c r="AB56" t="s">
        <v>87</v>
      </c>
      <c r="AD56" s="3">
        <v>1141000001</v>
      </c>
      <c r="AI56" s="2"/>
      <c r="AJ56" t="s">
        <v>118</v>
      </c>
      <c r="AK56" t="s">
        <v>438</v>
      </c>
      <c r="AL56" t="s">
        <v>232</v>
      </c>
      <c r="AM56">
        <v>0</v>
      </c>
      <c r="AN56">
        <v>45615</v>
      </c>
      <c r="AO56" t="s">
        <v>99</v>
      </c>
      <c r="AQ56" t="s">
        <v>120</v>
      </c>
      <c r="AR56" t="s">
        <v>121</v>
      </c>
      <c r="AS56" t="s">
        <v>122</v>
      </c>
      <c r="AT56" t="s">
        <v>123</v>
      </c>
      <c r="AU56" t="s">
        <v>124</v>
      </c>
      <c r="AV56" t="s">
        <v>439</v>
      </c>
      <c r="AW56" t="s">
        <v>109</v>
      </c>
      <c r="AX56" t="s">
        <v>82</v>
      </c>
      <c r="AY56" t="s">
        <v>126</v>
      </c>
      <c r="AZ56" s="2">
        <v>46091</v>
      </c>
      <c r="BA56" t="s">
        <v>99</v>
      </c>
      <c r="BB56" s="4">
        <v>46119.403865740744</v>
      </c>
      <c r="BD56" s="2"/>
      <c r="BE56" s="2"/>
      <c r="BF56">
        <v>1</v>
      </c>
      <c r="BH56">
        <v>1</v>
      </c>
      <c r="BK56">
        <v>1</v>
      </c>
      <c r="BL56" s="2"/>
      <c r="BO56" t="s">
        <v>227</v>
      </c>
      <c r="BP56" s="5">
        <v>1</v>
      </c>
    </row>
    <row r="57" spans="2:68">
      <c r="B57" t="s">
        <v>322</v>
      </c>
      <c r="C57" t="s">
        <v>69</v>
      </c>
      <c r="D57" t="s">
        <v>70</v>
      </c>
      <c r="E57" t="s">
        <v>71</v>
      </c>
      <c r="F57" t="s">
        <v>72</v>
      </c>
      <c r="G57" t="s">
        <v>73</v>
      </c>
      <c r="H57" s="2">
        <v>46073</v>
      </c>
      <c r="I57" s="2">
        <v>46087</v>
      </c>
      <c r="J57" t="s">
        <v>74</v>
      </c>
      <c r="K57" s="2">
        <v>46091</v>
      </c>
      <c r="L57" t="s">
        <v>75</v>
      </c>
      <c r="M57" t="s">
        <v>76</v>
      </c>
      <c r="N57" t="s">
        <v>77</v>
      </c>
      <c r="O57" t="s">
        <v>434</v>
      </c>
      <c r="P57" t="s">
        <v>435</v>
      </c>
      <c r="Q57">
        <v>1</v>
      </c>
      <c r="R57" t="s">
        <v>80</v>
      </c>
      <c r="S57" t="s">
        <v>116</v>
      </c>
      <c r="T57" t="s">
        <v>370</v>
      </c>
      <c r="U57" s="2">
        <v>46094</v>
      </c>
      <c r="V57" t="s">
        <v>98</v>
      </c>
      <c r="W57" t="s">
        <v>83</v>
      </c>
      <c r="X57" t="s">
        <v>84</v>
      </c>
      <c r="Y57" t="s">
        <v>14</v>
      </c>
      <c r="Z57" t="s">
        <v>117</v>
      </c>
      <c r="AA57" t="s">
        <v>86</v>
      </c>
      <c r="AB57" t="s">
        <v>87</v>
      </c>
      <c r="AD57" s="3">
        <v>1141000001</v>
      </c>
      <c r="AE57" t="s">
        <v>371</v>
      </c>
      <c r="AF57" t="s">
        <v>69</v>
      </c>
      <c r="AG57" t="s">
        <v>372</v>
      </c>
      <c r="AH57">
        <v>1</v>
      </c>
      <c r="AI57" s="2">
        <v>46094</v>
      </c>
      <c r="AK57" t="s">
        <v>91</v>
      </c>
      <c r="AQ57" t="s">
        <v>373</v>
      </c>
      <c r="AR57" t="s">
        <v>374</v>
      </c>
      <c r="AS57" t="s">
        <v>94</v>
      </c>
      <c r="AT57" t="s">
        <v>95</v>
      </c>
      <c r="AU57" t="s">
        <v>96</v>
      </c>
      <c r="AV57" t="s">
        <v>375</v>
      </c>
      <c r="AW57" t="s">
        <v>109</v>
      </c>
      <c r="AX57" t="s">
        <v>82</v>
      </c>
      <c r="AY57" t="s">
        <v>372</v>
      </c>
      <c r="AZ57">
        <v>46098</v>
      </c>
      <c r="BA57" t="s">
        <v>99</v>
      </c>
      <c r="BB57" s="4">
        <v>46119.39912037037</v>
      </c>
      <c r="BD57" s="2">
        <v>46146</v>
      </c>
      <c r="BE57">
        <v>46174</v>
      </c>
      <c r="BF57">
        <v>1</v>
      </c>
      <c r="BH57">
        <v>1</v>
      </c>
      <c r="BK57">
        <v>1</v>
      </c>
      <c r="BL57" s="2"/>
      <c r="BO57" t="s">
        <v>227</v>
      </c>
      <c r="BP57" s="5">
        <v>1</v>
      </c>
    </row>
    <row r="58" spans="2:68">
      <c r="B58" t="s">
        <v>177</v>
      </c>
      <c r="C58" t="s">
        <v>143</v>
      </c>
      <c r="D58" t="s">
        <v>70</v>
      </c>
      <c r="E58" t="s">
        <v>71</v>
      </c>
      <c r="F58" t="s">
        <v>72</v>
      </c>
      <c r="G58" t="s">
        <v>179</v>
      </c>
      <c r="H58" s="2">
        <v>46090</v>
      </c>
      <c r="I58" s="2">
        <v>46128</v>
      </c>
      <c r="J58" t="s">
        <v>74</v>
      </c>
      <c r="K58" s="2">
        <v>46104</v>
      </c>
      <c r="L58" t="s">
        <v>75</v>
      </c>
      <c r="M58" t="s">
        <v>76</v>
      </c>
      <c r="N58" t="s">
        <v>77</v>
      </c>
      <c r="O58" t="s">
        <v>432</v>
      </c>
      <c r="P58" t="s">
        <v>433</v>
      </c>
      <c r="Q58">
        <v>15</v>
      </c>
      <c r="R58" t="s">
        <v>115</v>
      </c>
      <c r="S58" t="s">
        <v>116</v>
      </c>
      <c r="T58" t="s">
        <v>716</v>
      </c>
      <c r="U58" s="2">
        <v>46156</v>
      </c>
      <c r="V58" t="s">
        <v>98</v>
      </c>
      <c r="W58" t="s">
        <v>83</v>
      </c>
      <c r="X58" t="s">
        <v>84</v>
      </c>
      <c r="Y58" t="s">
        <v>14</v>
      </c>
      <c r="Z58" t="s">
        <v>384</v>
      </c>
      <c r="AA58" t="s">
        <v>86</v>
      </c>
      <c r="AB58" t="s">
        <v>87</v>
      </c>
      <c r="AD58" s="3">
        <v>1141000003</v>
      </c>
      <c r="AE58" t="s">
        <v>721</v>
      </c>
      <c r="AF58" t="s">
        <v>109</v>
      </c>
      <c r="AG58" t="s">
        <v>718</v>
      </c>
      <c r="AH58">
        <v>15</v>
      </c>
      <c r="AI58">
        <v>46156</v>
      </c>
      <c r="AN58" s="2"/>
      <c r="AX58" t="s">
        <v>175</v>
      </c>
      <c r="AZ58" s="2"/>
      <c r="BB58" s="4"/>
      <c r="BD58" s="2"/>
      <c r="BE58" s="2"/>
      <c r="BL58" s="2"/>
      <c r="BO58" t="s">
        <v>203</v>
      </c>
      <c r="BP58" s="5">
        <v>1</v>
      </c>
    </row>
    <row r="59" spans="2:68">
      <c r="B59" t="s">
        <v>592</v>
      </c>
      <c r="C59" t="s">
        <v>109</v>
      </c>
      <c r="D59" t="s">
        <v>70</v>
      </c>
      <c r="E59" t="s">
        <v>71</v>
      </c>
      <c r="F59" t="s">
        <v>72</v>
      </c>
      <c r="G59" t="s">
        <v>73</v>
      </c>
      <c r="H59" s="2">
        <v>46125</v>
      </c>
      <c r="I59" s="2">
        <v>46185</v>
      </c>
      <c r="J59" t="s">
        <v>74</v>
      </c>
      <c r="K59" s="2">
        <v>46150</v>
      </c>
      <c r="L59" t="s">
        <v>75</v>
      </c>
      <c r="M59" t="s">
        <v>76</v>
      </c>
      <c r="N59" t="s">
        <v>77</v>
      </c>
      <c r="O59" t="s">
        <v>593</v>
      </c>
      <c r="P59" t="s">
        <v>594</v>
      </c>
      <c r="Q59">
        <v>1</v>
      </c>
      <c r="R59" t="s">
        <v>115</v>
      </c>
      <c r="S59" t="s">
        <v>13</v>
      </c>
      <c r="T59" t="s">
        <v>230</v>
      </c>
      <c r="U59" s="2">
        <v>45614</v>
      </c>
      <c r="V59" t="s">
        <v>98</v>
      </c>
      <c r="W59" t="s">
        <v>35</v>
      </c>
      <c r="X59" t="s">
        <v>84</v>
      </c>
      <c r="Y59" t="s">
        <v>14</v>
      </c>
      <c r="Z59" t="s">
        <v>117</v>
      </c>
      <c r="AA59" t="s">
        <v>86</v>
      </c>
      <c r="AB59" t="s">
        <v>87</v>
      </c>
      <c r="AD59" s="3">
        <v>1141000001</v>
      </c>
      <c r="AJ59" t="s">
        <v>231</v>
      </c>
      <c r="AK59" t="s">
        <v>648</v>
      </c>
      <c r="AL59" t="s">
        <v>232</v>
      </c>
      <c r="AM59">
        <v>0</v>
      </c>
      <c r="AN59" s="2">
        <v>45614</v>
      </c>
      <c r="AO59" t="s">
        <v>99</v>
      </c>
      <c r="AQ59" t="s">
        <v>189</v>
      </c>
      <c r="AR59" t="s">
        <v>190</v>
      </c>
      <c r="AS59" t="s">
        <v>122</v>
      </c>
      <c r="AT59" t="s">
        <v>123</v>
      </c>
      <c r="AU59" t="s">
        <v>124</v>
      </c>
      <c r="AV59" t="s">
        <v>722</v>
      </c>
      <c r="AW59" t="s">
        <v>109</v>
      </c>
      <c r="AX59" t="s">
        <v>82</v>
      </c>
      <c r="AY59" t="s">
        <v>126</v>
      </c>
      <c r="AZ59" s="2">
        <v>46150</v>
      </c>
      <c r="BA59" t="s">
        <v>99</v>
      </c>
      <c r="BB59" s="4">
        <v>46163.431909722225</v>
      </c>
      <c r="BD59" s="2"/>
      <c r="BE59">
        <v>46223</v>
      </c>
      <c r="BF59">
        <v>1</v>
      </c>
      <c r="BH59">
        <v>1</v>
      </c>
      <c r="BK59">
        <v>1</v>
      </c>
      <c r="BL59" s="2"/>
      <c r="BO59" t="s">
        <v>227</v>
      </c>
      <c r="BP59" s="5">
        <v>1</v>
      </c>
    </row>
    <row r="60" spans="2:68">
      <c r="B60" t="s">
        <v>592</v>
      </c>
      <c r="C60" t="s">
        <v>69</v>
      </c>
      <c r="D60" t="s">
        <v>70</v>
      </c>
      <c r="E60" t="s">
        <v>71</v>
      </c>
      <c r="F60" t="s">
        <v>72</v>
      </c>
      <c r="G60" t="s">
        <v>73</v>
      </c>
      <c r="H60" s="2">
        <v>46125</v>
      </c>
      <c r="I60" s="2">
        <v>46132</v>
      </c>
      <c r="J60" t="s">
        <v>74</v>
      </c>
      <c r="K60" s="2">
        <v>46150</v>
      </c>
      <c r="L60" t="s">
        <v>75</v>
      </c>
      <c r="M60" t="s">
        <v>76</v>
      </c>
      <c r="N60" t="s">
        <v>77</v>
      </c>
      <c r="O60" t="s">
        <v>595</v>
      </c>
      <c r="P60" t="s">
        <v>596</v>
      </c>
      <c r="Q60">
        <v>1</v>
      </c>
      <c r="R60" t="s">
        <v>115</v>
      </c>
      <c r="S60" t="s">
        <v>13</v>
      </c>
      <c r="T60" t="s">
        <v>230</v>
      </c>
      <c r="U60" s="2">
        <v>45614</v>
      </c>
      <c r="V60" t="s">
        <v>98</v>
      </c>
      <c r="W60" t="s">
        <v>35</v>
      </c>
      <c r="X60" t="s">
        <v>84</v>
      </c>
      <c r="Y60" t="s">
        <v>14</v>
      </c>
      <c r="Z60" t="s">
        <v>117</v>
      </c>
      <c r="AA60" t="s">
        <v>86</v>
      </c>
      <c r="AB60" t="s">
        <v>87</v>
      </c>
      <c r="AD60" s="3">
        <v>1141000001</v>
      </c>
      <c r="AI60" s="2"/>
      <c r="AJ60" t="s">
        <v>723</v>
      </c>
      <c r="AK60" t="s">
        <v>724</v>
      </c>
      <c r="AL60" t="s">
        <v>232</v>
      </c>
      <c r="AM60">
        <v>0</v>
      </c>
      <c r="AN60">
        <v>45614</v>
      </c>
      <c r="AO60" t="s">
        <v>99</v>
      </c>
      <c r="AQ60" t="s">
        <v>214</v>
      </c>
      <c r="AR60" t="s">
        <v>215</v>
      </c>
      <c r="AS60" t="s">
        <v>122</v>
      </c>
      <c r="AT60" t="s">
        <v>123</v>
      </c>
      <c r="AU60" t="s">
        <v>124</v>
      </c>
      <c r="AV60" t="s">
        <v>725</v>
      </c>
      <c r="AW60" t="s">
        <v>109</v>
      </c>
      <c r="AX60" t="s">
        <v>82</v>
      </c>
      <c r="AY60" t="s">
        <v>126</v>
      </c>
      <c r="AZ60" s="2">
        <v>46150</v>
      </c>
      <c r="BA60" t="s">
        <v>99</v>
      </c>
      <c r="BB60" s="4">
        <v>46163.430706018517</v>
      </c>
      <c r="BD60" s="2">
        <v>46157</v>
      </c>
      <c r="BE60" s="2"/>
      <c r="BF60">
        <v>1</v>
      </c>
      <c r="BH60">
        <v>1</v>
      </c>
      <c r="BI60" s="2"/>
      <c r="BK60">
        <v>1</v>
      </c>
      <c r="BL60" s="2"/>
      <c r="BO60" t="s">
        <v>227</v>
      </c>
      <c r="BP60" s="5">
        <v>1</v>
      </c>
    </row>
    <row r="61" spans="2:68">
      <c r="B61" t="s">
        <v>68</v>
      </c>
      <c r="C61" t="s">
        <v>109</v>
      </c>
      <c r="D61" t="s">
        <v>70</v>
      </c>
      <c r="E61" t="s">
        <v>71</v>
      </c>
      <c r="F61" t="s">
        <v>72</v>
      </c>
      <c r="G61" t="s">
        <v>73</v>
      </c>
      <c r="H61" s="2">
        <v>46024</v>
      </c>
      <c r="I61" s="2">
        <v>46038</v>
      </c>
      <c r="J61" t="s">
        <v>74</v>
      </c>
      <c r="K61" s="2">
        <v>46027</v>
      </c>
      <c r="L61" t="s">
        <v>75</v>
      </c>
      <c r="M61" t="s">
        <v>76</v>
      </c>
      <c r="N61" t="s">
        <v>77</v>
      </c>
      <c r="O61" t="s">
        <v>429</v>
      </c>
      <c r="P61" t="s">
        <v>430</v>
      </c>
      <c r="Q61">
        <v>10</v>
      </c>
      <c r="R61" t="s">
        <v>80</v>
      </c>
      <c r="S61" t="s">
        <v>13</v>
      </c>
      <c r="T61" t="s">
        <v>81</v>
      </c>
      <c r="U61" s="2">
        <v>46029</v>
      </c>
      <c r="V61" t="s">
        <v>82</v>
      </c>
      <c r="W61" t="s">
        <v>83</v>
      </c>
      <c r="X61" t="s">
        <v>84</v>
      </c>
      <c r="Y61" t="s">
        <v>14</v>
      </c>
      <c r="Z61" t="s">
        <v>85</v>
      </c>
      <c r="AA61" t="s">
        <v>86</v>
      </c>
      <c r="AB61" t="s">
        <v>87</v>
      </c>
      <c r="AD61" s="3">
        <v>1141000003</v>
      </c>
      <c r="AE61" t="s">
        <v>88</v>
      </c>
      <c r="AF61" t="s">
        <v>181</v>
      </c>
      <c r="AG61" t="s">
        <v>90</v>
      </c>
      <c r="AH61">
        <v>10</v>
      </c>
      <c r="AI61" s="2">
        <v>46029</v>
      </c>
      <c r="AK61" t="s">
        <v>91</v>
      </c>
      <c r="AQ61" t="s">
        <v>92</v>
      </c>
      <c r="AR61" t="s">
        <v>93</v>
      </c>
      <c r="AS61" t="s">
        <v>94</v>
      </c>
      <c r="AT61" t="s">
        <v>95</v>
      </c>
      <c r="AU61" t="s">
        <v>96</v>
      </c>
      <c r="AV61" t="s">
        <v>97</v>
      </c>
      <c r="AW61" t="s">
        <v>109</v>
      </c>
      <c r="AX61" t="s">
        <v>98</v>
      </c>
      <c r="AY61" t="s">
        <v>90</v>
      </c>
      <c r="AZ61" s="2">
        <v>46038</v>
      </c>
      <c r="BA61" t="s">
        <v>99</v>
      </c>
      <c r="BB61" s="4">
        <v>46041.315520833334</v>
      </c>
      <c r="BD61" s="2">
        <v>46073</v>
      </c>
      <c r="BE61" s="2">
        <v>46073</v>
      </c>
      <c r="BF61">
        <v>10</v>
      </c>
      <c r="BG61">
        <v>10</v>
      </c>
      <c r="BH61">
        <v>0</v>
      </c>
      <c r="BI61" s="2">
        <v>46044</v>
      </c>
      <c r="BJ61">
        <v>10</v>
      </c>
      <c r="BK61">
        <v>0</v>
      </c>
      <c r="BL61" s="2">
        <v>46044</v>
      </c>
      <c r="BO61" t="s">
        <v>100</v>
      </c>
      <c r="BP61" s="5">
        <v>1</v>
      </c>
    </row>
    <row r="62" spans="2:68">
      <c r="B62" t="s">
        <v>101</v>
      </c>
      <c r="C62" t="s">
        <v>109</v>
      </c>
      <c r="D62" t="s">
        <v>70</v>
      </c>
      <c r="E62" t="s">
        <v>71</v>
      </c>
      <c r="F62" t="s">
        <v>72</v>
      </c>
      <c r="G62" t="s">
        <v>73</v>
      </c>
      <c r="H62" s="2">
        <v>46073</v>
      </c>
      <c r="I62" s="2">
        <v>46083</v>
      </c>
      <c r="J62" t="s">
        <v>74</v>
      </c>
      <c r="K62" s="2">
        <v>46076</v>
      </c>
      <c r="L62" t="s">
        <v>75</v>
      </c>
      <c r="M62" t="s">
        <v>76</v>
      </c>
      <c r="N62" t="s">
        <v>77</v>
      </c>
      <c r="O62" t="s">
        <v>429</v>
      </c>
      <c r="P62" t="s">
        <v>430</v>
      </c>
      <c r="Q62">
        <v>10</v>
      </c>
      <c r="R62" t="s">
        <v>80</v>
      </c>
      <c r="S62" t="s">
        <v>13</v>
      </c>
      <c r="T62" t="s">
        <v>102</v>
      </c>
      <c r="U62" s="2">
        <v>46078</v>
      </c>
      <c r="V62" t="s">
        <v>82</v>
      </c>
      <c r="W62" t="s">
        <v>83</v>
      </c>
      <c r="X62" t="s">
        <v>84</v>
      </c>
      <c r="Y62" t="s">
        <v>14</v>
      </c>
      <c r="Z62" t="s">
        <v>85</v>
      </c>
      <c r="AA62" t="s">
        <v>86</v>
      </c>
      <c r="AB62" t="s">
        <v>87</v>
      </c>
      <c r="AD62" s="3">
        <v>1141000003</v>
      </c>
      <c r="AE62" t="s">
        <v>103</v>
      </c>
      <c r="AF62" t="s">
        <v>417</v>
      </c>
      <c r="AG62" t="s">
        <v>105</v>
      </c>
      <c r="AH62">
        <v>10</v>
      </c>
      <c r="AI62" s="2">
        <v>46078</v>
      </c>
      <c r="AK62" t="s">
        <v>91</v>
      </c>
      <c r="AQ62" t="s">
        <v>426</v>
      </c>
      <c r="AR62" t="s">
        <v>427</v>
      </c>
      <c r="AS62" t="s">
        <v>94</v>
      </c>
      <c r="AT62" t="s">
        <v>95</v>
      </c>
      <c r="AU62" t="s">
        <v>96</v>
      </c>
      <c r="AV62" t="s">
        <v>431</v>
      </c>
      <c r="AW62" t="s">
        <v>109</v>
      </c>
      <c r="AX62" t="s">
        <v>98</v>
      </c>
      <c r="AY62" t="s">
        <v>105</v>
      </c>
      <c r="AZ62" s="2">
        <v>46084</v>
      </c>
      <c r="BA62" t="s">
        <v>99</v>
      </c>
      <c r="BB62" s="4">
        <v>46119.404293981483</v>
      </c>
      <c r="BD62" s="2">
        <v>46132</v>
      </c>
      <c r="BE62" s="2">
        <v>46132</v>
      </c>
      <c r="BF62">
        <v>10</v>
      </c>
      <c r="BG62">
        <v>10</v>
      </c>
      <c r="BH62">
        <v>0</v>
      </c>
      <c r="BI62" s="2">
        <v>46126</v>
      </c>
      <c r="BJ62">
        <v>10</v>
      </c>
      <c r="BK62">
        <v>0</v>
      </c>
      <c r="BL62" s="2">
        <v>46126</v>
      </c>
      <c r="BO62" t="s">
        <v>100</v>
      </c>
      <c r="BP62" s="5">
        <v>1</v>
      </c>
    </row>
    <row r="63" spans="2:68">
      <c r="B63" t="s">
        <v>356</v>
      </c>
      <c r="C63" t="s">
        <v>109</v>
      </c>
      <c r="D63" t="s">
        <v>70</v>
      </c>
      <c r="E63" t="s">
        <v>71</v>
      </c>
      <c r="F63" t="s">
        <v>72</v>
      </c>
      <c r="G63" t="s">
        <v>73</v>
      </c>
      <c r="H63" s="2">
        <v>46063</v>
      </c>
      <c r="I63" s="2">
        <v>46073</v>
      </c>
      <c r="J63" t="s">
        <v>74</v>
      </c>
      <c r="K63" s="2">
        <v>46065</v>
      </c>
      <c r="L63" t="s">
        <v>75</v>
      </c>
      <c r="M63" t="s">
        <v>76</v>
      </c>
      <c r="N63" t="s">
        <v>77</v>
      </c>
      <c r="O63" t="s">
        <v>423</v>
      </c>
      <c r="P63" t="s">
        <v>424</v>
      </c>
      <c r="Q63">
        <v>3</v>
      </c>
      <c r="R63" t="s">
        <v>80</v>
      </c>
      <c r="S63" t="s">
        <v>13</v>
      </c>
      <c r="T63" t="s">
        <v>102</v>
      </c>
      <c r="U63" s="2">
        <v>46072</v>
      </c>
      <c r="V63" t="s">
        <v>82</v>
      </c>
      <c r="W63" t="s">
        <v>83</v>
      </c>
      <c r="X63" t="s">
        <v>84</v>
      </c>
      <c r="Y63" t="s">
        <v>14</v>
      </c>
      <c r="Z63" t="s">
        <v>165</v>
      </c>
      <c r="AA63" t="s">
        <v>86</v>
      </c>
      <c r="AB63" t="s">
        <v>87</v>
      </c>
      <c r="AD63" s="3">
        <v>1141000001</v>
      </c>
      <c r="AE63" t="s">
        <v>425</v>
      </c>
      <c r="AF63" t="s">
        <v>178</v>
      </c>
      <c r="AG63" t="s">
        <v>105</v>
      </c>
      <c r="AH63">
        <v>3</v>
      </c>
      <c r="AI63" s="2">
        <v>46072</v>
      </c>
      <c r="AK63" t="s">
        <v>91</v>
      </c>
      <c r="AQ63" t="s">
        <v>426</v>
      </c>
      <c r="AR63" t="s">
        <v>427</v>
      </c>
      <c r="AS63" t="s">
        <v>94</v>
      </c>
      <c r="AT63" t="s">
        <v>95</v>
      </c>
      <c r="AU63" t="s">
        <v>96</v>
      </c>
      <c r="AV63" t="s">
        <v>428</v>
      </c>
      <c r="AW63" t="s">
        <v>109</v>
      </c>
      <c r="AX63" t="s">
        <v>98</v>
      </c>
      <c r="AY63" t="s">
        <v>105</v>
      </c>
      <c r="AZ63">
        <v>46083</v>
      </c>
      <c r="BA63" t="s">
        <v>99</v>
      </c>
      <c r="BB63" s="4">
        <v>46119.404872685183</v>
      </c>
      <c r="BD63" s="2">
        <v>46120</v>
      </c>
      <c r="BE63">
        <v>46120</v>
      </c>
      <c r="BF63">
        <v>3</v>
      </c>
      <c r="BG63">
        <v>3</v>
      </c>
      <c r="BH63">
        <v>0</v>
      </c>
      <c r="BI63">
        <v>46126</v>
      </c>
      <c r="BJ63">
        <v>3</v>
      </c>
      <c r="BK63">
        <v>0</v>
      </c>
      <c r="BL63" s="2">
        <v>46126</v>
      </c>
      <c r="BO63" t="s">
        <v>100</v>
      </c>
      <c r="BP63" s="5">
        <v>1</v>
      </c>
    </row>
    <row r="64" spans="2:68">
      <c r="B64" t="s">
        <v>726</v>
      </c>
      <c r="C64" t="s">
        <v>109</v>
      </c>
      <c r="D64" t="s">
        <v>70</v>
      </c>
      <c r="E64" t="s">
        <v>71</v>
      </c>
      <c r="F64" t="s">
        <v>72</v>
      </c>
      <c r="G64" t="s">
        <v>727</v>
      </c>
      <c r="H64" s="2">
        <v>46169</v>
      </c>
      <c r="I64" s="2">
        <v>46188</v>
      </c>
      <c r="J64" t="s">
        <v>74</v>
      </c>
      <c r="K64" s="2">
        <v>46170</v>
      </c>
      <c r="L64" t="s">
        <v>75</v>
      </c>
      <c r="M64" t="s">
        <v>76</v>
      </c>
      <c r="N64" t="s">
        <v>77</v>
      </c>
      <c r="O64" t="s">
        <v>728</v>
      </c>
      <c r="P64" t="s">
        <v>729</v>
      </c>
      <c r="Q64">
        <v>16</v>
      </c>
      <c r="R64" t="s">
        <v>115</v>
      </c>
      <c r="S64" t="s">
        <v>116</v>
      </c>
      <c r="T64" t="s">
        <v>716</v>
      </c>
      <c r="U64" s="2">
        <v>46174</v>
      </c>
      <c r="V64" t="s">
        <v>98</v>
      </c>
      <c r="W64" t="s">
        <v>83</v>
      </c>
      <c r="X64" t="s">
        <v>84</v>
      </c>
      <c r="Y64" t="s">
        <v>14</v>
      </c>
      <c r="Z64" t="s">
        <v>117</v>
      </c>
      <c r="AA64" t="s">
        <v>86</v>
      </c>
      <c r="AB64" t="s">
        <v>87</v>
      </c>
      <c r="AD64" s="3">
        <v>1141000001</v>
      </c>
      <c r="AE64" t="s">
        <v>730</v>
      </c>
      <c r="AF64" t="s">
        <v>192</v>
      </c>
      <c r="AG64" t="s">
        <v>718</v>
      </c>
      <c r="AH64">
        <v>16</v>
      </c>
      <c r="AI64" s="2">
        <v>46174</v>
      </c>
      <c r="AX64" t="s">
        <v>175</v>
      </c>
      <c r="AZ64" s="2"/>
      <c r="BB64" s="4"/>
      <c r="BD64" s="2"/>
      <c r="BE64" s="2"/>
      <c r="BL64" s="2"/>
      <c r="BO64" t="s">
        <v>203</v>
      </c>
      <c r="BP64" s="5">
        <v>1</v>
      </c>
    </row>
    <row r="65" spans="2:68">
      <c r="B65" t="s">
        <v>196</v>
      </c>
      <c r="C65" t="s">
        <v>104</v>
      </c>
      <c r="D65" t="s">
        <v>70</v>
      </c>
      <c r="E65" t="s">
        <v>71</v>
      </c>
      <c r="F65" t="s">
        <v>72</v>
      </c>
      <c r="G65" t="s">
        <v>73</v>
      </c>
      <c r="H65" s="2">
        <v>46056</v>
      </c>
      <c r="I65" s="2">
        <v>46076</v>
      </c>
      <c r="J65" t="s">
        <v>74</v>
      </c>
      <c r="K65" s="2">
        <v>46065</v>
      </c>
      <c r="L65" t="s">
        <v>75</v>
      </c>
      <c r="M65" t="s">
        <v>76</v>
      </c>
      <c r="N65" t="s">
        <v>77</v>
      </c>
      <c r="O65" t="s">
        <v>421</v>
      </c>
      <c r="P65" t="s">
        <v>422</v>
      </c>
      <c r="Q65">
        <v>10</v>
      </c>
      <c r="R65" t="s">
        <v>115</v>
      </c>
      <c r="S65" t="s">
        <v>116</v>
      </c>
      <c r="T65" t="s">
        <v>156</v>
      </c>
      <c r="U65" s="2">
        <v>46066</v>
      </c>
      <c r="V65" t="s">
        <v>175</v>
      </c>
      <c r="W65" t="s">
        <v>83</v>
      </c>
      <c r="X65" t="s">
        <v>84</v>
      </c>
      <c r="Y65" t="s">
        <v>14</v>
      </c>
      <c r="Z65" t="s">
        <v>157</v>
      </c>
      <c r="AA65" t="s">
        <v>86</v>
      </c>
      <c r="AB65" t="s">
        <v>87</v>
      </c>
      <c r="AD65" s="3">
        <v>1141000003</v>
      </c>
      <c r="AE65" t="s">
        <v>406</v>
      </c>
      <c r="AF65" t="s">
        <v>222</v>
      </c>
      <c r="AG65" t="s">
        <v>159</v>
      </c>
      <c r="AH65">
        <v>10</v>
      </c>
      <c r="AI65" s="2">
        <v>46066</v>
      </c>
      <c r="AK65" t="s">
        <v>91</v>
      </c>
      <c r="AQ65" t="s">
        <v>597</v>
      </c>
      <c r="AR65" t="s">
        <v>598</v>
      </c>
      <c r="AS65" t="s">
        <v>94</v>
      </c>
      <c r="AT65" t="s">
        <v>95</v>
      </c>
      <c r="AU65" t="s">
        <v>96</v>
      </c>
      <c r="AV65" t="s">
        <v>599</v>
      </c>
      <c r="AW65" t="s">
        <v>262</v>
      </c>
      <c r="AX65" t="s">
        <v>82</v>
      </c>
      <c r="AY65" t="s">
        <v>159</v>
      </c>
      <c r="AZ65" s="2">
        <v>46112</v>
      </c>
      <c r="BA65" t="s">
        <v>99</v>
      </c>
      <c r="BB65" s="4">
        <v>46113.393020833333</v>
      </c>
      <c r="BD65" s="2">
        <v>46134</v>
      </c>
      <c r="BE65" s="2">
        <v>46134</v>
      </c>
      <c r="BF65">
        <v>10</v>
      </c>
      <c r="BH65">
        <v>10</v>
      </c>
      <c r="BK65">
        <v>10</v>
      </c>
      <c r="BL65" s="2"/>
      <c r="BO65" t="s">
        <v>227</v>
      </c>
      <c r="BP65" s="5">
        <v>1</v>
      </c>
    </row>
    <row r="66" spans="2:68">
      <c r="B66" t="s">
        <v>196</v>
      </c>
      <c r="C66" t="s">
        <v>417</v>
      </c>
      <c r="D66" t="s">
        <v>70</v>
      </c>
      <c r="E66" t="s">
        <v>71</v>
      </c>
      <c r="F66" t="s">
        <v>72</v>
      </c>
      <c r="G66" t="s">
        <v>73</v>
      </c>
      <c r="H66" s="2">
        <v>46056</v>
      </c>
      <c r="I66" s="2">
        <v>46076</v>
      </c>
      <c r="J66" t="s">
        <v>74</v>
      </c>
      <c r="K66" s="2">
        <v>46065</v>
      </c>
      <c r="L66" t="s">
        <v>75</v>
      </c>
      <c r="M66" t="s">
        <v>76</v>
      </c>
      <c r="N66" t="s">
        <v>77</v>
      </c>
      <c r="O66" t="s">
        <v>418</v>
      </c>
      <c r="P66" t="s">
        <v>419</v>
      </c>
      <c r="Q66">
        <v>15</v>
      </c>
      <c r="R66" t="s">
        <v>115</v>
      </c>
      <c r="S66" t="s">
        <v>116</v>
      </c>
      <c r="T66" t="s">
        <v>156</v>
      </c>
      <c r="U66" s="2">
        <v>46066</v>
      </c>
      <c r="V66" t="s">
        <v>175</v>
      </c>
      <c r="W66" t="s">
        <v>83</v>
      </c>
      <c r="X66" t="s">
        <v>84</v>
      </c>
      <c r="Y66" t="s">
        <v>14</v>
      </c>
      <c r="Z66" t="s">
        <v>157</v>
      </c>
      <c r="AA66" t="s">
        <v>86</v>
      </c>
      <c r="AB66" t="s">
        <v>87</v>
      </c>
      <c r="AD66" s="3">
        <v>1141000003</v>
      </c>
      <c r="AE66" t="s">
        <v>406</v>
      </c>
      <c r="AF66" t="s">
        <v>420</v>
      </c>
      <c r="AG66" t="s">
        <v>159</v>
      </c>
      <c r="AH66">
        <v>15</v>
      </c>
      <c r="AI66" s="2">
        <v>46066</v>
      </c>
      <c r="AK66" t="s">
        <v>91</v>
      </c>
      <c r="AQ66" t="s">
        <v>597</v>
      </c>
      <c r="AR66" t="s">
        <v>598</v>
      </c>
      <c r="AS66" t="s">
        <v>94</v>
      </c>
      <c r="AT66" t="s">
        <v>95</v>
      </c>
      <c r="AU66" t="s">
        <v>96</v>
      </c>
      <c r="AV66" t="s">
        <v>599</v>
      </c>
      <c r="AW66" t="s">
        <v>178</v>
      </c>
      <c r="AX66" t="s">
        <v>82</v>
      </c>
      <c r="AY66" t="s">
        <v>159</v>
      </c>
      <c r="AZ66" s="2">
        <v>46112</v>
      </c>
      <c r="BA66" t="s">
        <v>99</v>
      </c>
      <c r="BB66" s="4">
        <v>46113.393020833333</v>
      </c>
      <c r="BD66" s="2">
        <v>46134</v>
      </c>
      <c r="BE66" s="2">
        <v>46134</v>
      </c>
      <c r="BF66">
        <v>15</v>
      </c>
      <c r="BH66">
        <v>15</v>
      </c>
      <c r="BK66">
        <v>15</v>
      </c>
      <c r="BL66" s="2"/>
      <c r="BO66" t="s">
        <v>227</v>
      </c>
      <c r="BP66" s="5">
        <v>1</v>
      </c>
    </row>
    <row r="67" spans="2:68">
      <c r="B67" t="s">
        <v>196</v>
      </c>
      <c r="C67" t="s">
        <v>89</v>
      </c>
      <c r="D67" t="s">
        <v>70</v>
      </c>
      <c r="E67" t="s">
        <v>71</v>
      </c>
      <c r="F67" t="s">
        <v>72</v>
      </c>
      <c r="G67" t="s">
        <v>73</v>
      </c>
      <c r="H67" s="2">
        <v>46056</v>
      </c>
      <c r="I67" s="2">
        <v>46076</v>
      </c>
      <c r="J67" t="s">
        <v>74</v>
      </c>
      <c r="K67" s="2">
        <v>46065</v>
      </c>
      <c r="L67" t="s">
        <v>75</v>
      </c>
      <c r="M67" t="s">
        <v>76</v>
      </c>
      <c r="N67" t="s">
        <v>77</v>
      </c>
      <c r="O67" t="s">
        <v>415</v>
      </c>
      <c r="P67" t="s">
        <v>416</v>
      </c>
      <c r="Q67">
        <v>10</v>
      </c>
      <c r="R67" t="s">
        <v>115</v>
      </c>
      <c r="S67" t="s">
        <v>116</v>
      </c>
      <c r="T67" t="s">
        <v>156</v>
      </c>
      <c r="U67" s="2">
        <v>46066</v>
      </c>
      <c r="V67" t="s">
        <v>98</v>
      </c>
      <c r="W67" t="s">
        <v>83</v>
      </c>
      <c r="X67" t="s">
        <v>84</v>
      </c>
      <c r="Y67" t="s">
        <v>14</v>
      </c>
      <c r="Z67" t="s">
        <v>157</v>
      </c>
      <c r="AA67" t="s">
        <v>86</v>
      </c>
      <c r="AB67" t="s">
        <v>87</v>
      </c>
      <c r="AD67" s="3">
        <v>1141000003</v>
      </c>
      <c r="AE67" t="s">
        <v>406</v>
      </c>
      <c r="AF67" t="s">
        <v>346</v>
      </c>
      <c r="AG67" t="s">
        <v>159</v>
      </c>
      <c r="AH67">
        <v>10</v>
      </c>
      <c r="AI67" s="2">
        <v>46066</v>
      </c>
      <c r="AK67" t="s">
        <v>91</v>
      </c>
      <c r="AQ67" t="s">
        <v>597</v>
      </c>
      <c r="AR67" t="s">
        <v>598</v>
      </c>
      <c r="AS67" t="s">
        <v>94</v>
      </c>
      <c r="AT67" t="s">
        <v>95</v>
      </c>
      <c r="AU67" t="s">
        <v>96</v>
      </c>
      <c r="AV67" t="s">
        <v>599</v>
      </c>
      <c r="AW67" t="s">
        <v>143</v>
      </c>
      <c r="AX67" t="s">
        <v>82</v>
      </c>
      <c r="AY67" t="s">
        <v>159</v>
      </c>
      <c r="AZ67" s="2">
        <v>46112</v>
      </c>
      <c r="BA67" t="s">
        <v>99</v>
      </c>
      <c r="BB67" s="4">
        <v>46113.393020833333</v>
      </c>
      <c r="BD67" s="2">
        <v>46134</v>
      </c>
      <c r="BE67" s="2">
        <v>46134</v>
      </c>
      <c r="BF67">
        <v>10</v>
      </c>
      <c r="BG67">
        <v>10</v>
      </c>
      <c r="BH67">
        <v>0</v>
      </c>
      <c r="BI67">
        <v>46188</v>
      </c>
      <c r="BJ67">
        <v>10</v>
      </c>
      <c r="BK67">
        <v>0</v>
      </c>
      <c r="BL67" s="2">
        <v>46188</v>
      </c>
      <c r="BO67" t="s">
        <v>100</v>
      </c>
      <c r="BP67" s="5">
        <v>1</v>
      </c>
    </row>
    <row r="68" spans="2:68">
      <c r="B68" t="s">
        <v>196</v>
      </c>
      <c r="C68" t="s">
        <v>181</v>
      </c>
      <c r="D68" t="s">
        <v>70</v>
      </c>
      <c r="E68" t="s">
        <v>71</v>
      </c>
      <c r="F68" t="s">
        <v>72</v>
      </c>
      <c r="G68" t="s">
        <v>73</v>
      </c>
      <c r="H68" s="2">
        <v>46056</v>
      </c>
      <c r="I68" s="2">
        <v>46076</v>
      </c>
      <c r="J68" t="s">
        <v>74</v>
      </c>
      <c r="K68" s="2">
        <v>46065</v>
      </c>
      <c r="L68" t="s">
        <v>75</v>
      </c>
      <c r="M68" t="s">
        <v>76</v>
      </c>
      <c r="N68" t="s">
        <v>77</v>
      </c>
      <c r="O68" t="s">
        <v>413</v>
      </c>
      <c r="P68" t="s">
        <v>414</v>
      </c>
      <c r="Q68">
        <v>15</v>
      </c>
      <c r="R68" t="s">
        <v>115</v>
      </c>
      <c r="S68" t="s">
        <v>116</v>
      </c>
      <c r="T68" t="s">
        <v>156</v>
      </c>
      <c r="U68" s="2">
        <v>46066</v>
      </c>
      <c r="V68" t="s">
        <v>175</v>
      </c>
      <c r="W68" t="s">
        <v>83</v>
      </c>
      <c r="X68" t="s">
        <v>84</v>
      </c>
      <c r="Y68" t="s">
        <v>14</v>
      </c>
      <c r="Z68" t="s">
        <v>157</v>
      </c>
      <c r="AA68" t="s">
        <v>86</v>
      </c>
      <c r="AB68" t="s">
        <v>87</v>
      </c>
      <c r="AD68" s="3">
        <v>1141000003</v>
      </c>
      <c r="AE68" t="s">
        <v>406</v>
      </c>
      <c r="AF68" t="s">
        <v>145</v>
      </c>
      <c r="AG68" t="s">
        <v>159</v>
      </c>
      <c r="AH68">
        <v>15</v>
      </c>
      <c r="AI68" s="2">
        <v>46066</v>
      </c>
      <c r="AK68" t="s">
        <v>91</v>
      </c>
      <c r="AQ68" t="s">
        <v>597</v>
      </c>
      <c r="AR68" t="s">
        <v>598</v>
      </c>
      <c r="AS68" t="s">
        <v>94</v>
      </c>
      <c r="AT68" t="s">
        <v>95</v>
      </c>
      <c r="AU68" t="s">
        <v>96</v>
      </c>
      <c r="AV68" t="s">
        <v>599</v>
      </c>
      <c r="AW68" t="s">
        <v>69</v>
      </c>
      <c r="AX68" t="s">
        <v>82</v>
      </c>
      <c r="AY68" t="s">
        <v>159</v>
      </c>
      <c r="AZ68" s="2">
        <v>46112</v>
      </c>
      <c r="BA68" t="s">
        <v>99</v>
      </c>
      <c r="BB68" s="4">
        <v>46113.393020833333</v>
      </c>
      <c r="BD68" s="2">
        <v>46134</v>
      </c>
      <c r="BE68" s="2">
        <v>46134</v>
      </c>
      <c r="BF68">
        <v>15</v>
      </c>
      <c r="BG68">
        <v>15</v>
      </c>
      <c r="BH68">
        <v>0</v>
      </c>
      <c r="BI68">
        <v>46188</v>
      </c>
      <c r="BJ68">
        <v>15</v>
      </c>
      <c r="BK68">
        <v>0</v>
      </c>
      <c r="BL68" s="2">
        <v>46188</v>
      </c>
      <c r="BO68" t="s">
        <v>100</v>
      </c>
      <c r="BP68" s="5">
        <v>1</v>
      </c>
    </row>
    <row r="69" spans="2:68">
      <c r="B69" t="s">
        <v>196</v>
      </c>
      <c r="C69" t="s">
        <v>192</v>
      </c>
      <c r="D69" t="s">
        <v>70</v>
      </c>
      <c r="E69" t="s">
        <v>71</v>
      </c>
      <c r="F69" t="s">
        <v>72</v>
      </c>
      <c r="G69" t="s">
        <v>73</v>
      </c>
      <c r="H69" s="2">
        <v>46056</v>
      </c>
      <c r="I69" s="2">
        <v>46076</v>
      </c>
      <c r="J69" t="s">
        <v>74</v>
      </c>
      <c r="K69" s="2">
        <v>46065</v>
      </c>
      <c r="L69" t="s">
        <v>75</v>
      </c>
      <c r="M69" t="s">
        <v>76</v>
      </c>
      <c r="N69" t="s">
        <v>77</v>
      </c>
      <c r="O69" t="s">
        <v>411</v>
      </c>
      <c r="P69" t="s">
        <v>412</v>
      </c>
      <c r="Q69">
        <v>15</v>
      </c>
      <c r="R69" t="s">
        <v>115</v>
      </c>
      <c r="S69" t="s">
        <v>116</v>
      </c>
      <c r="T69" t="s">
        <v>156</v>
      </c>
      <c r="U69" s="2">
        <v>46066</v>
      </c>
      <c r="V69" t="s">
        <v>175</v>
      </c>
      <c r="W69" t="s">
        <v>83</v>
      </c>
      <c r="X69" t="s">
        <v>84</v>
      </c>
      <c r="Y69" t="s">
        <v>14</v>
      </c>
      <c r="Z69" t="s">
        <v>157</v>
      </c>
      <c r="AA69" t="s">
        <v>86</v>
      </c>
      <c r="AB69" t="s">
        <v>87</v>
      </c>
      <c r="AD69" s="3">
        <v>1141000003</v>
      </c>
      <c r="AE69" t="s">
        <v>406</v>
      </c>
      <c r="AF69" t="s">
        <v>235</v>
      </c>
      <c r="AG69" t="s">
        <v>159</v>
      </c>
      <c r="AH69">
        <v>15</v>
      </c>
      <c r="AI69">
        <v>46066</v>
      </c>
      <c r="AK69" t="s">
        <v>91</v>
      </c>
      <c r="AN69" s="2"/>
      <c r="AQ69" t="s">
        <v>597</v>
      </c>
      <c r="AR69" t="s">
        <v>598</v>
      </c>
      <c r="AS69" t="s">
        <v>94</v>
      </c>
      <c r="AT69" t="s">
        <v>95</v>
      </c>
      <c r="AU69" t="s">
        <v>96</v>
      </c>
      <c r="AV69" t="s">
        <v>599</v>
      </c>
      <c r="AW69" t="s">
        <v>109</v>
      </c>
      <c r="AX69" t="s">
        <v>82</v>
      </c>
      <c r="AY69" t="s">
        <v>159</v>
      </c>
      <c r="AZ69" s="2">
        <v>46112</v>
      </c>
      <c r="BA69" t="s">
        <v>99</v>
      </c>
      <c r="BB69" s="4">
        <v>46113.393020833333</v>
      </c>
      <c r="BD69" s="2">
        <v>46134</v>
      </c>
      <c r="BE69" s="2">
        <v>46134</v>
      </c>
      <c r="BF69">
        <v>15</v>
      </c>
      <c r="BG69">
        <v>15</v>
      </c>
      <c r="BH69">
        <v>0</v>
      </c>
      <c r="BI69" s="2">
        <v>46188</v>
      </c>
      <c r="BJ69">
        <v>15</v>
      </c>
      <c r="BK69">
        <v>0</v>
      </c>
      <c r="BL69" s="2">
        <v>46188</v>
      </c>
      <c r="BO69" t="s">
        <v>100</v>
      </c>
      <c r="BP69" s="5">
        <v>1</v>
      </c>
    </row>
    <row r="70" spans="2:68">
      <c r="B70" t="s">
        <v>196</v>
      </c>
      <c r="C70" t="s">
        <v>407</v>
      </c>
      <c r="D70" t="s">
        <v>70</v>
      </c>
      <c r="E70" t="s">
        <v>71</v>
      </c>
      <c r="F70" t="s">
        <v>72</v>
      </c>
      <c r="G70" t="s">
        <v>73</v>
      </c>
      <c r="H70" s="2">
        <v>46056</v>
      </c>
      <c r="I70" s="2">
        <v>46086</v>
      </c>
      <c r="J70" t="s">
        <v>74</v>
      </c>
      <c r="K70" s="2">
        <v>46065</v>
      </c>
      <c r="L70" t="s">
        <v>75</v>
      </c>
      <c r="M70" t="s">
        <v>76</v>
      </c>
      <c r="N70" t="s">
        <v>77</v>
      </c>
      <c r="O70" t="s">
        <v>408</v>
      </c>
      <c r="P70" t="s">
        <v>409</v>
      </c>
      <c r="Q70">
        <v>20</v>
      </c>
      <c r="R70" t="s">
        <v>115</v>
      </c>
      <c r="S70" t="s">
        <v>13</v>
      </c>
      <c r="T70" t="s">
        <v>396</v>
      </c>
      <c r="U70" s="2">
        <v>45499</v>
      </c>
      <c r="V70" t="s">
        <v>98</v>
      </c>
      <c r="W70" t="s">
        <v>35</v>
      </c>
      <c r="X70" t="s">
        <v>84</v>
      </c>
      <c r="Y70" t="s">
        <v>14</v>
      </c>
      <c r="Z70" t="s">
        <v>157</v>
      </c>
      <c r="AA70" t="s">
        <v>86</v>
      </c>
      <c r="AB70" t="s">
        <v>87</v>
      </c>
      <c r="AD70" s="3">
        <v>1141000003</v>
      </c>
      <c r="AI70" s="2"/>
      <c r="AJ70" t="s">
        <v>397</v>
      </c>
      <c r="AK70" t="s">
        <v>410</v>
      </c>
      <c r="AL70" t="s">
        <v>399</v>
      </c>
      <c r="AM70">
        <v>0</v>
      </c>
      <c r="AN70">
        <v>45499</v>
      </c>
      <c r="AO70" t="s">
        <v>99</v>
      </c>
      <c r="AQ70" t="s">
        <v>400</v>
      </c>
      <c r="AR70" t="s">
        <v>401</v>
      </c>
      <c r="AS70" t="s">
        <v>122</v>
      </c>
      <c r="AT70" t="s">
        <v>123</v>
      </c>
      <c r="AU70" t="s">
        <v>124</v>
      </c>
      <c r="AV70" t="s">
        <v>402</v>
      </c>
      <c r="AW70" t="s">
        <v>69</v>
      </c>
      <c r="AX70" t="s">
        <v>98</v>
      </c>
      <c r="AY70" t="s">
        <v>126</v>
      </c>
      <c r="AZ70" s="2">
        <v>46066</v>
      </c>
      <c r="BA70" t="s">
        <v>99</v>
      </c>
      <c r="BB70" s="4">
        <v>46119.405474537038</v>
      </c>
      <c r="BD70" s="2"/>
      <c r="BE70" s="2">
        <v>46142</v>
      </c>
      <c r="BF70">
        <v>20</v>
      </c>
      <c r="BG70">
        <v>20</v>
      </c>
      <c r="BH70">
        <v>0</v>
      </c>
      <c r="BI70">
        <v>46156</v>
      </c>
      <c r="BJ70">
        <v>20</v>
      </c>
      <c r="BK70">
        <v>0</v>
      </c>
      <c r="BL70" s="2">
        <v>46156</v>
      </c>
      <c r="BO70" t="s">
        <v>100</v>
      </c>
      <c r="BP70" s="5">
        <v>1</v>
      </c>
    </row>
    <row r="71" spans="2:68">
      <c r="B71" t="s">
        <v>196</v>
      </c>
      <c r="C71" t="s">
        <v>403</v>
      </c>
      <c r="D71" t="s">
        <v>70</v>
      </c>
      <c r="E71" t="s">
        <v>71</v>
      </c>
      <c r="F71" t="s">
        <v>72</v>
      </c>
      <c r="G71" t="s">
        <v>73</v>
      </c>
      <c r="H71" s="2">
        <v>46056</v>
      </c>
      <c r="I71" s="2">
        <v>46076</v>
      </c>
      <c r="J71" t="s">
        <v>74</v>
      </c>
      <c r="K71" s="2">
        <v>46065</v>
      </c>
      <c r="L71" t="s">
        <v>75</v>
      </c>
      <c r="M71" t="s">
        <v>76</v>
      </c>
      <c r="N71" t="s">
        <v>77</v>
      </c>
      <c r="O71" t="s">
        <v>404</v>
      </c>
      <c r="P71" t="s">
        <v>405</v>
      </c>
      <c r="Q71">
        <v>20</v>
      </c>
      <c r="R71" t="s">
        <v>115</v>
      </c>
      <c r="S71" t="s">
        <v>116</v>
      </c>
      <c r="T71" t="s">
        <v>156</v>
      </c>
      <c r="U71" s="2">
        <v>46066</v>
      </c>
      <c r="V71" t="s">
        <v>98</v>
      </c>
      <c r="W71" t="s">
        <v>83</v>
      </c>
      <c r="X71" t="s">
        <v>84</v>
      </c>
      <c r="Y71" t="s">
        <v>14</v>
      </c>
      <c r="Z71" t="s">
        <v>157</v>
      </c>
      <c r="AA71" t="s">
        <v>86</v>
      </c>
      <c r="AB71" t="s">
        <v>87</v>
      </c>
      <c r="AD71" s="3">
        <v>1141000003</v>
      </c>
      <c r="AE71" t="s">
        <v>406</v>
      </c>
      <c r="AF71" t="s">
        <v>284</v>
      </c>
      <c r="AG71" t="s">
        <v>159</v>
      </c>
      <c r="AH71">
        <v>20</v>
      </c>
      <c r="AI71">
        <v>46066</v>
      </c>
      <c r="AK71" t="s">
        <v>91</v>
      </c>
      <c r="AN71" s="2"/>
      <c r="AQ71" t="s">
        <v>597</v>
      </c>
      <c r="AR71" t="s">
        <v>598</v>
      </c>
      <c r="AS71" t="s">
        <v>94</v>
      </c>
      <c r="AT71" t="s">
        <v>95</v>
      </c>
      <c r="AU71" t="s">
        <v>96</v>
      </c>
      <c r="AV71" t="s">
        <v>599</v>
      </c>
      <c r="AW71" t="s">
        <v>259</v>
      </c>
      <c r="AX71" t="s">
        <v>82</v>
      </c>
      <c r="AY71" t="s">
        <v>159</v>
      </c>
      <c r="AZ71" s="2">
        <v>46112</v>
      </c>
      <c r="BA71" t="s">
        <v>99</v>
      </c>
      <c r="BB71" s="4">
        <v>46113.393020833333</v>
      </c>
      <c r="BD71" s="2">
        <v>46139</v>
      </c>
      <c r="BE71" s="2">
        <v>46139</v>
      </c>
      <c r="BF71">
        <v>20</v>
      </c>
      <c r="BH71">
        <v>20</v>
      </c>
      <c r="BI71" s="2"/>
      <c r="BK71">
        <v>20</v>
      </c>
      <c r="BL71" s="2"/>
      <c r="BO71" t="s">
        <v>227</v>
      </c>
      <c r="BP71" s="5">
        <v>1</v>
      </c>
    </row>
    <row r="72" spans="2:68">
      <c r="B72" t="s">
        <v>196</v>
      </c>
      <c r="C72" t="s">
        <v>393</v>
      </c>
      <c r="D72" t="s">
        <v>70</v>
      </c>
      <c r="E72" t="s">
        <v>71</v>
      </c>
      <c r="F72" t="s">
        <v>72</v>
      </c>
      <c r="G72" t="s">
        <v>73</v>
      </c>
      <c r="H72" s="2">
        <v>46056</v>
      </c>
      <c r="I72" s="2">
        <v>46086</v>
      </c>
      <c r="J72" t="s">
        <v>74</v>
      </c>
      <c r="K72" s="2">
        <v>46065</v>
      </c>
      <c r="L72" t="s">
        <v>75</v>
      </c>
      <c r="M72" t="s">
        <v>76</v>
      </c>
      <c r="N72" t="s">
        <v>77</v>
      </c>
      <c r="O72" t="s">
        <v>394</v>
      </c>
      <c r="P72" t="s">
        <v>395</v>
      </c>
      <c r="Q72">
        <v>20</v>
      </c>
      <c r="R72" t="s">
        <v>115</v>
      </c>
      <c r="S72" t="s">
        <v>13</v>
      </c>
      <c r="T72" t="s">
        <v>396</v>
      </c>
      <c r="U72" s="2">
        <v>45499</v>
      </c>
      <c r="V72" t="s">
        <v>98</v>
      </c>
      <c r="W72" t="s">
        <v>35</v>
      </c>
      <c r="X72" t="s">
        <v>84</v>
      </c>
      <c r="Y72" t="s">
        <v>14</v>
      </c>
      <c r="Z72" t="s">
        <v>157</v>
      </c>
      <c r="AA72" t="s">
        <v>86</v>
      </c>
      <c r="AB72" t="s">
        <v>87</v>
      </c>
      <c r="AD72" s="3">
        <v>1141000003</v>
      </c>
      <c r="AI72" s="2"/>
      <c r="AJ72" t="s">
        <v>397</v>
      </c>
      <c r="AK72" t="s">
        <v>398</v>
      </c>
      <c r="AL72" t="s">
        <v>399</v>
      </c>
      <c r="AM72">
        <v>0</v>
      </c>
      <c r="AN72">
        <v>45499</v>
      </c>
      <c r="AO72" t="s">
        <v>99</v>
      </c>
      <c r="AQ72" t="s">
        <v>400</v>
      </c>
      <c r="AR72" t="s">
        <v>401</v>
      </c>
      <c r="AS72" t="s">
        <v>122</v>
      </c>
      <c r="AT72" t="s">
        <v>123</v>
      </c>
      <c r="AU72" t="s">
        <v>124</v>
      </c>
      <c r="AV72" t="s">
        <v>402</v>
      </c>
      <c r="AW72" t="s">
        <v>109</v>
      </c>
      <c r="AX72" t="s">
        <v>98</v>
      </c>
      <c r="AY72" t="s">
        <v>126</v>
      </c>
      <c r="AZ72" s="2">
        <v>46066</v>
      </c>
      <c r="BA72" t="s">
        <v>99</v>
      </c>
      <c r="BB72" s="4">
        <v>46119.405474537038</v>
      </c>
      <c r="BD72" s="2"/>
      <c r="BE72" s="2">
        <v>46142</v>
      </c>
      <c r="BF72">
        <v>20</v>
      </c>
      <c r="BG72">
        <v>20</v>
      </c>
      <c r="BH72">
        <v>0</v>
      </c>
      <c r="BI72" s="2">
        <v>46156</v>
      </c>
      <c r="BJ72">
        <v>20</v>
      </c>
      <c r="BK72">
        <v>0</v>
      </c>
      <c r="BL72" s="2">
        <v>46156</v>
      </c>
      <c r="BO72" t="s">
        <v>100</v>
      </c>
      <c r="BP72" s="5">
        <v>1</v>
      </c>
    </row>
    <row r="73" spans="2:68">
      <c r="B73" t="s">
        <v>144</v>
      </c>
      <c r="C73" t="s">
        <v>143</v>
      </c>
      <c r="D73" t="s">
        <v>70</v>
      </c>
      <c r="E73" t="s">
        <v>71</v>
      </c>
      <c r="F73" t="s">
        <v>72</v>
      </c>
      <c r="G73" t="s">
        <v>73</v>
      </c>
      <c r="H73" s="2">
        <v>45922</v>
      </c>
      <c r="I73" s="2">
        <v>45929</v>
      </c>
      <c r="J73" t="s">
        <v>74</v>
      </c>
      <c r="K73" s="2">
        <v>45922</v>
      </c>
      <c r="L73" t="s">
        <v>75</v>
      </c>
      <c r="M73" t="s">
        <v>76</v>
      </c>
      <c r="N73" t="s">
        <v>77</v>
      </c>
      <c r="O73" t="s">
        <v>391</v>
      </c>
      <c r="P73" t="s">
        <v>392</v>
      </c>
      <c r="Q73">
        <v>2</v>
      </c>
      <c r="R73" t="s">
        <v>115</v>
      </c>
      <c r="S73" t="s">
        <v>116</v>
      </c>
      <c r="T73" t="s">
        <v>290</v>
      </c>
      <c r="U73" s="2">
        <v>45924</v>
      </c>
      <c r="V73" t="s">
        <v>98</v>
      </c>
      <c r="W73" t="s">
        <v>83</v>
      </c>
      <c r="X73" t="s">
        <v>84</v>
      </c>
      <c r="Y73" t="s">
        <v>14</v>
      </c>
      <c r="Z73" t="s">
        <v>291</v>
      </c>
      <c r="AA73" t="s">
        <v>86</v>
      </c>
      <c r="AB73" t="s">
        <v>87</v>
      </c>
      <c r="AD73" s="3">
        <v>1141000003</v>
      </c>
      <c r="AE73" t="s">
        <v>387</v>
      </c>
      <c r="AF73" t="s">
        <v>69</v>
      </c>
      <c r="AG73" t="s">
        <v>293</v>
      </c>
      <c r="AH73">
        <v>2</v>
      </c>
      <c r="AI73" s="2">
        <v>45924</v>
      </c>
      <c r="AK73" t="s">
        <v>91</v>
      </c>
      <c r="AQ73" t="s">
        <v>294</v>
      </c>
      <c r="AR73" t="s">
        <v>295</v>
      </c>
      <c r="AS73" t="s">
        <v>94</v>
      </c>
      <c r="AT73" t="s">
        <v>95</v>
      </c>
      <c r="AU73" t="s">
        <v>96</v>
      </c>
      <c r="AV73" t="s">
        <v>388</v>
      </c>
      <c r="AW73" t="s">
        <v>109</v>
      </c>
      <c r="AX73" t="s">
        <v>82</v>
      </c>
      <c r="AY73" t="s">
        <v>293</v>
      </c>
      <c r="AZ73" s="2">
        <v>45931</v>
      </c>
      <c r="BA73" t="s">
        <v>99</v>
      </c>
      <c r="BB73" s="4">
        <v>45932.355416666665</v>
      </c>
      <c r="BD73" s="2">
        <v>45936</v>
      </c>
      <c r="BE73" s="2">
        <v>45936</v>
      </c>
      <c r="BF73">
        <v>2</v>
      </c>
      <c r="BG73">
        <v>2</v>
      </c>
      <c r="BH73">
        <v>0</v>
      </c>
      <c r="BI73" s="2">
        <v>45951</v>
      </c>
      <c r="BJ73">
        <v>2</v>
      </c>
      <c r="BK73">
        <v>0</v>
      </c>
      <c r="BL73" s="2">
        <v>45951</v>
      </c>
      <c r="BO73" t="s">
        <v>100</v>
      </c>
      <c r="BP73" s="5">
        <v>1</v>
      </c>
    </row>
    <row r="74" spans="2:68">
      <c r="B74" t="s">
        <v>144</v>
      </c>
      <c r="C74" t="s">
        <v>178</v>
      </c>
      <c r="D74" t="s">
        <v>70</v>
      </c>
      <c r="E74" t="s">
        <v>71</v>
      </c>
      <c r="F74" t="s">
        <v>72</v>
      </c>
      <c r="G74" t="s">
        <v>73</v>
      </c>
      <c r="H74" s="2">
        <v>45922</v>
      </c>
      <c r="I74" s="2">
        <v>45929</v>
      </c>
      <c r="J74" t="s">
        <v>74</v>
      </c>
      <c r="K74" s="2">
        <v>45922</v>
      </c>
      <c r="L74" t="s">
        <v>75</v>
      </c>
      <c r="M74" t="s">
        <v>76</v>
      </c>
      <c r="N74" t="s">
        <v>77</v>
      </c>
      <c r="O74" t="s">
        <v>389</v>
      </c>
      <c r="P74" t="s">
        <v>390</v>
      </c>
      <c r="Q74">
        <v>4</v>
      </c>
      <c r="R74" t="s">
        <v>115</v>
      </c>
      <c r="S74" t="s">
        <v>116</v>
      </c>
      <c r="T74" t="s">
        <v>290</v>
      </c>
      <c r="U74" s="2">
        <v>45924</v>
      </c>
      <c r="V74" t="s">
        <v>98</v>
      </c>
      <c r="W74" t="s">
        <v>83</v>
      </c>
      <c r="X74" t="s">
        <v>84</v>
      </c>
      <c r="Y74" t="s">
        <v>14</v>
      </c>
      <c r="Z74" t="s">
        <v>291</v>
      </c>
      <c r="AA74" t="s">
        <v>86</v>
      </c>
      <c r="AB74" t="s">
        <v>87</v>
      </c>
      <c r="AD74" s="3">
        <v>1141000003</v>
      </c>
      <c r="AE74" t="s">
        <v>387</v>
      </c>
      <c r="AF74" t="s">
        <v>143</v>
      </c>
      <c r="AG74" t="s">
        <v>293</v>
      </c>
      <c r="AH74">
        <v>4</v>
      </c>
      <c r="AI74" s="2">
        <v>45924</v>
      </c>
      <c r="AK74" t="s">
        <v>91</v>
      </c>
      <c r="AQ74" t="s">
        <v>294</v>
      </c>
      <c r="AR74" t="s">
        <v>295</v>
      </c>
      <c r="AS74" t="s">
        <v>94</v>
      </c>
      <c r="AT74" t="s">
        <v>95</v>
      </c>
      <c r="AU74" t="s">
        <v>96</v>
      </c>
      <c r="AV74" t="s">
        <v>388</v>
      </c>
      <c r="AW74" t="s">
        <v>69</v>
      </c>
      <c r="AX74" t="s">
        <v>82</v>
      </c>
      <c r="AY74" t="s">
        <v>293</v>
      </c>
      <c r="AZ74" s="2">
        <v>45931</v>
      </c>
      <c r="BA74" t="s">
        <v>99</v>
      </c>
      <c r="BB74" s="4">
        <v>45932.355416666665</v>
      </c>
      <c r="BD74" s="2">
        <v>45936</v>
      </c>
      <c r="BE74" s="2">
        <v>45936</v>
      </c>
      <c r="BF74">
        <v>4</v>
      </c>
      <c r="BG74">
        <v>4</v>
      </c>
      <c r="BH74">
        <v>0</v>
      </c>
      <c r="BI74" s="2">
        <v>45951</v>
      </c>
      <c r="BJ74">
        <v>4</v>
      </c>
      <c r="BK74">
        <v>0</v>
      </c>
      <c r="BL74" s="2">
        <v>45951</v>
      </c>
      <c r="BO74" t="s">
        <v>100</v>
      </c>
      <c r="BP74" s="5">
        <v>1</v>
      </c>
    </row>
    <row r="75" spans="2:68">
      <c r="B75" t="s">
        <v>144</v>
      </c>
      <c r="C75" t="s">
        <v>262</v>
      </c>
      <c r="D75" t="s">
        <v>70</v>
      </c>
      <c r="E75" t="s">
        <v>71</v>
      </c>
      <c r="F75" t="s">
        <v>72</v>
      </c>
      <c r="G75" t="s">
        <v>73</v>
      </c>
      <c r="H75" s="2">
        <v>45922</v>
      </c>
      <c r="I75" s="2">
        <v>45929</v>
      </c>
      <c r="J75" t="s">
        <v>74</v>
      </c>
      <c r="K75" s="2">
        <v>45922</v>
      </c>
      <c r="L75" t="s">
        <v>75</v>
      </c>
      <c r="M75" t="s">
        <v>76</v>
      </c>
      <c r="N75" t="s">
        <v>77</v>
      </c>
      <c r="O75" t="s">
        <v>385</v>
      </c>
      <c r="P75" t="s">
        <v>386</v>
      </c>
      <c r="Q75">
        <v>4</v>
      </c>
      <c r="R75" t="s">
        <v>115</v>
      </c>
      <c r="S75" t="s">
        <v>116</v>
      </c>
      <c r="T75" t="s">
        <v>290</v>
      </c>
      <c r="U75" s="2">
        <v>45924</v>
      </c>
      <c r="V75" t="s">
        <v>98</v>
      </c>
      <c r="W75" t="s">
        <v>83</v>
      </c>
      <c r="X75" t="s">
        <v>84</v>
      </c>
      <c r="Y75" t="s">
        <v>14</v>
      </c>
      <c r="Z75" t="s">
        <v>291</v>
      </c>
      <c r="AA75" t="s">
        <v>86</v>
      </c>
      <c r="AB75" t="s">
        <v>87</v>
      </c>
      <c r="AD75" s="3">
        <v>1141000003</v>
      </c>
      <c r="AE75" t="s">
        <v>387</v>
      </c>
      <c r="AF75" t="s">
        <v>178</v>
      </c>
      <c r="AG75" t="s">
        <v>293</v>
      </c>
      <c r="AH75">
        <v>4</v>
      </c>
      <c r="AI75">
        <v>45924</v>
      </c>
      <c r="AK75" t="s">
        <v>91</v>
      </c>
      <c r="AN75" s="2"/>
      <c r="AQ75" t="s">
        <v>294</v>
      </c>
      <c r="AR75" t="s">
        <v>295</v>
      </c>
      <c r="AS75" t="s">
        <v>94</v>
      </c>
      <c r="AT75" t="s">
        <v>95</v>
      </c>
      <c r="AU75" t="s">
        <v>96</v>
      </c>
      <c r="AV75" t="s">
        <v>388</v>
      </c>
      <c r="AW75" t="s">
        <v>143</v>
      </c>
      <c r="AX75" t="s">
        <v>82</v>
      </c>
      <c r="AY75" t="s">
        <v>293</v>
      </c>
      <c r="AZ75" s="2">
        <v>45931</v>
      </c>
      <c r="BA75" t="s">
        <v>99</v>
      </c>
      <c r="BB75" s="4">
        <v>45932.355416666665</v>
      </c>
      <c r="BD75" s="2">
        <v>45936</v>
      </c>
      <c r="BE75" s="2">
        <v>45936</v>
      </c>
      <c r="BF75">
        <v>4</v>
      </c>
      <c r="BG75">
        <v>4</v>
      </c>
      <c r="BH75">
        <v>0</v>
      </c>
      <c r="BI75" s="2">
        <v>45951</v>
      </c>
      <c r="BJ75">
        <v>4</v>
      </c>
      <c r="BK75">
        <v>0</v>
      </c>
      <c r="BL75" s="2">
        <v>45951</v>
      </c>
      <c r="BO75" t="s">
        <v>100</v>
      </c>
      <c r="BP75" s="5">
        <v>1</v>
      </c>
    </row>
    <row r="76" spans="2:68">
      <c r="B76" t="s">
        <v>177</v>
      </c>
      <c r="C76" t="s">
        <v>69</v>
      </c>
      <c r="D76" t="s">
        <v>70</v>
      </c>
      <c r="E76" t="s">
        <v>71</v>
      </c>
      <c r="F76" t="s">
        <v>72</v>
      </c>
      <c r="G76" t="s">
        <v>179</v>
      </c>
      <c r="H76" s="2">
        <v>46090</v>
      </c>
      <c r="I76" s="2">
        <v>46128</v>
      </c>
      <c r="J76" t="s">
        <v>74</v>
      </c>
      <c r="K76" s="2">
        <v>46104</v>
      </c>
      <c r="L76" t="s">
        <v>75</v>
      </c>
      <c r="M76" t="s">
        <v>76</v>
      </c>
      <c r="N76" t="s">
        <v>77</v>
      </c>
      <c r="O76" t="s">
        <v>382</v>
      </c>
      <c r="P76" t="s">
        <v>383</v>
      </c>
      <c r="Q76">
        <v>15</v>
      </c>
      <c r="R76" t="s">
        <v>115</v>
      </c>
      <c r="S76" t="s">
        <v>13</v>
      </c>
      <c r="T76" t="s">
        <v>230</v>
      </c>
      <c r="U76" s="2">
        <v>45615</v>
      </c>
      <c r="V76" t="s">
        <v>98</v>
      </c>
      <c r="W76" t="s">
        <v>35</v>
      </c>
      <c r="X76" t="s">
        <v>84</v>
      </c>
      <c r="Y76" t="s">
        <v>14</v>
      </c>
      <c r="Z76" t="s">
        <v>384</v>
      </c>
      <c r="AA76" t="s">
        <v>86</v>
      </c>
      <c r="AB76" t="s">
        <v>87</v>
      </c>
      <c r="AD76" s="3">
        <v>1141000001</v>
      </c>
      <c r="AI76" s="2"/>
      <c r="AJ76" t="s">
        <v>600</v>
      </c>
      <c r="AK76" t="s">
        <v>141</v>
      </c>
      <c r="AL76" t="s">
        <v>232</v>
      </c>
      <c r="AM76">
        <v>0</v>
      </c>
      <c r="AN76">
        <v>45615</v>
      </c>
      <c r="AO76" t="s">
        <v>99</v>
      </c>
      <c r="AQ76" t="s">
        <v>120</v>
      </c>
      <c r="AR76" t="s">
        <v>121</v>
      </c>
      <c r="AS76" t="s">
        <v>122</v>
      </c>
      <c r="AT76" t="s">
        <v>123</v>
      </c>
      <c r="AU76" t="s">
        <v>124</v>
      </c>
      <c r="AV76" t="s">
        <v>601</v>
      </c>
      <c r="AW76" t="s">
        <v>69</v>
      </c>
      <c r="AX76" t="s">
        <v>82</v>
      </c>
      <c r="AY76" t="s">
        <v>126</v>
      </c>
      <c r="AZ76" s="2">
        <v>46126</v>
      </c>
      <c r="BA76" t="s">
        <v>99</v>
      </c>
      <c r="BB76" s="4">
        <v>46126.614293981482</v>
      </c>
      <c r="BD76" s="2"/>
      <c r="BE76" s="2">
        <v>46157</v>
      </c>
      <c r="BF76">
        <v>15</v>
      </c>
      <c r="BG76">
        <v>15</v>
      </c>
      <c r="BH76">
        <v>0</v>
      </c>
      <c r="BI76" s="2">
        <v>46168</v>
      </c>
      <c r="BJ76">
        <v>15</v>
      </c>
      <c r="BK76">
        <v>0</v>
      </c>
      <c r="BL76" s="2">
        <v>46168</v>
      </c>
      <c r="BO76" t="s">
        <v>100</v>
      </c>
      <c r="BP76" s="5">
        <v>1</v>
      </c>
    </row>
    <row r="77" spans="2:68">
      <c r="B77" t="s">
        <v>207</v>
      </c>
      <c r="C77" t="s">
        <v>243</v>
      </c>
      <c r="D77" t="s">
        <v>70</v>
      </c>
      <c r="E77" t="s">
        <v>71</v>
      </c>
      <c r="F77" t="s">
        <v>72</v>
      </c>
      <c r="G77" t="s">
        <v>179</v>
      </c>
      <c r="H77" s="2">
        <v>46090</v>
      </c>
      <c r="I77" s="2">
        <v>46128</v>
      </c>
      <c r="J77" t="s">
        <v>74</v>
      </c>
      <c r="K77" s="2">
        <v>46104</v>
      </c>
      <c r="L77" t="s">
        <v>75</v>
      </c>
      <c r="M77" t="s">
        <v>76</v>
      </c>
      <c r="N77" t="s">
        <v>77</v>
      </c>
      <c r="O77" t="s">
        <v>380</v>
      </c>
      <c r="P77" t="s">
        <v>381</v>
      </c>
      <c r="Q77">
        <v>5</v>
      </c>
      <c r="R77" t="s">
        <v>115</v>
      </c>
      <c r="S77" t="s">
        <v>13</v>
      </c>
      <c r="T77" t="s">
        <v>81</v>
      </c>
      <c r="U77" s="2">
        <v>46105</v>
      </c>
      <c r="V77" t="s">
        <v>82</v>
      </c>
      <c r="W77" t="s">
        <v>83</v>
      </c>
      <c r="X77" t="s">
        <v>84</v>
      </c>
      <c r="Y77" t="s">
        <v>14</v>
      </c>
      <c r="Z77" t="s">
        <v>85</v>
      </c>
      <c r="AA77" t="s">
        <v>86</v>
      </c>
      <c r="AB77" t="s">
        <v>87</v>
      </c>
      <c r="AD77" s="3">
        <v>1141000003</v>
      </c>
      <c r="AE77" t="s">
        <v>602</v>
      </c>
      <c r="AF77" t="s">
        <v>259</v>
      </c>
      <c r="AG77" t="s">
        <v>90</v>
      </c>
      <c r="AH77">
        <v>5</v>
      </c>
      <c r="AI77" s="2">
        <v>46105</v>
      </c>
      <c r="AK77" t="s">
        <v>91</v>
      </c>
      <c r="AQ77" t="s">
        <v>603</v>
      </c>
      <c r="AR77" t="s">
        <v>604</v>
      </c>
      <c r="AS77" t="s">
        <v>94</v>
      </c>
      <c r="AT77" t="s">
        <v>95</v>
      </c>
      <c r="AU77" t="s">
        <v>96</v>
      </c>
      <c r="AV77" t="s">
        <v>605</v>
      </c>
      <c r="AW77" t="s">
        <v>69</v>
      </c>
      <c r="AX77" t="s">
        <v>98</v>
      </c>
      <c r="AY77" t="s">
        <v>90</v>
      </c>
      <c r="AZ77" s="2">
        <v>46114</v>
      </c>
      <c r="BA77" t="s">
        <v>99</v>
      </c>
      <c r="BB77" s="4">
        <v>46119.394016203703</v>
      </c>
      <c r="BD77" s="2">
        <v>46147</v>
      </c>
      <c r="BE77" s="2">
        <v>46147</v>
      </c>
      <c r="BF77">
        <v>5</v>
      </c>
      <c r="BG77">
        <v>5</v>
      </c>
      <c r="BH77">
        <v>0</v>
      </c>
      <c r="BI77">
        <v>46156</v>
      </c>
      <c r="BJ77">
        <v>5</v>
      </c>
      <c r="BK77">
        <v>0</v>
      </c>
      <c r="BL77" s="2">
        <v>46156</v>
      </c>
      <c r="BO77" t="s">
        <v>100</v>
      </c>
      <c r="BP77" s="5">
        <v>1</v>
      </c>
    </row>
    <row r="78" spans="2:68">
      <c r="B78" t="s">
        <v>207</v>
      </c>
      <c r="C78" t="s">
        <v>140</v>
      </c>
      <c r="D78" t="s">
        <v>70</v>
      </c>
      <c r="E78" t="s">
        <v>71</v>
      </c>
      <c r="F78" t="s">
        <v>72</v>
      </c>
      <c r="G78" t="s">
        <v>179</v>
      </c>
      <c r="H78" s="2">
        <v>46090</v>
      </c>
      <c r="I78" s="2">
        <v>46128</v>
      </c>
      <c r="J78" t="s">
        <v>74</v>
      </c>
      <c r="K78" s="2">
        <v>46104</v>
      </c>
      <c r="L78" t="s">
        <v>75</v>
      </c>
      <c r="M78" t="s">
        <v>76</v>
      </c>
      <c r="N78" t="s">
        <v>77</v>
      </c>
      <c r="O78" t="s">
        <v>378</v>
      </c>
      <c r="P78" t="s">
        <v>379</v>
      </c>
      <c r="Q78">
        <v>5</v>
      </c>
      <c r="R78" t="s">
        <v>115</v>
      </c>
      <c r="S78" t="s">
        <v>13</v>
      </c>
      <c r="T78" t="s">
        <v>81</v>
      </c>
      <c r="U78" s="2">
        <v>46105</v>
      </c>
      <c r="V78" t="s">
        <v>82</v>
      </c>
      <c r="W78" t="s">
        <v>83</v>
      </c>
      <c r="X78" t="s">
        <v>84</v>
      </c>
      <c r="Y78" t="s">
        <v>14</v>
      </c>
      <c r="Z78" t="s">
        <v>85</v>
      </c>
      <c r="AA78" t="s">
        <v>86</v>
      </c>
      <c r="AB78" t="s">
        <v>87</v>
      </c>
      <c r="AD78" s="3">
        <v>1141000003</v>
      </c>
      <c r="AE78" t="s">
        <v>602</v>
      </c>
      <c r="AF78" t="s">
        <v>262</v>
      </c>
      <c r="AG78" t="s">
        <v>90</v>
      </c>
      <c r="AH78">
        <v>5</v>
      </c>
      <c r="AI78" s="2">
        <v>46105</v>
      </c>
      <c r="AK78" t="s">
        <v>91</v>
      </c>
      <c r="AQ78" t="s">
        <v>92</v>
      </c>
      <c r="AR78" t="s">
        <v>93</v>
      </c>
      <c r="AS78" t="s">
        <v>94</v>
      </c>
      <c r="AT78" t="s">
        <v>95</v>
      </c>
      <c r="AU78" t="s">
        <v>96</v>
      </c>
      <c r="AV78" t="s">
        <v>606</v>
      </c>
      <c r="AW78" t="s">
        <v>109</v>
      </c>
      <c r="AX78" t="s">
        <v>98</v>
      </c>
      <c r="AY78" t="s">
        <v>90</v>
      </c>
      <c r="AZ78" s="2">
        <v>46114</v>
      </c>
      <c r="BA78" t="s">
        <v>99</v>
      </c>
      <c r="BB78" s="4">
        <v>46119.394317129627</v>
      </c>
      <c r="BD78" s="2">
        <v>46203</v>
      </c>
      <c r="BE78" s="2">
        <v>46147</v>
      </c>
      <c r="BF78">
        <v>5</v>
      </c>
      <c r="BH78">
        <v>5</v>
      </c>
      <c r="BI78" s="2"/>
      <c r="BK78">
        <v>5</v>
      </c>
      <c r="BL78" s="2"/>
      <c r="BO78" t="s">
        <v>227</v>
      </c>
      <c r="BP78" s="5">
        <v>1</v>
      </c>
    </row>
    <row r="79" spans="2:68">
      <c r="B79" t="s">
        <v>207</v>
      </c>
      <c r="C79" t="s">
        <v>259</v>
      </c>
      <c r="D79" t="s">
        <v>70</v>
      </c>
      <c r="E79" t="s">
        <v>71</v>
      </c>
      <c r="F79" t="s">
        <v>72</v>
      </c>
      <c r="G79" t="s">
        <v>179</v>
      </c>
      <c r="H79" s="2">
        <v>46090</v>
      </c>
      <c r="I79" s="2">
        <v>46128</v>
      </c>
      <c r="J79" t="s">
        <v>74</v>
      </c>
      <c r="K79" s="2">
        <v>46104</v>
      </c>
      <c r="L79" t="s">
        <v>75</v>
      </c>
      <c r="M79" t="s">
        <v>76</v>
      </c>
      <c r="N79" t="s">
        <v>77</v>
      </c>
      <c r="O79" t="s">
        <v>376</v>
      </c>
      <c r="P79" t="s">
        <v>377</v>
      </c>
      <c r="Q79">
        <v>2</v>
      </c>
      <c r="R79" t="s">
        <v>115</v>
      </c>
      <c r="S79" t="s">
        <v>13</v>
      </c>
      <c r="T79" t="s">
        <v>81</v>
      </c>
      <c r="U79" s="2">
        <v>46105</v>
      </c>
      <c r="V79" t="s">
        <v>82</v>
      </c>
      <c r="W79" t="s">
        <v>83</v>
      </c>
      <c r="X79" t="s">
        <v>84</v>
      </c>
      <c r="Y79" t="s">
        <v>14</v>
      </c>
      <c r="Z79" t="s">
        <v>85</v>
      </c>
      <c r="AA79" t="s">
        <v>86</v>
      </c>
      <c r="AB79" t="s">
        <v>87</v>
      </c>
      <c r="AD79" s="3">
        <v>1141000003</v>
      </c>
      <c r="AE79" t="s">
        <v>602</v>
      </c>
      <c r="AF79" t="s">
        <v>178</v>
      </c>
      <c r="AG79" t="s">
        <v>90</v>
      </c>
      <c r="AH79">
        <v>2</v>
      </c>
      <c r="AI79" s="2">
        <v>46105</v>
      </c>
      <c r="AK79" t="s">
        <v>91</v>
      </c>
      <c r="AQ79" t="s">
        <v>603</v>
      </c>
      <c r="AR79" t="s">
        <v>604</v>
      </c>
      <c r="AS79" t="s">
        <v>94</v>
      </c>
      <c r="AT79" t="s">
        <v>95</v>
      </c>
      <c r="AU79" t="s">
        <v>96</v>
      </c>
      <c r="AV79" t="s">
        <v>605</v>
      </c>
      <c r="AW79" t="s">
        <v>109</v>
      </c>
      <c r="AX79" t="s">
        <v>98</v>
      </c>
      <c r="AY79" t="s">
        <v>90</v>
      </c>
      <c r="AZ79" s="2">
        <v>46114</v>
      </c>
      <c r="BA79" t="s">
        <v>99</v>
      </c>
      <c r="BB79" s="4">
        <v>46119.394016203703</v>
      </c>
      <c r="BD79" s="2">
        <v>46147</v>
      </c>
      <c r="BE79" s="2">
        <v>46147</v>
      </c>
      <c r="BF79">
        <v>2</v>
      </c>
      <c r="BG79">
        <v>2</v>
      </c>
      <c r="BH79">
        <v>0</v>
      </c>
      <c r="BI79">
        <v>46156</v>
      </c>
      <c r="BJ79">
        <v>2</v>
      </c>
      <c r="BK79">
        <v>0</v>
      </c>
      <c r="BL79" s="2">
        <v>46156</v>
      </c>
      <c r="BO79" t="s">
        <v>100</v>
      </c>
      <c r="BP79" s="5">
        <v>1</v>
      </c>
    </row>
    <row r="80" spans="2:68">
      <c r="B80" t="s">
        <v>322</v>
      </c>
      <c r="C80" t="s">
        <v>178</v>
      </c>
      <c r="D80" t="s">
        <v>70</v>
      </c>
      <c r="E80" t="s">
        <v>71</v>
      </c>
      <c r="F80" t="s">
        <v>72</v>
      </c>
      <c r="G80" t="s">
        <v>73</v>
      </c>
      <c r="H80" s="2">
        <v>46073</v>
      </c>
      <c r="I80" s="2">
        <v>46087</v>
      </c>
      <c r="J80" t="s">
        <v>74</v>
      </c>
      <c r="K80" s="2">
        <v>46091</v>
      </c>
      <c r="L80" t="s">
        <v>75</v>
      </c>
      <c r="M80" t="s">
        <v>76</v>
      </c>
      <c r="N80" t="s">
        <v>77</v>
      </c>
      <c r="O80" t="s">
        <v>368</v>
      </c>
      <c r="P80" t="s">
        <v>369</v>
      </c>
      <c r="Q80">
        <v>2</v>
      </c>
      <c r="R80" t="s">
        <v>80</v>
      </c>
      <c r="S80" t="s">
        <v>116</v>
      </c>
      <c r="T80" t="s">
        <v>370</v>
      </c>
      <c r="U80" s="2">
        <v>46094</v>
      </c>
      <c r="V80" t="s">
        <v>98</v>
      </c>
      <c r="W80" t="s">
        <v>83</v>
      </c>
      <c r="X80" t="s">
        <v>84</v>
      </c>
      <c r="Y80" t="s">
        <v>14</v>
      </c>
      <c r="Z80" t="s">
        <v>117</v>
      </c>
      <c r="AA80" t="s">
        <v>86</v>
      </c>
      <c r="AB80" t="s">
        <v>87</v>
      </c>
      <c r="AD80" s="3">
        <v>1141000001</v>
      </c>
      <c r="AE80" t="s">
        <v>371</v>
      </c>
      <c r="AF80" t="s">
        <v>143</v>
      </c>
      <c r="AG80" t="s">
        <v>372</v>
      </c>
      <c r="AH80">
        <v>2</v>
      </c>
      <c r="AI80">
        <v>46094</v>
      </c>
      <c r="AK80" t="s">
        <v>91</v>
      </c>
      <c r="AN80" s="2"/>
      <c r="AQ80" t="s">
        <v>373</v>
      </c>
      <c r="AR80" t="s">
        <v>374</v>
      </c>
      <c r="AS80" t="s">
        <v>94</v>
      </c>
      <c r="AT80" t="s">
        <v>95</v>
      </c>
      <c r="AU80" t="s">
        <v>96</v>
      </c>
      <c r="AV80" t="s">
        <v>375</v>
      </c>
      <c r="AW80" t="s">
        <v>69</v>
      </c>
      <c r="AX80" t="s">
        <v>82</v>
      </c>
      <c r="AY80" t="s">
        <v>372</v>
      </c>
      <c r="AZ80" s="2">
        <v>46098</v>
      </c>
      <c r="BA80" t="s">
        <v>99</v>
      </c>
      <c r="BB80" s="4">
        <v>46119.39912037037</v>
      </c>
      <c r="BD80" s="2">
        <v>46146</v>
      </c>
      <c r="BE80" s="2">
        <v>46174</v>
      </c>
      <c r="BF80">
        <v>2</v>
      </c>
      <c r="BH80">
        <v>2</v>
      </c>
      <c r="BI80" s="2"/>
      <c r="BK80">
        <v>2</v>
      </c>
      <c r="BL80" s="2"/>
      <c r="BO80" t="s">
        <v>227</v>
      </c>
      <c r="BP80" s="5">
        <v>1</v>
      </c>
    </row>
    <row r="81" spans="2:68">
      <c r="B81" t="s">
        <v>234</v>
      </c>
      <c r="C81" t="s">
        <v>145</v>
      </c>
      <c r="D81" t="s">
        <v>70</v>
      </c>
      <c r="E81" t="s">
        <v>71</v>
      </c>
      <c r="F81" t="s">
        <v>72</v>
      </c>
      <c r="G81" t="s">
        <v>73</v>
      </c>
      <c r="H81" s="2">
        <v>46045</v>
      </c>
      <c r="I81" s="2">
        <v>46105</v>
      </c>
      <c r="J81" t="s">
        <v>74</v>
      </c>
      <c r="K81" s="2">
        <v>46045</v>
      </c>
      <c r="L81" t="s">
        <v>75</v>
      </c>
      <c r="M81" t="s">
        <v>76</v>
      </c>
      <c r="N81" t="s">
        <v>77</v>
      </c>
      <c r="O81" t="s">
        <v>361</v>
      </c>
      <c r="P81" t="s">
        <v>362</v>
      </c>
      <c r="Q81">
        <v>15</v>
      </c>
      <c r="R81" t="s">
        <v>115</v>
      </c>
      <c r="S81" t="s">
        <v>13</v>
      </c>
      <c r="T81" t="s">
        <v>230</v>
      </c>
      <c r="U81" s="2">
        <v>45614</v>
      </c>
      <c r="V81" t="s">
        <v>98</v>
      </c>
      <c r="W81" t="s">
        <v>35</v>
      </c>
      <c r="X81" t="s">
        <v>84</v>
      </c>
      <c r="Y81" t="s">
        <v>14</v>
      </c>
      <c r="Z81" t="s">
        <v>117</v>
      </c>
      <c r="AA81" t="s">
        <v>86</v>
      </c>
      <c r="AB81" t="s">
        <v>87</v>
      </c>
      <c r="AD81" s="3">
        <v>1141000001</v>
      </c>
      <c r="AI81" s="2"/>
      <c r="AJ81" t="s">
        <v>363</v>
      </c>
      <c r="AK81" t="s">
        <v>364</v>
      </c>
      <c r="AL81" t="s">
        <v>232</v>
      </c>
      <c r="AM81">
        <v>0</v>
      </c>
      <c r="AN81">
        <v>45614</v>
      </c>
      <c r="AO81" t="s">
        <v>99</v>
      </c>
      <c r="AQ81" t="s">
        <v>189</v>
      </c>
      <c r="AR81" t="s">
        <v>190</v>
      </c>
      <c r="AS81" t="s">
        <v>365</v>
      </c>
      <c r="AT81" t="s">
        <v>366</v>
      </c>
      <c r="AU81" t="s">
        <v>124</v>
      </c>
      <c r="AV81" t="s">
        <v>367</v>
      </c>
      <c r="AW81" t="s">
        <v>69</v>
      </c>
      <c r="AX81" t="s">
        <v>82</v>
      </c>
      <c r="AY81" t="s">
        <v>126</v>
      </c>
      <c r="AZ81">
        <v>46065</v>
      </c>
      <c r="BA81" t="s">
        <v>99</v>
      </c>
      <c r="BB81" s="4">
        <v>46065.754999999997</v>
      </c>
      <c r="BD81" s="2"/>
      <c r="BE81">
        <v>46157</v>
      </c>
      <c r="BF81">
        <v>15</v>
      </c>
      <c r="BG81">
        <v>15</v>
      </c>
      <c r="BH81">
        <v>0</v>
      </c>
      <c r="BI81">
        <v>46105</v>
      </c>
      <c r="BJ81">
        <v>15</v>
      </c>
      <c r="BK81">
        <v>0</v>
      </c>
      <c r="BL81" s="2">
        <v>46105</v>
      </c>
      <c r="BO81" t="s">
        <v>100</v>
      </c>
      <c r="BP81" s="5">
        <v>1</v>
      </c>
    </row>
    <row r="82" spans="2:68">
      <c r="B82" t="s">
        <v>607</v>
      </c>
      <c r="C82" t="s">
        <v>109</v>
      </c>
      <c r="D82" t="s">
        <v>70</v>
      </c>
      <c r="E82" t="s">
        <v>71</v>
      </c>
      <c r="F82" t="s">
        <v>72</v>
      </c>
      <c r="G82" t="s">
        <v>73</v>
      </c>
      <c r="H82" s="2">
        <v>46111</v>
      </c>
      <c r="I82" s="2">
        <v>46122</v>
      </c>
      <c r="J82" t="s">
        <v>74</v>
      </c>
      <c r="K82" s="2">
        <v>46119</v>
      </c>
      <c r="L82" t="s">
        <v>75</v>
      </c>
      <c r="M82" t="s">
        <v>76</v>
      </c>
      <c r="N82" t="s">
        <v>77</v>
      </c>
      <c r="O82" t="s">
        <v>608</v>
      </c>
      <c r="P82" t="s">
        <v>609</v>
      </c>
      <c r="Q82">
        <v>1</v>
      </c>
      <c r="R82" t="s">
        <v>115</v>
      </c>
      <c r="S82" t="s">
        <v>116</v>
      </c>
      <c r="U82" s="2"/>
      <c r="V82" t="s">
        <v>98</v>
      </c>
      <c r="W82" t="s">
        <v>83</v>
      </c>
      <c r="X82" t="s">
        <v>84</v>
      </c>
      <c r="Y82" t="s">
        <v>14</v>
      </c>
      <c r="Z82" t="s">
        <v>185</v>
      </c>
      <c r="AA82" t="s">
        <v>86</v>
      </c>
      <c r="AB82" t="s">
        <v>87</v>
      </c>
      <c r="AD82" s="3">
        <v>1141000003</v>
      </c>
      <c r="AI82" s="2"/>
      <c r="AX82" t="s">
        <v>175</v>
      </c>
      <c r="AZ82" s="2"/>
      <c r="BB82" s="4"/>
      <c r="BD82" s="2"/>
      <c r="BE82" s="2"/>
      <c r="BI82" s="2"/>
      <c r="BL82" s="2"/>
      <c r="BO82" t="s">
        <v>176</v>
      </c>
      <c r="BP82" s="5">
        <v>1</v>
      </c>
    </row>
    <row r="83" spans="2:68">
      <c r="B83" t="s">
        <v>356</v>
      </c>
      <c r="C83" t="s">
        <v>143</v>
      </c>
      <c r="D83" t="s">
        <v>70</v>
      </c>
      <c r="E83" t="s">
        <v>71</v>
      </c>
      <c r="F83" t="s">
        <v>72</v>
      </c>
      <c r="G83" t="s">
        <v>73</v>
      </c>
      <c r="H83" s="2">
        <v>46063</v>
      </c>
      <c r="I83" s="2">
        <v>46073</v>
      </c>
      <c r="J83" t="s">
        <v>74</v>
      </c>
      <c r="K83" s="2">
        <v>46065</v>
      </c>
      <c r="L83" t="s">
        <v>75</v>
      </c>
      <c r="M83" t="s">
        <v>76</v>
      </c>
      <c r="N83" t="s">
        <v>77</v>
      </c>
      <c r="O83" t="s">
        <v>357</v>
      </c>
      <c r="P83" t="s">
        <v>358</v>
      </c>
      <c r="Q83">
        <v>2</v>
      </c>
      <c r="R83" t="s">
        <v>80</v>
      </c>
      <c r="S83" t="s">
        <v>116</v>
      </c>
      <c r="T83" t="s">
        <v>132</v>
      </c>
      <c r="U83" s="2">
        <v>46069</v>
      </c>
      <c r="V83" t="s">
        <v>175</v>
      </c>
      <c r="W83" t="s">
        <v>83</v>
      </c>
      <c r="X83" t="s">
        <v>84</v>
      </c>
      <c r="Y83" t="s">
        <v>14</v>
      </c>
      <c r="Z83" t="s">
        <v>117</v>
      </c>
      <c r="AA83" t="s">
        <v>86</v>
      </c>
      <c r="AB83" t="s">
        <v>87</v>
      </c>
      <c r="AD83" s="3">
        <v>1141000001</v>
      </c>
      <c r="AE83" t="s">
        <v>213</v>
      </c>
      <c r="AF83" t="s">
        <v>359</v>
      </c>
      <c r="AG83" t="s">
        <v>136</v>
      </c>
      <c r="AH83">
        <v>2</v>
      </c>
      <c r="AI83" s="2">
        <v>46069</v>
      </c>
      <c r="AK83" t="s">
        <v>91</v>
      </c>
      <c r="AQ83" t="s">
        <v>214</v>
      </c>
      <c r="AR83" t="s">
        <v>215</v>
      </c>
      <c r="AS83" t="s">
        <v>94</v>
      </c>
      <c r="AT83" t="s">
        <v>95</v>
      </c>
      <c r="AU83" t="s">
        <v>96</v>
      </c>
      <c r="AV83" t="s">
        <v>360</v>
      </c>
      <c r="AW83" t="s">
        <v>109</v>
      </c>
      <c r="AX83" t="s">
        <v>82</v>
      </c>
      <c r="AY83" t="s">
        <v>136</v>
      </c>
      <c r="AZ83" s="2">
        <v>46078</v>
      </c>
      <c r="BA83" t="s">
        <v>99</v>
      </c>
      <c r="BB83" s="4">
        <v>46078.411724537036</v>
      </c>
      <c r="BD83" s="2">
        <v>46083</v>
      </c>
      <c r="BE83" s="2">
        <v>46129</v>
      </c>
      <c r="BF83">
        <v>2</v>
      </c>
      <c r="BG83">
        <v>2</v>
      </c>
      <c r="BH83">
        <v>0</v>
      </c>
      <c r="BI83">
        <v>46127</v>
      </c>
      <c r="BJ83">
        <v>2</v>
      </c>
      <c r="BK83">
        <v>0</v>
      </c>
      <c r="BL83" s="2">
        <v>46127</v>
      </c>
      <c r="BO83" t="s">
        <v>100</v>
      </c>
      <c r="BP83" s="5">
        <v>1</v>
      </c>
    </row>
    <row r="84" spans="2:68">
      <c r="B84" t="s">
        <v>610</v>
      </c>
      <c r="C84" t="s">
        <v>69</v>
      </c>
      <c r="D84" t="s">
        <v>70</v>
      </c>
      <c r="E84" t="s">
        <v>71</v>
      </c>
      <c r="F84" t="s">
        <v>72</v>
      </c>
      <c r="G84" t="s">
        <v>73</v>
      </c>
      <c r="H84" s="2">
        <v>46122</v>
      </c>
      <c r="I84" s="2">
        <v>46136</v>
      </c>
      <c r="J84" t="s">
        <v>74</v>
      </c>
      <c r="K84" s="2">
        <v>46150</v>
      </c>
      <c r="L84" t="s">
        <v>75</v>
      </c>
      <c r="M84" t="s">
        <v>76</v>
      </c>
      <c r="N84" t="s">
        <v>77</v>
      </c>
      <c r="O84" t="s">
        <v>611</v>
      </c>
      <c r="P84" t="s">
        <v>612</v>
      </c>
      <c r="Q84">
        <v>5</v>
      </c>
      <c r="R84" t="s">
        <v>115</v>
      </c>
      <c r="S84" t="s">
        <v>116</v>
      </c>
      <c r="T84" t="s">
        <v>119</v>
      </c>
      <c r="U84">
        <v>46157</v>
      </c>
      <c r="V84" t="s">
        <v>98</v>
      </c>
      <c r="W84" t="s">
        <v>83</v>
      </c>
      <c r="X84" t="s">
        <v>84</v>
      </c>
      <c r="Y84" t="s">
        <v>14</v>
      </c>
      <c r="Z84" t="s">
        <v>291</v>
      </c>
      <c r="AA84" t="s">
        <v>86</v>
      </c>
      <c r="AB84" t="s">
        <v>87</v>
      </c>
      <c r="AD84" s="3">
        <v>1141000003</v>
      </c>
      <c r="AE84" t="s">
        <v>733</v>
      </c>
      <c r="AF84" t="s">
        <v>143</v>
      </c>
      <c r="AG84" t="s">
        <v>734</v>
      </c>
      <c r="AH84">
        <v>5</v>
      </c>
      <c r="AI84">
        <v>46157</v>
      </c>
      <c r="AK84" t="s">
        <v>91</v>
      </c>
      <c r="AQ84" t="s">
        <v>137</v>
      </c>
      <c r="AR84" t="s">
        <v>138</v>
      </c>
      <c r="AS84" t="s">
        <v>94</v>
      </c>
      <c r="AT84" t="s">
        <v>95</v>
      </c>
      <c r="AU84" t="s">
        <v>96</v>
      </c>
      <c r="AV84" t="s">
        <v>735</v>
      </c>
      <c r="AW84" t="s">
        <v>109</v>
      </c>
      <c r="AX84" t="s">
        <v>82</v>
      </c>
      <c r="AY84" t="s">
        <v>734</v>
      </c>
      <c r="AZ84">
        <v>46167</v>
      </c>
      <c r="BA84" t="s">
        <v>99</v>
      </c>
      <c r="BB84" s="4">
        <v>46167.70511574074</v>
      </c>
      <c r="BD84" s="2">
        <v>46178</v>
      </c>
      <c r="BE84">
        <v>46178</v>
      </c>
      <c r="BF84">
        <v>5</v>
      </c>
      <c r="BH84">
        <v>5</v>
      </c>
      <c r="BK84">
        <v>5</v>
      </c>
      <c r="BL84" s="2"/>
      <c r="BO84" t="s">
        <v>227</v>
      </c>
      <c r="BP84" s="5">
        <v>1</v>
      </c>
    </row>
    <row r="85" spans="2:68">
      <c r="B85" t="s">
        <v>795</v>
      </c>
      <c r="C85" t="s">
        <v>178</v>
      </c>
      <c r="D85" t="s">
        <v>70</v>
      </c>
      <c r="E85" t="s">
        <v>71</v>
      </c>
      <c r="F85" t="s">
        <v>72</v>
      </c>
      <c r="G85" t="s">
        <v>727</v>
      </c>
      <c r="H85" s="2">
        <v>46190</v>
      </c>
      <c r="I85" s="2">
        <v>46218</v>
      </c>
      <c r="J85" t="s">
        <v>74</v>
      </c>
      <c r="K85" s="2">
        <v>46190</v>
      </c>
      <c r="L85" t="s">
        <v>75</v>
      </c>
      <c r="M85" t="s">
        <v>76</v>
      </c>
      <c r="N85" t="s">
        <v>77</v>
      </c>
      <c r="O85" t="s">
        <v>798</v>
      </c>
      <c r="P85" t="s">
        <v>799</v>
      </c>
      <c r="Q85">
        <v>3</v>
      </c>
      <c r="R85" t="s">
        <v>115</v>
      </c>
      <c r="S85" t="s">
        <v>116</v>
      </c>
      <c r="T85" t="s">
        <v>119</v>
      </c>
      <c r="U85" s="2">
        <v>46198</v>
      </c>
      <c r="V85" t="s">
        <v>98</v>
      </c>
      <c r="W85" t="s">
        <v>83</v>
      </c>
      <c r="X85" t="s">
        <v>84</v>
      </c>
      <c r="Y85" t="s">
        <v>14</v>
      </c>
      <c r="Z85" t="s">
        <v>291</v>
      </c>
      <c r="AA85" t="s">
        <v>86</v>
      </c>
      <c r="AB85" t="s">
        <v>87</v>
      </c>
      <c r="AD85" s="3">
        <v>1141000003</v>
      </c>
      <c r="AE85" t="s">
        <v>796</v>
      </c>
      <c r="AF85" t="s">
        <v>204</v>
      </c>
      <c r="AG85" t="s">
        <v>734</v>
      </c>
      <c r="AH85">
        <v>3</v>
      </c>
      <c r="AI85" s="2">
        <v>46198</v>
      </c>
      <c r="AX85" t="s">
        <v>175</v>
      </c>
      <c r="AZ85" s="2"/>
      <c r="BB85" s="4"/>
      <c r="BD85" s="2"/>
      <c r="BE85" s="2"/>
      <c r="BL85" s="2"/>
      <c r="BO85" t="s">
        <v>203</v>
      </c>
      <c r="BP85" s="5">
        <v>1</v>
      </c>
    </row>
    <row r="86" spans="2:68">
      <c r="B86" t="s">
        <v>795</v>
      </c>
      <c r="C86" t="s">
        <v>262</v>
      </c>
      <c r="D86" t="s">
        <v>70</v>
      </c>
      <c r="E86" t="s">
        <v>71</v>
      </c>
      <c r="F86" t="s">
        <v>72</v>
      </c>
      <c r="G86" t="s">
        <v>727</v>
      </c>
      <c r="H86" s="2">
        <v>46190</v>
      </c>
      <c r="I86" s="2">
        <v>46218</v>
      </c>
      <c r="J86" t="s">
        <v>74</v>
      </c>
      <c r="K86" s="2">
        <v>46190</v>
      </c>
      <c r="L86" t="s">
        <v>75</v>
      </c>
      <c r="M86" t="s">
        <v>76</v>
      </c>
      <c r="N86" t="s">
        <v>77</v>
      </c>
      <c r="O86" t="s">
        <v>800</v>
      </c>
      <c r="P86" t="s">
        <v>801</v>
      </c>
      <c r="Q86">
        <v>3</v>
      </c>
      <c r="R86" t="s">
        <v>115</v>
      </c>
      <c r="S86" t="s">
        <v>116</v>
      </c>
      <c r="V86" t="s">
        <v>98</v>
      </c>
      <c r="W86" t="s">
        <v>83</v>
      </c>
      <c r="X86" t="s">
        <v>84</v>
      </c>
      <c r="Y86" t="s">
        <v>14</v>
      </c>
      <c r="Z86" t="s">
        <v>185</v>
      </c>
      <c r="AA86" t="s">
        <v>86</v>
      </c>
      <c r="AB86" t="s">
        <v>87</v>
      </c>
      <c r="AD86" s="3">
        <v>1141000003</v>
      </c>
      <c r="AX86" t="s">
        <v>175</v>
      </c>
      <c r="BB86" s="4"/>
      <c r="BD86" s="2"/>
      <c r="BL86" s="2"/>
      <c r="BO86" t="s">
        <v>180</v>
      </c>
      <c r="BP86" s="5">
        <v>1</v>
      </c>
    </row>
    <row r="87" spans="2:68">
      <c r="B87" t="s">
        <v>795</v>
      </c>
      <c r="C87" t="s">
        <v>143</v>
      </c>
      <c r="D87" t="s">
        <v>70</v>
      </c>
      <c r="E87" t="s">
        <v>71</v>
      </c>
      <c r="F87" t="s">
        <v>72</v>
      </c>
      <c r="G87" t="s">
        <v>727</v>
      </c>
      <c r="H87" s="2">
        <v>46190</v>
      </c>
      <c r="I87" s="2">
        <v>46218</v>
      </c>
      <c r="J87" t="s">
        <v>74</v>
      </c>
      <c r="K87" s="2">
        <v>46190</v>
      </c>
      <c r="L87" t="s">
        <v>75</v>
      </c>
      <c r="M87" t="s">
        <v>76</v>
      </c>
      <c r="N87" t="s">
        <v>77</v>
      </c>
      <c r="O87" t="s">
        <v>802</v>
      </c>
      <c r="P87" t="s">
        <v>803</v>
      </c>
      <c r="Q87">
        <v>3</v>
      </c>
      <c r="R87" t="s">
        <v>115</v>
      </c>
      <c r="S87" t="s">
        <v>116</v>
      </c>
      <c r="T87" t="s">
        <v>119</v>
      </c>
      <c r="U87" s="2">
        <v>46198</v>
      </c>
      <c r="V87" t="s">
        <v>98</v>
      </c>
      <c r="W87" t="s">
        <v>83</v>
      </c>
      <c r="X87" t="s">
        <v>84</v>
      </c>
      <c r="Y87" t="s">
        <v>14</v>
      </c>
      <c r="Z87" t="s">
        <v>291</v>
      </c>
      <c r="AA87" t="s">
        <v>86</v>
      </c>
      <c r="AB87" t="s">
        <v>87</v>
      </c>
      <c r="AD87" s="3">
        <v>1141000003</v>
      </c>
      <c r="AE87" t="s">
        <v>796</v>
      </c>
      <c r="AF87" t="s">
        <v>804</v>
      </c>
      <c r="AG87" t="s">
        <v>734</v>
      </c>
      <c r="AH87">
        <v>3</v>
      </c>
      <c r="AI87" s="2">
        <v>46198</v>
      </c>
      <c r="AX87" t="s">
        <v>175</v>
      </c>
      <c r="AZ87" s="2"/>
      <c r="BB87" s="4"/>
      <c r="BD87" s="2"/>
      <c r="BE87" s="2"/>
      <c r="BL87" s="2"/>
      <c r="BO87" t="s">
        <v>203</v>
      </c>
      <c r="BP87" s="5">
        <v>1</v>
      </c>
    </row>
    <row r="88" spans="2:68">
      <c r="B88" t="s">
        <v>795</v>
      </c>
      <c r="C88" t="s">
        <v>69</v>
      </c>
      <c r="D88" t="s">
        <v>70</v>
      </c>
      <c r="E88" t="s">
        <v>71</v>
      </c>
      <c r="F88" t="s">
        <v>72</v>
      </c>
      <c r="G88" t="s">
        <v>727</v>
      </c>
      <c r="H88" s="2">
        <v>46190</v>
      </c>
      <c r="I88" s="2">
        <v>46218</v>
      </c>
      <c r="J88" t="s">
        <v>74</v>
      </c>
      <c r="K88">
        <v>46190</v>
      </c>
      <c r="L88" t="s">
        <v>75</v>
      </c>
      <c r="M88" t="s">
        <v>76</v>
      </c>
      <c r="N88" t="s">
        <v>77</v>
      </c>
      <c r="O88" t="s">
        <v>805</v>
      </c>
      <c r="P88" t="s">
        <v>806</v>
      </c>
      <c r="Q88">
        <v>3</v>
      </c>
      <c r="R88" t="s">
        <v>115</v>
      </c>
      <c r="S88" t="s">
        <v>116</v>
      </c>
      <c r="V88" t="s">
        <v>98</v>
      </c>
      <c r="W88" t="s">
        <v>83</v>
      </c>
      <c r="X88" t="s">
        <v>84</v>
      </c>
      <c r="Y88" t="s">
        <v>14</v>
      </c>
      <c r="Z88" t="s">
        <v>185</v>
      </c>
      <c r="AA88" t="s">
        <v>86</v>
      </c>
      <c r="AB88" t="s">
        <v>87</v>
      </c>
      <c r="AD88" s="3">
        <v>1141000003</v>
      </c>
      <c r="AX88" t="s">
        <v>175</v>
      </c>
      <c r="BB88" s="4"/>
      <c r="BD88" s="2"/>
      <c r="BL88" s="2"/>
      <c r="BO88" t="s">
        <v>180</v>
      </c>
      <c r="BP88" s="5">
        <v>1</v>
      </c>
    </row>
    <row r="89" spans="2:68">
      <c r="B89" t="s">
        <v>795</v>
      </c>
      <c r="C89" t="s">
        <v>259</v>
      </c>
      <c r="D89" t="s">
        <v>70</v>
      </c>
      <c r="E89" t="s">
        <v>71</v>
      </c>
      <c r="F89" t="s">
        <v>72</v>
      </c>
      <c r="G89" t="s">
        <v>727</v>
      </c>
      <c r="H89" s="2">
        <v>46190</v>
      </c>
      <c r="I89" s="2">
        <v>46218</v>
      </c>
      <c r="J89" t="s">
        <v>74</v>
      </c>
      <c r="K89" s="2">
        <v>46190</v>
      </c>
      <c r="L89" t="s">
        <v>75</v>
      </c>
      <c r="M89" t="s">
        <v>76</v>
      </c>
      <c r="N89" t="s">
        <v>77</v>
      </c>
      <c r="O89" t="s">
        <v>807</v>
      </c>
      <c r="P89" t="s">
        <v>808</v>
      </c>
      <c r="Q89">
        <v>3</v>
      </c>
      <c r="R89" t="s">
        <v>115</v>
      </c>
      <c r="S89" t="s">
        <v>116</v>
      </c>
      <c r="U89" s="2"/>
      <c r="V89" t="s">
        <v>98</v>
      </c>
      <c r="W89" t="s">
        <v>83</v>
      </c>
      <c r="X89" t="s">
        <v>84</v>
      </c>
      <c r="Y89" t="s">
        <v>14</v>
      </c>
      <c r="Z89" t="s">
        <v>185</v>
      </c>
      <c r="AA89" t="s">
        <v>86</v>
      </c>
      <c r="AB89" t="s">
        <v>87</v>
      </c>
      <c r="AD89" s="3">
        <v>1141000003</v>
      </c>
      <c r="AN89" s="2"/>
      <c r="AX89" t="s">
        <v>175</v>
      </c>
      <c r="AZ89" s="2"/>
      <c r="BB89" s="4"/>
      <c r="BD89" s="2"/>
      <c r="BE89" s="2"/>
      <c r="BL89" s="2"/>
      <c r="BO89" t="s">
        <v>180</v>
      </c>
      <c r="BP89" s="5">
        <v>1</v>
      </c>
    </row>
    <row r="90" spans="2:68">
      <c r="B90" t="s">
        <v>217</v>
      </c>
      <c r="C90" t="s">
        <v>259</v>
      </c>
      <c r="D90" t="s">
        <v>70</v>
      </c>
      <c r="E90" t="s">
        <v>71</v>
      </c>
      <c r="F90" t="s">
        <v>72</v>
      </c>
      <c r="G90" t="s">
        <v>73</v>
      </c>
      <c r="H90" s="2">
        <v>45902</v>
      </c>
      <c r="I90" s="2">
        <v>45912</v>
      </c>
      <c r="J90" t="s">
        <v>74</v>
      </c>
      <c r="K90" s="2">
        <v>45903</v>
      </c>
      <c r="L90" t="s">
        <v>75</v>
      </c>
      <c r="M90" t="s">
        <v>76</v>
      </c>
      <c r="N90" t="s">
        <v>77</v>
      </c>
      <c r="O90" t="s">
        <v>354</v>
      </c>
      <c r="P90" t="s">
        <v>355</v>
      </c>
      <c r="Q90">
        <v>1</v>
      </c>
      <c r="R90" t="s">
        <v>115</v>
      </c>
      <c r="S90" t="s">
        <v>116</v>
      </c>
      <c r="U90" s="2"/>
      <c r="V90" t="s">
        <v>98</v>
      </c>
      <c r="W90" t="s">
        <v>83</v>
      </c>
      <c r="X90" t="s">
        <v>84</v>
      </c>
      <c r="Y90" t="s">
        <v>14</v>
      </c>
      <c r="Z90" t="s">
        <v>291</v>
      </c>
      <c r="AA90" t="s">
        <v>86</v>
      </c>
      <c r="AB90" t="s">
        <v>87</v>
      </c>
      <c r="AD90" s="3">
        <v>1141000003</v>
      </c>
      <c r="AN90" s="2"/>
      <c r="AX90" t="s">
        <v>175</v>
      </c>
      <c r="AZ90" s="2"/>
      <c r="BB90" s="4"/>
      <c r="BD90" s="2"/>
      <c r="BE90" s="2"/>
      <c r="BL90" s="2"/>
      <c r="BO90" t="s">
        <v>176</v>
      </c>
      <c r="BP90" s="5">
        <v>1</v>
      </c>
    </row>
    <row r="91" spans="2:68">
      <c r="B91" t="s">
        <v>610</v>
      </c>
      <c r="C91" t="s">
        <v>178</v>
      </c>
      <c r="D91" t="s">
        <v>70</v>
      </c>
      <c r="E91" t="s">
        <v>71</v>
      </c>
      <c r="F91" t="s">
        <v>72</v>
      </c>
      <c r="G91" t="s">
        <v>73</v>
      </c>
      <c r="H91" s="2">
        <v>46122</v>
      </c>
      <c r="I91" s="2">
        <v>46132</v>
      </c>
      <c r="J91" t="s">
        <v>74</v>
      </c>
      <c r="K91" s="2">
        <v>46150</v>
      </c>
      <c r="L91" t="s">
        <v>75</v>
      </c>
      <c r="M91" t="s">
        <v>76</v>
      </c>
      <c r="N91" t="s">
        <v>77</v>
      </c>
      <c r="O91" t="s">
        <v>354</v>
      </c>
      <c r="P91" t="s">
        <v>355</v>
      </c>
      <c r="Q91">
        <v>5</v>
      </c>
      <c r="R91" t="s">
        <v>115</v>
      </c>
      <c r="S91" t="s">
        <v>116</v>
      </c>
      <c r="T91" t="s">
        <v>119</v>
      </c>
      <c r="U91" s="2">
        <v>46156</v>
      </c>
      <c r="V91" t="s">
        <v>98</v>
      </c>
      <c r="W91" t="s">
        <v>83</v>
      </c>
      <c r="X91" t="s">
        <v>84</v>
      </c>
      <c r="Y91" t="s">
        <v>14</v>
      </c>
      <c r="Z91" t="s">
        <v>291</v>
      </c>
      <c r="AA91" t="s">
        <v>86</v>
      </c>
      <c r="AB91" t="s">
        <v>87</v>
      </c>
      <c r="AD91" s="3">
        <v>1141000003</v>
      </c>
      <c r="AE91" t="s">
        <v>736</v>
      </c>
      <c r="AF91" t="s">
        <v>140</v>
      </c>
      <c r="AG91" t="s">
        <v>734</v>
      </c>
      <c r="AH91">
        <v>5</v>
      </c>
      <c r="AI91">
        <v>46156</v>
      </c>
      <c r="AK91" t="s">
        <v>91</v>
      </c>
      <c r="AN91" s="2"/>
      <c r="AQ91" t="s">
        <v>137</v>
      </c>
      <c r="AR91" t="s">
        <v>138</v>
      </c>
      <c r="AS91" t="s">
        <v>94</v>
      </c>
      <c r="AT91" t="s">
        <v>95</v>
      </c>
      <c r="AU91" t="s">
        <v>96</v>
      </c>
      <c r="AV91" t="s">
        <v>737</v>
      </c>
      <c r="AW91" t="s">
        <v>69</v>
      </c>
      <c r="AX91" t="s">
        <v>82</v>
      </c>
      <c r="AY91" t="s">
        <v>734</v>
      </c>
      <c r="AZ91" s="2">
        <v>46167</v>
      </c>
      <c r="BA91" t="s">
        <v>99</v>
      </c>
      <c r="BB91" s="4">
        <v>46167.705000000002</v>
      </c>
      <c r="BD91" s="2">
        <v>46178</v>
      </c>
      <c r="BE91" s="2">
        <v>46178</v>
      </c>
      <c r="BF91">
        <v>5</v>
      </c>
      <c r="BH91">
        <v>5</v>
      </c>
      <c r="BK91">
        <v>5</v>
      </c>
      <c r="BL91" s="2"/>
      <c r="BO91" t="s">
        <v>227</v>
      </c>
      <c r="BP91" s="5">
        <v>1</v>
      </c>
    </row>
    <row r="92" spans="2:68">
      <c r="B92" t="s">
        <v>795</v>
      </c>
      <c r="C92" t="s">
        <v>140</v>
      </c>
      <c r="D92" t="s">
        <v>70</v>
      </c>
      <c r="E92" t="s">
        <v>71</v>
      </c>
      <c r="F92" t="s">
        <v>72</v>
      </c>
      <c r="G92" t="s">
        <v>727</v>
      </c>
      <c r="H92" s="2">
        <v>46190</v>
      </c>
      <c r="I92" s="2">
        <v>46218</v>
      </c>
      <c r="J92" t="s">
        <v>74</v>
      </c>
      <c r="K92" s="2">
        <v>46190</v>
      </c>
      <c r="L92" t="s">
        <v>75</v>
      </c>
      <c r="M92" t="s">
        <v>76</v>
      </c>
      <c r="N92" t="s">
        <v>77</v>
      </c>
      <c r="O92" t="s">
        <v>809</v>
      </c>
      <c r="P92" t="s">
        <v>810</v>
      </c>
      <c r="Q92">
        <v>3</v>
      </c>
      <c r="R92" t="s">
        <v>115</v>
      </c>
      <c r="S92" t="s">
        <v>116</v>
      </c>
      <c r="T92" t="s">
        <v>119</v>
      </c>
      <c r="U92" s="2">
        <v>46198</v>
      </c>
      <c r="V92" t="s">
        <v>98</v>
      </c>
      <c r="W92" t="s">
        <v>83</v>
      </c>
      <c r="X92" t="s">
        <v>84</v>
      </c>
      <c r="Y92" t="s">
        <v>14</v>
      </c>
      <c r="Z92" t="s">
        <v>291</v>
      </c>
      <c r="AA92" t="s">
        <v>86</v>
      </c>
      <c r="AB92" t="s">
        <v>87</v>
      </c>
      <c r="AD92" s="3">
        <v>1141000003</v>
      </c>
      <c r="AE92" t="s">
        <v>796</v>
      </c>
      <c r="AF92" t="s">
        <v>248</v>
      </c>
      <c r="AG92" t="s">
        <v>734</v>
      </c>
      <c r="AH92">
        <v>3</v>
      </c>
      <c r="AI92">
        <v>46198</v>
      </c>
      <c r="AN92" s="2"/>
      <c r="AX92" t="s">
        <v>175</v>
      </c>
      <c r="AZ92" s="2"/>
      <c r="BB92" s="4"/>
      <c r="BD92" s="2"/>
      <c r="BL92" s="2"/>
      <c r="BO92" t="s">
        <v>203</v>
      </c>
      <c r="BP92" s="5">
        <v>1</v>
      </c>
    </row>
    <row r="93" spans="2:68">
      <c r="B93" t="s">
        <v>217</v>
      </c>
      <c r="C93" t="s">
        <v>262</v>
      </c>
      <c r="D93" t="s">
        <v>70</v>
      </c>
      <c r="E93" t="s">
        <v>71</v>
      </c>
      <c r="F93" t="s">
        <v>72</v>
      </c>
      <c r="G93" t="s">
        <v>73</v>
      </c>
      <c r="H93" s="2">
        <v>45902</v>
      </c>
      <c r="I93" s="2">
        <v>45902</v>
      </c>
      <c r="J93" t="s">
        <v>74</v>
      </c>
      <c r="K93" s="2">
        <v>45903</v>
      </c>
      <c r="L93" t="s">
        <v>75</v>
      </c>
      <c r="M93" t="s">
        <v>76</v>
      </c>
      <c r="N93" t="s">
        <v>77</v>
      </c>
      <c r="O93" t="s">
        <v>352</v>
      </c>
      <c r="P93" t="s">
        <v>353</v>
      </c>
      <c r="Q93">
        <v>1</v>
      </c>
      <c r="R93" t="s">
        <v>115</v>
      </c>
      <c r="S93" t="s">
        <v>116</v>
      </c>
      <c r="U93" s="2"/>
      <c r="V93" t="s">
        <v>98</v>
      </c>
      <c r="W93" t="s">
        <v>83</v>
      </c>
      <c r="X93" t="s">
        <v>84</v>
      </c>
      <c r="Y93" t="s">
        <v>14</v>
      </c>
      <c r="Z93" t="s">
        <v>291</v>
      </c>
      <c r="AA93" t="s">
        <v>86</v>
      </c>
      <c r="AB93" t="s">
        <v>87</v>
      </c>
      <c r="AD93" s="3">
        <v>1141000003</v>
      </c>
      <c r="AN93" s="2"/>
      <c r="AX93" t="s">
        <v>175</v>
      </c>
      <c r="AZ93" s="2"/>
      <c r="BB93" s="4"/>
      <c r="BD93" s="2"/>
      <c r="BE93" s="2"/>
      <c r="BL93" s="2"/>
      <c r="BO93" t="s">
        <v>176</v>
      </c>
      <c r="BP93" s="5">
        <v>1</v>
      </c>
    </row>
    <row r="94" spans="2:68">
      <c r="B94" t="s">
        <v>610</v>
      </c>
      <c r="C94" t="s">
        <v>143</v>
      </c>
      <c r="D94" t="s">
        <v>70</v>
      </c>
      <c r="E94" t="s">
        <v>71</v>
      </c>
      <c r="F94" t="s">
        <v>72</v>
      </c>
      <c r="G94" t="s">
        <v>73</v>
      </c>
      <c r="H94" s="2">
        <v>46122</v>
      </c>
      <c r="I94" s="2">
        <v>46136</v>
      </c>
      <c r="J94" t="s">
        <v>74</v>
      </c>
      <c r="K94" s="2">
        <v>46150</v>
      </c>
      <c r="L94" t="s">
        <v>75</v>
      </c>
      <c r="M94" t="s">
        <v>76</v>
      </c>
      <c r="N94" t="s">
        <v>77</v>
      </c>
      <c r="O94" t="s">
        <v>352</v>
      </c>
      <c r="P94" t="s">
        <v>353</v>
      </c>
      <c r="Q94">
        <v>5</v>
      </c>
      <c r="R94" t="s">
        <v>115</v>
      </c>
      <c r="S94" t="s">
        <v>116</v>
      </c>
      <c r="T94" t="s">
        <v>119</v>
      </c>
      <c r="U94">
        <v>46156</v>
      </c>
      <c r="V94" t="s">
        <v>98</v>
      </c>
      <c r="W94" t="s">
        <v>83</v>
      </c>
      <c r="X94" t="s">
        <v>84</v>
      </c>
      <c r="Y94" t="s">
        <v>14</v>
      </c>
      <c r="Z94" t="s">
        <v>291</v>
      </c>
      <c r="AA94" t="s">
        <v>86</v>
      </c>
      <c r="AB94" t="s">
        <v>87</v>
      </c>
      <c r="AD94" s="3">
        <v>1141000003</v>
      </c>
      <c r="AE94" t="s">
        <v>736</v>
      </c>
      <c r="AF94" t="s">
        <v>259</v>
      </c>
      <c r="AG94" t="s">
        <v>734</v>
      </c>
      <c r="AH94">
        <v>5</v>
      </c>
      <c r="AI94">
        <v>46156</v>
      </c>
      <c r="AK94" t="s">
        <v>91</v>
      </c>
      <c r="AQ94" t="s">
        <v>137</v>
      </c>
      <c r="AR94" t="s">
        <v>138</v>
      </c>
      <c r="AS94" t="s">
        <v>94</v>
      </c>
      <c r="AT94" t="s">
        <v>95</v>
      </c>
      <c r="AU94" t="s">
        <v>96</v>
      </c>
      <c r="AV94" t="s">
        <v>737</v>
      </c>
      <c r="AW94" t="s">
        <v>109</v>
      </c>
      <c r="AX94" t="s">
        <v>82</v>
      </c>
      <c r="AY94" t="s">
        <v>734</v>
      </c>
      <c r="AZ94">
        <v>46167</v>
      </c>
      <c r="BA94" t="s">
        <v>99</v>
      </c>
      <c r="BB94" s="4">
        <v>46167.705000000002</v>
      </c>
      <c r="BD94" s="2">
        <v>46178</v>
      </c>
      <c r="BE94">
        <v>46178</v>
      </c>
      <c r="BF94">
        <v>5</v>
      </c>
      <c r="BH94">
        <v>5</v>
      </c>
      <c r="BK94">
        <v>5</v>
      </c>
      <c r="BL94" s="2"/>
      <c r="BO94" t="s">
        <v>227</v>
      </c>
      <c r="BP94" s="5">
        <v>1</v>
      </c>
    </row>
    <row r="95" spans="2:68">
      <c r="B95" t="s">
        <v>613</v>
      </c>
      <c r="C95" t="s">
        <v>109</v>
      </c>
      <c r="D95" t="s">
        <v>70</v>
      </c>
      <c r="E95" t="s">
        <v>71</v>
      </c>
      <c r="F95" t="s">
        <v>72</v>
      </c>
      <c r="G95" t="s">
        <v>73</v>
      </c>
      <c r="H95" s="2">
        <v>46111</v>
      </c>
      <c r="I95" s="2">
        <v>46118</v>
      </c>
      <c r="J95" t="s">
        <v>584</v>
      </c>
      <c r="K95" s="2"/>
      <c r="L95" t="s">
        <v>75</v>
      </c>
      <c r="M95" t="s">
        <v>76</v>
      </c>
      <c r="N95" t="s">
        <v>77</v>
      </c>
      <c r="O95" t="s">
        <v>614</v>
      </c>
      <c r="P95" t="s">
        <v>615</v>
      </c>
      <c r="Q95">
        <v>1</v>
      </c>
      <c r="R95" t="s">
        <v>80</v>
      </c>
      <c r="S95" t="s">
        <v>13</v>
      </c>
      <c r="U95" s="2"/>
      <c r="V95" t="s">
        <v>82</v>
      </c>
      <c r="W95" t="s">
        <v>83</v>
      </c>
      <c r="X95" t="s">
        <v>84</v>
      </c>
      <c r="Y95" t="s">
        <v>14</v>
      </c>
      <c r="Z95" t="s">
        <v>165</v>
      </c>
      <c r="AA95" t="s">
        <v>86</v>
      </c>
      <c r="AB95" t="s">
        <v>87</v>
      </c>
      <c r="AD95" s="3">
        <v>1141000001</v>
      </c>
      <c r="AN95" s="2"/>
      <c r="AX95" t="s">
        <v>175</v>
      </c>
      <c r="AZ95" s="2"/>
      <c r="BB95" s="4"/>
      <c r="BD95" s="2"/>
      <c r="BE95" s="2"/>
      <c r="BL95" s="2"/>
      <c r="BO95" t="s">
        <v>550</v>
      </c>
      <c r="BP95" s="5">
        <v>1</v>
      </c>
    </row>
    <row r="96" spans="2:68">
      <c r="B96" t="s">
        <v>583</v>
      </c>
      <c r="C96" t="s">
        <v>178</v>
      </c>
      <c r="D96" t="s">
        <v>70</v>
      </c>
      <c r="E96" t="s">
        <v>71</v>
      </c>
      <c r="F96" t="s">
        <v>72</v>
      </c>
      <c r="G96" t="s">
        <v>73</v>
      </c>
      <c r="H96" s="2">
        <v>46122</v>
      </c>
      <c r="I96" s="2">
        <v>46129</v>
      </c>
      <c r="J96" t="s">
        <v>74</v>
      </c>
      <c r="K96" s="2">
        <v>46150</v>
      </c>
      <c r="L96" t="s">
        <v>75</v>
      </c>
      <c r="M96" t="s">
        <v>76</v>
      </c>
      <c r="N96" t="s">
        <v>77</v>
      </c>
      <c r="O96" t="s">
        <v>614</v>
      </c>
      <c r="P96" t="s">
        <v>615</v>
      </c>
      <c r="Q96">
        <v>10</v>
      </c>
      <c r="R96" t="s">
        <v>115</v>
      </c>
      <c r="S96" t="s">
        <v>13</v>
      </c>
      <c r="T96" t="s">
        <v>102</v>
      </c>
      <c r="U96" s="2">
        <v>45932</v>
      </c>
      <c r="V96" t="s">
        <v>82</v>
      </c>
      <c r="W96" t="s">
        <v>35</v>
      </c>
      <c r="X96" t="s">
        <v>84</v>
      </c>
      <c r="Y96" t="s">
        <v>14</v>
      </c>
      <c r="Z96" t="s">
        <v>165</v>
      </c>
      <c r="AA96" t="s">
        <v>86</v>
      </c>
      <c r="AB96" t="s">
        <v>87</v>
      </c>
      <c r="AD96" s="3">
        <v>1141000001</v>
      </c>
      <c r="AJ96" t="s">
        <v>738</v>
      </c>
      <c r="AK96" t="s">
        <v>262</v>
      </c>
      <c r="AL96" t="s">
        <v>105</v>
      </c>
      <c r="AM96">
        <v>0</v>
      </c>
      <c r="AN96" s="2">
        <v>45932</v>
      </c>
      <c r="AO96" t="s">
        <v>99</v>
      </c>
      <c r="AQ96" t="s">
        <v>603</v>
      </c>
      <c r="AR96" t="s">
        <v>604</v>
      </c>
      <c r="AS96" t="s">
        <v>122</v>
      </c>
      <c r="AT96" t="s">
        <v>123</v>
      </c>
      <c r="AU96" t="s">
        <v>124</v>
      </c>
      <c r="AV96" t="s">
        <v>739</v>
      </c>
      <c r="AW96" t="s">
        <v>69</v>
      </c>
      <c r="AX96" t="s">
        <v>98</v>
      </c>
      <c r="AY96" t="s">
        <v>171</v>
      </c>
      <c r="AZ96" s="2">
        <v>46150</v>
      </c>
      <c r="BA96" t="s">
        <v>99</v>
      </c>
      <c r="BB96" s="4">
        <v>46163.430185185185</v>
      </c>
      <c r="BD96" s="2"/>
      <c r="BE96" s="2">
        <v>46165</v>
      </c>
      <c r="BF96">
        <v>10</v>
      </c>
      <c r="BG96">
        <v>10</v>
      </c>
      <c r="BH96">
        <v>0</v>
      </c>
      <c r="BI96">
        <v>46188</v>
      </c>
      <c r="BJ96">
        <v>10</v>
      </c>
      <c r="BK96">
        <v>0</v>
      </c>
      <c r="BL96" s="2">
        <v>46188</v>
      </c>
      <c r="BO96" t="s">
        <v>100</v>
      </c>
      <c r="BP96" s="5">
        <v>1</v>
      </c>
    </row>
    <row r="97" spans="2:68">
      <c r="B97" t="s">
        <v>616</v>
      </c>
      <c r="C97" t="s">
        <v>222</v>
      </c>
      <c r="D97" t="s">
        <v>70</v>
      </c>
      <c r="E97" t="s">
        <v>71</v>
      </c>
      <c r="F97" t="s">
        <v>72</v>
      </c>
      <c r="G97" t="s">
        <v>73</v>
      </c>
      <c r="H97" s="2">
        <v>46122</v>
      </c>
      <c r="I97" s="2">
        <v>46153</v>
      </c>
      <c r="J97" t="s">
        <v>74</v>
      </c>
      <c r="K97" s="2">
        <v>46150</v>
      </c>
      <c r="L97" t="s">
        <v>75</v>
      </c>
      <c r="M97" t="s">
        <v>76</v>
      </c>
      <c r="N97" t="s">
        <v>77</v>
      </c>
      <c r="O97" t="s">
        <v>617</v>
      </c>
      <c r="P97" t="s">
        <v>618</v>
      </c>
      <c r="Q97">
        <v>21</v>
      </c>
      <c r="R97" t="s">
        <v>115</v>
      </c>
      <c r="S97" t="s">
        <v>116</v>
      </c>
      <c r="T97" t="s">
        <v>184</v>
      </c>
      <c r="U97">
        <v>45820</v>
      </c>
      <c r="V97" t="s">
        <v>98</v>
      </c>
      <c r="W97" t="s">
        <v>35</v>
      </c>
      <c r="X97" t="s">
        <v>84</v>
      </c>
      <c r="Y97" t="s">
        <v>14</v>
      </c>
      <c r="Z97" t="s">
        <v>185</v>
      </c>
      <c r="AA97" t="s">
        <v>86</v>
      </c>
      <c r="AB97" t="s">
        <v>87</v>
      </c>
      <c r="AD97" s="3">
        <v>1141000003</v>
      </c>
      <c r="AJ97" t="s">
        <v>349</v>
      </c>
      <c r="AK97" t="s">
        <v>740</v>
      </c>
      <c r="AL97" t="s">
        <v>188</v>
      </c>
      <c r="AM97">
        <v>0</v>
      </c>
      <c r="AN97">
        <v>45820</v>
      </c>
      <c r="AO97" t="s">
        <v>99</v>
      </c>
      <c r="AQ97" t="s">
        <v>240</v>
      </c>
      <c r="AR97" t="s">
        <v>241</v>
      </c>
      <c r="AS97" t="s">
        <v>122</v>
      </c>
      <c r="AT97" t="s">
        <v>123</v>
      </c>
      <c r="AU97" t="s">
        <v>124</v>
      </c>
      <c r="AV97" t="s">
        <v>741</v>
      </c>
      <c r="AW97" t="s">
        <v>69</v>
      </c>
      <c r="AX97" t="s">
        <v>98</v>
      </c>
      <c r="AY97" t="s">
        <v>126</v>
      </c>
      <c r="AZ97">
        <v>46150</v>
      </c>
      <c r="BA97" t="s">
        <v>99</v>
      </c>
      <c r="BB97" s="4">
        <v>46163.431030092594</v>
      </c>
      <c r="BD97" s="2"/>
      <c r="BE97">
        <v>46185</v>
      </c>
      <c r="BF97">
        <v>21</v>
      </c>
      <c r="BH97">
        <v>21</v>
      </c>
      <c r="BK97">
        <v>21</v>
      </c>
      <c r="BL97" s="2"/>
      <c r="BO97" t="s">
        <v>227</v>
      </c>
      <c r="BP97" s="5">
        <v>1</v>
      </c>
    </row>
    <row r="98" spans="2:68">
      <c r="B98" t="s">
        <v>616</v>
      </c>
      <c r="C98" t="s">
        <v>420</v>
      </c>
      <c r="D98" t="s">
        <v>70</v>
      </c>
      <c r="E98" t="s">
        <v>71</v>
      </c>
      <c r="F98" t="s">
        <v>72</v>
      </c>
      <c r="G98" t="s">
        <v>73</v>
      </c>
      <c r="H98" s="2">
        <v>46122</v>
      </c>
      <c r="I98" s="2">
        <v>46153</v>
      </c>
      <c r="J98" t="s">
        <v>74</v>
      </c>
      <c r="K98" s="2">
        <v>46150</v>
      </c>
      <c r="L98" t="s">
        <v>75</v>
      </c>
      <c r="M98" t="s">
        <v>76</v>
      </c>
      <c r="N98" t="s">
        <v>77</v>
      </c>
      <c r="O98" t="s">
        <v>619</v>
      </c>
      <c r="P98" t="s">
        <v>620</v>
      </c>
      <c r="Q98">
        <v>21</v>
      </c>
      <c r="R98" t="s">
        <v>115</v>
      </c>
      <c r="S98" t="s">
        <v>116</v>
      </c>
      <c r="T98" t="s">
        <v>184</v>
      </c>
      <c r="U98" s="2">
        <v>45820</v>
      </c>
      <c r="V98" t="s">
        <v>98</v>
      </c>
      <c r="W98" t="s">
        <v>35</v>
      </c>
      <c r="X98" t="s">
        <v>84</v>
      </c>
      <c r="Y98" t="s">
        <v>14</v>
      </c>
      <c r="Z98" t="s">
        <v>185</v>
      </c>
      <c r="AA98" t="s">
        <v>86</v>
      </c>
      <c r="AB98" t="s">
        <v>87</v>
      </c>
      <c r="AD98" s="3">
        <v>1141000003</v>
      </c>
      <c r="AJ98" t="s">
        <v>349</v>
      </c>
      <c r="AK98" t="s">
        <v>742</v>
      </c>
      <c r="AL98" t="s">
        <v>188</v>
      </c>
      <c r="AM98">
        <v>0</v>
      </c>
      <c r="AN98" s="2">
        <v>45820</v>
      </c>
      <c r="AO98" t="s">
        <v>99</v>
      </c>
      <c r="AQ98" t="s">
        <v>240</v>
      </c>
      <c r="AR98" t="s">
        <v>241</v>
      </c>
      <c r="AS98" t="s">
        <v>122</v>
      </c>
      <c r="AT98" t="s">
        <v>123</v>
      </c>
      <c r="AU98" t="s">
        <v>124</v>
      </c>
      <c r="AV98" t="s">
        <v>741</v>
      </c>
      <c r="AW98" t="s">
        <v>109</v>
      </c>
      <c r="AX98" t="s">
        <v>98</v>
      </c>
      <c r="AY98" t="s">
        <v>126</v>
      </c>
      <c r="AZ98" s="2">
        <v>46150</v>
      </c>
      <c r="BA98" t="s">
        <v>99</v>
      </c>
      <c r="BB98" s="4">
        <v>46163.431030092594</v>
      </c>
      <c r="BD98" s="2"/>
      <c r="BE98" s="2">
        <v>46220</v>
      </c>
      <c r="BF98">
        <v>21</v>
      </c>
      <c r="BH98">
        <v>21</v>
      </c>
      <c r="BK98">
        <v>21</v>
      </c>
      <c r="BL98" s="2"/>
      <c r="BO98" t="s">
        <v>227</v>
      </c>
      <c r="BP98" s="5">
        <v>1</v>
      </c>
    </row>
    <row r="99" spans="2:68">
      <c r="B99" t="s">
        <v>616</v>
      </c>
      <c r="C99" t="s">
        <v>346</v>
      </c>
      <c r="D99" t="s">
        <v>70</v>
      </c>
      <c r="E99" t="s">
        <v>71</v>
      </c>
      <c r="F99" t="s">
        <v>72</v>
      </c>
      <c r="G99" t="s">
        <v>73</v>
      </c>
      <c r="H99" s="2">
        <v>46122</v>
      </c>
      <c r="I99" s="2">
        <v>46182</v>
      </c>
      <c r="J99" t="s">
        <v>74</v>
      </c>
      <c r="K99" s="2">
        <v>46150</v>
      </c>
      <c r="L99" t="s">
        <v>75</v>
      </c>
      <c r="M99" t="s">
        <v>76</v>
      </c>
      <c r="N99" t="s">
        <v>77</v>
      </c>
      <c r="O99" t="s">
        <v>621</v>
      </c>
      <c r="P99" t="s">
        <v>622</v>
      </c>
      <c r="Q99">
        <v>21</v>
      </c>
      <c r="R99" t="s">
        <v>115</v>
      </c>
      <c r="S99" t="s">
        <v>116</v>
      </c>
      <c r="T99" t="s">
        <v>184</v>
      </c>
      <c r="U99">
        <v>45820</v>
      </c>
      <c r="V99" t="s">
        <v>98</v>
      </c>
      <c r="W99" t="s">
        <v>35</v>
      </c>
      <c r="X99" t="s">
        <v>84</v>
      </c>
      <c r="Y99" t="s">
        <v>14</v>
      </c>
      <c r="Z99" t="s">
        <v>185</v>
      </c>
      <c r="AA99" t="s">
        <v>86</v>
      </c>
      <c r="AB99" t="s">
        <v>87</v>
      </c>
      <c r="AD99" s="3">
        <v>1141000003</v>
      </c>
      <c r="AJ99" t="s">
        <v>743</v>
      </c>
      <c r="AK99" t="s">
        <v>187</v>
      </c>
      <c r="AL99" t="s">
        <v>188</v>
      </c>
      <c r="AM99">
        <v>0</v>
      </c>
      <c r="AN99">
        <v>45820</v>
      </c>
      <c r="AO99" t="s">
        <v>99</v>
      </c>
      <c r="AQ99" t="s">
        <v>189</v>
      </c>
      <c r="AR99" t="s">
        <v>190</v>
      </c>
      <c r="AS99" t="s">
        <v>122</v>
      </c>
      <c r="AT99" t="s">
        <v>123</v>
      </c>
      <c r="AU99" t="s">
        <v>124</v>
      </c>
      <c r="AV99" t="s">
        <v>744</v>
      </c>
      <c r="AW99" t="s">
        <v>109</v>
      </c>
      <c r="AX99" t="s">
        <v>82</v>
      </c>
      <c r="AY99" t="s">
        <v>126</v>
      </c>
      <c r="AZ99">
        <v>46150</v>
      </c>
      <c r="BA99" t="s">
        <v>99</v>
      </c>
      <c r="BB99" s="4">
        <v>46163.43178240741</v>
      </c>
      <c r="BD99" s="2"/>
      <c r="BF99">
        <v>21</v>
      </c>
      <c r="BH99">
        <v>21</v>
      </c>
      <c r="BK99">
        <v>21</v>
      </c>
      <c r="BL99" s="2"/>
      <c r="BO99" t="s">
        <v>227</v>
      </c>
      <c r="BP99" s="5">
        <v>1</v>
      </c>
    </row>
    <row r="100" spans="2:68">
      <c r="B100" t="s">
        <v>616</v>
      </c>
      <c r="C100" t="s">
        <v>145</v>
      </c>
      <c r="D100" t="s">
        <v>70</v>
      </c>
      <c r="E100" t="s">
        <v>71</v>
      </c>
      <c r="F100" t="s">
        <v>72</v>
      </c>
      <c r="G100" t="s">
        <v>73</v>
      </c>
      <c r="H100" s="2">
        <v>46122</v>
      </c>
      <c r="I100" s="2">
        <v>46136</v>
      </c>
      <c r="J100" t="s">
        <v>74</v>
      </c>
      <c r="K100" s="2">
        <v>46150</v>
      </c>
      <c r="L100" t="s">
        <v>75</v>
      </c>
      <c r="M100" t="s">
        <v>76</v>
      </c>
      <c r="N100" t="s">
        <v>77</v>
      </c>
      <c r="O100" t="s">
        <v>623</v>
      </c>
      <c r="P100" t="s">
        <v>624</v>
      </c>
      <c r="Q100">
        <v>21</v>
      </c>
      <c r="R100" t="s">
        <v>115</v>
      </c>
      <c r="S100" t="s">
        <v>116</v>
      </c>
      <c r="T100" t="s">
        <v>184</v>
      </c>
      <c r="U100">
        <v>45820</v>
      </c>
      <c r="V100" t="s">
        <v>98</v>
      </c>
      <c r="W100" t="s">
        <v>35</v>
      </c>
      <c r="X100" t="s">
        <v>84</v>
      </c>
      <c r="Y100" t="s">
        <v>14</v>
      </c>
      <c r="Z100" t="s">
        <v>185</v>
      </c>
      <c r="AA100" t="s">
        <v>86</v>
      </c>
      <c r="AB100" t="s">
        <v>87</v>
      </c>
      <c r="AD100" s="3">
        <v>1141000003</v>
      </c>
      <c r="AJ100" t="s">
        <v>745</v>
      </c>
      <c r="AK100" t="s">
        <v>746</v>
      </c>
      <c r="AL100" t="s">
        <v>188</v>
      </c>
      <c r="AM100">
        <v>0</v>
      </c>
      <c r="AN100">
        <v>45820</v>
      </c>
      <c r="AO100" t="s">
        <v>99</v>
      </c>
      <c r="AQ100" t="s">
        <v>189</v>
      </c>
      <c r="AR100" t="s">
        <v>190</v>
      </c>
      <c r="AS100" t="s">
        <v>122</v>
      </c>
      <c r="AT100" t="s">
        <v>123</v>
      </c>
      <c r="AU100" t="s">
        <v>124</v>
      </c>
      <c r="AV100" t="s">
        <v>747</v>
      </c>
      <c r="AW100" t="s">
        <v>109</v>
      </c>
      <c r="AX100" t="s">
        <v>82</v>
      </c>
      <c r="AY100" t="s">
        <v>126</v>
      </c>
      <c r="AZ100">
        <v>46150</v>
      </c>
      <c r="BA100" t="s">
        <v>99</v>
      </c>
      <c r="BB100" s="4">
        <v>46163.431307870371</v>
      </c>
      <c r="BD100" s="2"/>
      <c r="BE100">
        <v>46185</v>
      </c>
      <c r="BF100">
        <v>21</v>
      </c>
      <c r="BH100">
        <v>21</v>
      </c>
      <c r="BK100">
        <v>21</v>
      </c>
      <c r="BL100" s="2"/>
      <c r="BO100" t="s">
        <v>227</v>
      </c>
      <c r="BP100" s="5">
        <v>1</v>
      </c>
    </row>
    <row r="101" spans="2:68">
      <c r="B101" t="s">
        <v>616</v>
      </c>
      <c r="C101" t="s">
        <v>235</v>
      </c>
      <c r="D101" t="s">
        <v>70</v>
      </c>
      <c r="E101" t="s">
        <v>71</v>
      </c>
      <c r="F101" t="s">
        <v>72</v>
      </c>
      <c r="G101" t="s">
        <v>73</v>
      </c>
      <c r="H101" s="2">
        <v>46122</v>
      </c>
      <c r="I101" s="2">
        <v>46136</v>
      </c>
      <c r="J101" t="s">
        <v>74</v>
      </c>
      <c r="K101" s="2">
        <v>46150</v>
      </c>
      <c r="L101" t="s">
        <v>75</v>
      </c>
      <c r="M101" t="s">
        <v>76</v>
      </c>
      <c r="N101" t="s">
        <v>77</v>
      </c>
      <c r="O101" t="s">
        <v>625</v>
      </c>
      <c r="P101" t="s">
        <v>626</v>
      </c>
      <c r="Q101">
        <v>21</v>
      </c>
      <c r="R101" t="s">
        <v>115</v>
      </c>
      <c r="S101" t="s">
        <v>116</v>
      </c>
      <c r="T101" t="s">
        <v>200</v>
      </c>
      <c r="U101" s="2">
        <v>46171</v>
      </c>
      <c r="V101" t="s">
        <v>98</v>
      </c>
      <c r="W101" t="s">
        <v>83</v>
      </c>
      <c r="X101" t="s">
        <v>84</v>
      </c>
      <c r="Y101" t="s">
        <v>14</v>
      </c>
      <c r="Z101" t="s">
        <v>185</v>
      </c>
      <c r="AA101" t="s">
        <v>86</v>
      </c>
      <c r="AB101" t="s">
        <v>87</v>
      </c>
      <c r="AD101" s="3">
        <v>1141000003</v>
      </c>
      <c r="AE101" t="s">
        <v>797</v>
      </c>
      <c r="AF101" t="s">
        <v>243</v>
      </c>
      <c r="AG101" t="s">
        <v>202</v>
      </c>
      <c r="AH101">
        <v>21</v>
      </c>
      <c r="AI101">
        <v>46171</v>
      </c>
      <c r="AN101" s="2"/>
      <c r="AX101" t="s">
        <v>175</v>
      </c>
      <c r="AZ101" s="2"/>
      <c r="BB101" s="4"/>
      <c r="BD101" s="2"/>
      <c r="BE101" s="2"/>
      <c r="BL101" s="2"/>
      <c r="BO101" t="s">
        <v>203</v>
      </c>
      <c r="BP101" s="5">
        <v>1</v>
      </c>
    </row>
    <row r="102" spans="2:68">
      <c r="B102" t="s">
        <v>616</v>
      </c>
      <c r="C102" t="s">
        <v>243</v>
      </c>
      <c r="D102" t="s">
        <v>70</v>
      </c>
      <c r="E102" t="s">
        <v>71</v>
      </c>
      <c r="F102" t="s">
        <v>72</v>
      </c>
      <c r="G102" t="s">
        <v>73</v>
      </c>
      <c r="H102" s="2">
        <v>46122</v>
      </c>
      <c r="I102" s="2">
        <v>46153</v>
      </c>
      <c r="J102" t="s">
        <v>74</v>
      </c>
      <c r="K102" s="2">
        <v>46150</v>
      </c>
      <c r="L102" t="s">
        <v>75</v>
      </c>
      <c r="M102" t="s">
        <v>76</v>
      </c>
      <c r="N102" t="s">
        <v>77</v>
      </c>
      <c r="O102" t="s">
        <v>627</v>
      </c>
      <c r="P102" t="s">
        <v>628</v>
      </c>
      <c r="Q102">
        <v>27</v>
      </c>
      <c r="R102" t="s">
        <v>115</v>
      </c>
      <c r="S102" t="s">
        <v>116</v>
      </c>
      <c r="T102" t="s">
        <v>184</v>
      </c>
      <c r="U102">
        <v>45820</v>
      </c>
      <c r="V102" t="s">
        <v>98</v>
      </c>
      <c r="W102" t="s">
        <v>35</v>
      </c>
      <c r="X102" t="s">
        <v>84</v>
      </c>
      <c r="Y102" t="s">
        <v>14</v>
      </c>
      <c r="Z102" t="s">
        <v>185</v>
      </c>
      <c r="AA102" t="s">
        <v>86</v>
      </c>
      <c r="AB102" t="s">
        <v>87</v>
      </c>
      <c r="AD102" s="3">
        <v>1141000003</v>
      </c>
      <c r="AJ102" t="s">
        <v>310</v>
      </c>
      <c r="AK102" t="s">
        <v>748</v>
      </c>
      <c r="AL102" t="s">
        <v>188</v>
      </c>
      <c r="AM102">
        <v>0</v>
      </c>
      <c r="AN102">
        <v>45820</v>
      </c>
      <c r="AO102" t="s">
        <v>99</v>
      </c>
      <c r="AQ102" t="s">
        <v>282</v>
      </c>
      <c r="AR102" t="s">
        <v>573</v>
      </c>
      <c r="AS102" t="s">
        <v>122</v>
      </c>
      <c r="AT102" t="s">
        <v>123</v>
      </c>
      <c r="AU102" t="s">
        <v>124</v>
      </c>
      <c r="AV102" t="s">
        <v>749</v>
      </c>
      <c r="AW102" t="s">
        <v>69</v>
      </c>
      <c r="AX102" t="s">
        <v>82</v>
      </c>
      <c r="AY102" t="s">
        <v>126</v>
      </c>
      <c r="AZ102">
        <v>46150</v>
      </c>
      <c r="BA102" t="s">
        <v>99</v>
      </c>
      <c r="BB102" s="4">
        <v>46163.430752314816</v>
      </c>
      <c r="BD102" s="2"/>
      <c r="BE102">
        <v>46185</v>
      </c>
      <c r="BF102">
        <v>27</v>
      </c>
      <c r="BH102">
        <v>27</v>
      </c>
      <c r="BK102">
        <v>27</v>
      </c>
      <c r="BL102" s="2"/>
      <c r="BO102" t="s">
        <v>227</v>
      </c>
      <c r="BP102" s="5">
        <v>1</v>
      </c>
    </row>
    <row r="103" spans="2:68">
      <c r="B103" t="s">
        <v>616</v>
      </c>
      <c r="C103" t="s">
        <v>140</v>
      </c>
      <c r="D103" t="s">
        <v>70</v>
      </c>
      <c r="E103" t="s">
        <v>71</v>
      </c>
      <c r="F103" t="s">
        <v>72</v>
      </c>
      <c r="G103" t="s">
        <v>73</v>
      </c>
      <c r="H103" s="2">
        <v>46122</v>
      </c>
      <c r="I103" s="2">
        <v>46153</v>
      </c>
      <c r="J103" t="s">
        <v>74</v>
      </c>
      <c r="K103" s="2">
        <v>46150</v>
      </c>
      <c r="L103" t="s">
        <v>75</v>
      </c>
      <c r="M103" t="s">
        <v>76</v>
      </c>
      <c r="N103" t="s">
        <v>77</v>
      </c>
      <c r="O103" t="s">
        <v>629</v>
      </c>
      <c r="P103" t="s">
        <v>630</v>
      </c>
      <c r="Q103">
        <v>27</v>
      </c>
      <c r="R103" t="s">
        <v>115</v>
      </c>
      <c r="S103" t="s">
        <v>116</v>
      </c>
      <c r="T103" t="s">
        <v>184</v>
      </c>
      <c r="U103">
        <v>45820</v>
      </c>
      <c r="V103" t="s">
        <v>98</v>
      </c>
      <c r="W103" t="s">
        <v>35</v>
      </c>
      <c r="X103" t="s">
        <v>84</v>
      </c>
      <c r="Y103" t="s">
        <v>14</v>
      </c>
      <c r="Z103" t="s">
        <v>185</v>
      </c>
      <c r="AA103" t="s">
        <v>86</v>
      </c>
      <c r="AB103" t="s">
        <v>87</v>
      </c>
      <c r="AD103" s="3">
        <v>1141000003</v>
      </c>
      <c r="AJ103" t="s">
        <v>310</v>
      </c>
      <c r="AK103" t="s">
        <v>410</v>
      </c>
      <c r="AL103" t="s">
        <v>188</v>
      </c>
      <c r="AM103">
        <v>0</v>
      </c>
      <c r="AN103">
        <v>45820</v>
      </c>
      <c r="AO103" t="s">
        <v>99</v>
      </c>
      <c r="AQ103" t="s">
        <v>282</v>
      </c>
      <c r="AR103" t="s">
        <v>573</v>
      </c>
      <c r="AS103" t="s">
        <v>544</v>
      </c>
      <c r="AT103" t="s">
        <v>545</v>
      </c>
      <c r="AU103" t="s">
        <v>124</v>
      </c>
      <c r="AV103" t="s">
        <v>750</v>
      </c>
      <c r="AW103" t="s">
        <v>109</v>
      </c>
      <c r="AX103" t="s">
        <v>82</v>
      </c>
      <c r="AY103" t="s">
        <v>188</v>
      </c>
      <c r="AZ103">
        <v>46161</v>
      </c>
      <c r="BA103" t="s">
        <v>99</v>
      </c>
      <c r="BB103" s="4">
        <v>46162.456099537034</v>
      </c>
      <c r="BD103" s="2"/>
      <c r="BE103">
        <v>46196</v>
      </c>
      <c r="BF103">
        <v>27</v>
      </c>
      <c r="BH103">
        <v>27</v>
      </c>
      <c r="BK103">
        <v>27</v>
      </c>
      <c r="BL103" s="2"/>
      <c r="BO103" t="s">
        <v>227</v>
      </c>
      <c r="BP103" s="5">
        <v>1</v>
      </c>
    </row>
    <row r="104" spans="2:68">
      <c r="B104" t="s">
        <v>616</v>
      </c>
      <c r="C104" t="s">
        <v>259</v>
      </c>
      <c r="D104" t="s">
        <v>70</v>
      </c>
      <c r="E104" t="s">
        <v>71</v>
      </c>
      <c r="F104" t="s">
        <v>72</v>
      </c>
      <c r="G104" t="s">
        <v>73</v>
      </c>
      <c r="H104" s="2">
        <v>46122</v>
      </c>
      <c r="I104" s="2">
        <v>46136</v>
      </c>
      <c r="J104" t="s">
        <v>74</v>
      </c>
      <c r="K104" s="2">
        <v>46150</v>
      </c>
      <c r="L104" t="s">
        <v>75</v>
      </c>
      <c r="M104" t="s">
        <v>76</v>
      </c>
      <c r="N104" t="s">
        <v>77</v>
      </c>
      <c r="O104" t="s">
        <v>631</v>
      </c>
      <c r="P104" t="s">
        <v>632</v>
      </c>
      <c r="Q104">
        <v>27</v>
      </c>
      <c r="R104" t="s">
        <v>115</v>
      </c>
      <c r="S104" t="s">
        <v>116</v>
      </c>
      <c r="T104" t="s">
        <v>200</v>
      </c>
      <c r="U104" s="2">
        <v>46171</v>
      </c>
      <c r="V104" t="s">
        <v>98</v>
      </c>
      <c r="W104" t="s">
        <v>83</v>
      </c>
      <c r="X104" t="s">
        <v>84</v>
      </c>
      <c r="Y104" t="s">
        <v>14</v>
      </c>
      <c r="Z104" t="s">
        <v>185</v>
      </c>
      <c r="AA104" t="s">
        <v>86</v>
      </c>
      <c r="AB104" t="s">
        <v>87</v>
      </c>
      <c r="AD104" s="3">
        <v>1141000003</v>
      </c>
      <c r="AE104" t="s">
        <v>797</v>
      </c>
      <c r="AF104" t="s">
        <v>140</v>
      </c>
      <c r="AG104" t="s">
        <v>202</v>
      </c>
      <c r="AH104">
        <v>27</v>
      </c>
      <c r="AI104">
        <v>46171</v>
      </c>
      <c r="AN104" s="2"/>
      <c r="AX104" t="s">
        <v>175</v>
      </c>
      <c r="AZ104" s="2"/>
      <c r="BB104" s="4"/>
      <c r="BD104" s="2"/>
      <c r="BE104" s="2"/>
      <c r="BL104" s="2"/>
      <c r="BO104" t="s">
        <v>203</v>
      </c>
      <c r="BP104" s="5">
        <v>1</v>
      </c>
    </row>
    <row r="105" spans="2:68">
      <c r="B105" t="s">
        <v>616</v>
      </c>
      <c r="C105" t="s">
        <v>262</v>
      </c>
      <c r="D105" t="s">
        <v>70</v>
      </c>
      <c r="E105" t="s">
        <v>71</v>
      </c>
      <c r="F105" t="s">
        <v>72</v>
      </c>
      <c r="G105" t="s">
        <v>73</v>
      </c>
      <c r="H105" s="2">
        <v>46122</v>
      </c>
      <c r="I105" s="2">
        <v>46153</v>
      </c>
      <c r="J105" t="s">
        <v>74</v>
      </c>
      <c r="K105" s="2">
        <v>46150</v>
      </c>
      <c r="L105" t="s">
        <v>75</v>
      </c>
      <c r="M105" t="s">
        <v>76</v>
      </c>
      <c r="N105" t="s">
        <v>77</v>
      </c>
      <c r="O105" t="s">
        <v>633</v>
      </c>
      <c r="P105" t="s">
        <v>634</v>
      </c>
      <c r="Q105">
        <v>21</v>
      </c>
      <c r="R105" t="s">
        <v>115</v>
      </c>
      <c r="S105" t="s">
        <v>116</v>
      </c>
      <c r="T105" t="s">
        <v>184</v>
      </c>
      <c r="U105" s="2">
        <v>45820</v>
      </c>
      <c r="V105" t="s">
        <v>98</v>
      </c>
      <c r="W105" t="s">
        <v>35</v>
      </c>
      <c r="X105" t="s">
        <v>84</v>
      </c>
      <c r="Y105" t="s">
        <v>14</v>
      </c>
      <c r="Z105" t="s">
        <v>185</v>
      </c>
      <c r="AA105" t="s">
        <v>86</v>
      </c>
      <c r="AB105" t="s">
        <v>87</v>
      </c>
      <c r="AD105" s="3">
        <v>1141000003</v>
      </c>
      <c r="AJ105" t="s">
        <v>327</v>
      </c>
      <c r="AK105" t="s">
        <v>311</v>
      </c>
      <c r="AL105" t="s">
        <v>188</v>
      </c>
      <c r="AM105">
        <v>0</v>
      </c>
      <c r="AN105" s="2">
        <v>45820</v>
      </c>
      <c r="AO105" t="s">
        <v>99</v>
      </c>
      <c r="AQ105" t="s">
        <v>282</v>
      </c>
      <c r="AR105" t="s">
        <v>573</v>
      </c>
      <c r="AS105" t="s">
        <v>122</v>
      </c>
      <c r="AT105" t="s">
        <v>123</v>
      </c>
      <c r="AU105" t="s">
        <v>124</v>
      </c>
      <c r="AV105" t="s">
        <v>751</v>
      </c>
      <c r="AW105" t="s">
        <v>109</v>
      </c>
      <c r="AX105" t="s">
        <v>82</v>
      </c>
      <c r="AY105" t="s">
        <v>126</v>
      </c>
      <c r="AZ105" s="2">
        <v>46150</v>
      </c>
      <c r="BA105" t="s">
        <v>99</v>
      </c>
      <c r="BB105" s="4">
        <v>46163.430601851855</v>
      </c>
      <c r="BD105" s="2"/>
      <c r="BE105" s="2">
        <v>46180</v>
      </c>
      <c r="BF105">
        <v>21</v>
      </c>
      <c r="BH105">
        <v>21</v>
      </c>
      <c r="BK105">
        <v>21</v>
      </c>
      <c r="BL105" s="2"/>
      <c r="BO105" t="s">
        <v>227</v>
      </c>
      <c r="BP105" s="5">
        <v>1</v>
      </c>
    </row>
    <row r="106" spans="2:68">
      <c r="B106" t="s">
        <v>616</v>
      </c>
      <c r="C106" t="s">
        <v>178</v>
      </c>
      <c r="D106" t="s">
        <v>70</v>
      </c>
      <c r="E106" t="s">
        <v>71</v>
      </c>
      <c r="F106" t="s">
        <v>72</v>
      </c>
      <c r="G106" t="s">
        <v>73</v>
      </c>
      <c r="H106" s="2">
        <v>46122</v>
      </c>
      <c r="I106" s="2">
        <v>46136</v>
      </c>
      <c r="J106" t="s">
        <v>74</v>
      </c>
      <c r="K106" s="2">
        <v>46150</v>
      </c>
      <c r="L106" t="s">
        <v>75</v>
      </c>
      <c r="M106" t="s">
        <v>76</v>
      </c>
      <c r="N106" t="s">
        <v>77</v>
      </c>
      <c r="O106" t="s">
        <v>635</v>
      </c>
      <c r="P106" t="s">
        <v>636</v>
      </c>
      <c r="Q106">
        <v>21</v>
      </c>
      <c r="R106" t="s">
        <v>115</v>
      </c>
      <c r="S106" t="s">
        <v>116</v>
      </c>
      <c r="T106" t="s">
        <v>200</v>
      </c>
      <c r="U106" s="2">
        <v>46171</v>
      </c>
      <c r="V106" t="s">
        <v>98</v>
      </c>
      <c r="W106" t="s">
        <v>83</v>
      </c>
      <c r="X106" t="s">
        <v>84</v>
      </c>
      <c r="Y106" t="s">
        <v>14</v>
      </c>
      <c r="Z106" t="s">
        <v>185</v>
      </c>
      <c r="AA106" t="s">
        <v>86</v>
      </c>
      <c r="AB106" t="s">
        <v>87</v>
      </c>
      <c r="AD106" s="3">
        <v>1141000003</v>
      </c>
      <c r="AE106" t="s">
        <v>797</v>
      </c>
      <c r="AF106" t="s">
        <v>259</v>
      </c>
      <c r="AG106" t="s">
        <v>202</v>
      </c>
      <c r="AH106">
        <v>21</v>
      </c>
      <c r="AI106">
        <v>46171</v>
      </c>
      <c r="AN106" s="2"/>
      <c r="AX106" t="s">
        <v>175</v>
      </c>
      <c r="AZ106" s="2"/>
      <c r="BB106" s="4"/>
      <c r="BD106" s="2"/>
      <c r="BE106" s="2"/>
      <c r="BI106" s="2"/>
      <c r="BL106" s="2"/>
      <c r="BO106" t="s">
        <v>203</v>
      </c>
      <c r="BP106" s="5">
        <v>1</v>
      </c>
    </row>
    <row r="107" spans="2:68">
      <c r="B107" t="s">
        <v>616</v>
      </c>
      <c r="C107" t="s">
        <v>143</v>
      </c>
      <c r="D107" t="s">
        <v>70</v>
      </c>
      <c r="E107" t="s">
        <v>71</v>
      </c>
      <c r="F107" t="s">
        <v>72</v>
      </c>
      <c r="G107" t="s">
        <v>73</v>
      </c>
      <c r="H107" s="2">
        <v>46122</v>
      </c>
      <c r="I107" s="2">
        <v>46136</v>
      </c>
      <c r="J107" t="s">
        <v>74</v>
      </c>
      <c r="K107" s="2">
        <v>46150</v>
      </c>
      <c r="L107" t="s">
        <v>75</v>
      </c>
      <c r="M107" t="s">
        <v>76</v>
      </c>
      <c r="N107" t="s">
        <v>77</v>
      </c>
      <c r="O107" t="s">
        <v>637</v>
      </c>
      <c r="P107" t="s">
        <v>638</v>
      </c>
      <c r="Q107">
        <v>27</v>
      </c>
      <c r="R107" t="s">
        <v>115</v>
      </c>
      <c r="S107" t="s">
        <v>116</v>
      </c>
      <c r="T107" t="s">
        <v>200</v>
      </c>
      <c r="U107" s="2">
        <v>46171</v>
      </c>
      <c r="V107" t="s">
        <v>98</v>
      </c>
      <c r="W107" t="s">
        <v>83</v>
      </c>
      <c r="X107" t="s">
        <v>84</v>
      </c>
      <c r="Y107" t="s">
        <v>14</v>
      </c>
      <c r="Z107" t="s">
        <v>185</v>
      </c>
      <c r="AA107" t="s">
        <v>86</v>
      </c>
      <c r="AB107" t="s">
        <v>87</v>
      </c>
      <c r="AD107" s="3">
        <v>1141000003</v>
      </c>
      <c r="AE107" t="s">
        <v>797</v>
      </c>
      <c r="AF107" t="s">
        <v>262</v>
      </c>
      <c r="AG107" t="s">
        <v>202</v>
      </c>
      <c r="AH107">
        <v>27</v>
      </c>
      <c r="AI107" s="2">
        <v>46171</v>
      </c>
      <c r="AX107" t="s">
        <v>175</v>
      </c>
      <c r="AZ107" s="2"/>
      <c r="BB107" s="4"/>
      <c r="BD107" s="2"/>
      <c r="BE107" s="2"/>
      <c r="BL107" s="2"/>
      <c r="BO107" t="s">
        <v>203</v>
      </c>
      <c r="BP107" s="5">
        <v>1</v>
      </c>
    </row>
    <row r="108" spans="2:68">
      <c r="B108" t="s">
        <v>616</v>
      </c>
      <c r="C108" t="s">
        <v>69</v>
      </c>
      <c r="D108" t="s">
        <v>70</v>
      </c>
      <c r="E108" t="s">
        <v>71</v>
      </c>
      <c r="F108" t="s">
        <v>72</v>
      </c>
      <c r="G108" t="s">
        <v>73</v>
      </c>
      <c r="H108" s="2">
        <v>46122</v>
      </c>
      <c r="I108" s="2">
        <v>46153</v>
      </c>
      <c r="J108" t="s">
        <v>74</v>
      </c>
      <c r="K108" s="2">
        <v>46150</v>
      </c>
      <c r="L108" t="s">
        <v>75</v>
      </c>
      <c r="M108" t="s">
        <v>76</v>
      </c>
      <c r="N108" t="s">
        <v>77</v>
      </c>
      <c r="O108" t="s">
        <v>639</v>
      </c>
      <c r="P108" t="s">
        <v>640</v>
      </c>
      <c r="Q108">
        <v>27</v>
      </c>
      <c r="R108" t="s">
        <v>115</v>
      </c>
      <c r="S108" t="s">
        <v>116</v>
      </c>
      <c r="T108" t="s">
        <v>184</v>
      </c>
      <c r="U108" s="2">
        <v>45820</v>
      </c>
      <c r="V108" t="s">
        <v>98</v>
      </c>
      <c r="W108" t="s">
        <v>35</v>
      </c>
      <c r="X108" t="s">
        <v>84</v>
      </c>
      <c r="Y108" t="s">
        <v>14</v>
      </c>
      <c r="Z108" t="s">
        <v>185</v>
      </c>
      <c r="AA108" t="s">
        <v>86</v>
      </c>
      <c r="AB108" t="s">
        <v>87</v>
      </c>
      <c r="AD108" s="3">
        <v>1141000003</v>
      </c>
      <c r="AI108" s="2"/>
      <c r="AJ108" t="s">
        <v>310</v>
      </c>
      <c r="AK108" t="s">
        <v>724</v>
      </c>
      <c r="AL108" t="s">
        <v>188</v>
      </c>
      <c r="AM108">
        <v>0</v>
      </c>
      <c r="AN108">
        <v>45820</v>
      </c>
      <c r="AO108" t="s">
        <v>99</v>
      </c>
      <c r="AQ108" t="s">
        <v>282</v>
      </c>
      <c r="AR108" t="s">
        <v>573</v>
      </c>
      <c r="AS108" t="s">
        <v>122</v>
      </c>
      <c r="AT108" t="s">
        <v>123</v>
      </c>
      <c r="AU108" t="s">
        <v>124</v>
      </c>
      <c r="AV108" t="s">
        <v>749</v>
      </c>
      <c r="AW108" t="s">
        <v>109</v>
      </c>
      <c r="AX108" t="s">
        <v>82</v>
      </c>
      <c r="AY108" t="s">
        <v>126</v>
      </c>
      <c r="AZ108">
        <v>46150</v>
      </c>
      <c r="BA108" t="s">
        <v>99</v>
      </c>
      <c r="BB108" s="4">
        <v>46163.430752314816</v>
      </c>
      <c r="BD108" s="2"/>
      <c r="BE108">
        <v>46185</v>
      </c>
      <c r="BF108">
        <v>27</v>
      </c>
      <c r="BH108">
        <v>27</v>
      </c>
      <c r="BK108">
        <v>27</v>
      </c>
      <c r="BL108" s="2"/>
      <c r="BO108" t="s">
        <v>227</v>
      </c>
      <c r="BP108" s="5">
        <v>1</v>
      </c>
    </row>
    <row r="109" spans="2:68">
      <c r="B109" t="s">
        <v>616</v>
      </c>
      <c r="C109" t="s">
        <v>181</v>
      </c>
      <c r="D109" t="s">
        <v>70</v>
      </c>
      <c r="E109" t="s">
        <v>71</v>
      </c>
      <c r="F109" t="s">
        <v>72</v>
      </c>
      <c r="G109" t="s">
        <v>73</v>
      </c>
      <c r="H109" s="2">
        <v>46122</v>
      </c>
      <c r="I109" s="2">
        <v>46136</v>
      </c>
      <c r="J109" t="s">
        <v>74</v>
      </c>
      <c r="K109" s="2">
        <v>46150</v>
      </c>
      <c r="L109" t="s">
        <v>75</v>
      </c>
      <c r="M109" t="s">
        <v>76</v>
      </c>
      <c r="N109" t="s">
        <v>77</v>
      </c>
      <c r="O109" t="s">
        <v>641</v>
      </c>
      <c r="P109" t="s">
        <v>642</v>
      </c>
      <c r="Q109">
        <v>21</v>
      </c>
      <c r="R109" t="s">
        <v>115</v>
      </c>
      <c r="S109" t="s">
        <v>116</v>
      </c>
      <c r="T109" t="s">
        <v>200</v>
      </c>
      <c r="U109" s="2">
        <v>46171</v>
      </c>
      <c r="V109" t="s">
        <v>98</v>
      </c>
      <c r="W109" t="s">
        <v>83</v>
      </c>
      <c r="X109" t="s">
        <v>84</v>
      </c>
      <c r="Y109" t="s">
        <v>14</v>
      </c>
      <c r="Z109" t="s">
        <v>185</v>
      </c>
      <c r="AA109" t="s">
        <v>86</v>
      </c>
      <c r="AB109" t="s">
        <v>87</v>
      </c>
      <c r="AD109" s="3">
        <v>1141000003</v>
      </c>
      <c r="AE109" t="s">
        <v>797</v>
      </c>
      <c r="AF109" t="s">
        <v>145</v>
      </c>
      <c r="AG109" t="s">
        <v>202</v>
      </c>
      <c r="AH109">
        <v>21</v>
      </c>
      <c r="AI109" s="2">
        <v>46171</v>
      </c>
      <c r="AX109" t="s">
        <v>175</v>
      </c>
      <c r="AZ109" s="2"/>
      <c r="BB109" s="4"/>
      <c r="BD109" s="2"/>
      <c r="BE109" s="2"/>
      <c r="BI109" s="2"/>
      <c r="BL109" s="2"/>
      <c r="BO109" t="s">
        <v>203</v>
      </c>
      <c r="BP109" s="5">
        <v>1</v>
      </c>
    </row>
    <row r="110" spans="2:68">
      <c r="B110" t="s">
        <v>616</v>
      </c>
      <c r="C110" t="s">
        <v>192</v>
      </c>
      <c r="D110" t="s">
        <v>70</v>
      </c>
      <c r="E110" t="s">
        <v>71</v>
      </c>
      <c r="F110" t="s">
        <v>72</v>
      </c>
      <c r="G110" t="s">
        <v>73</v>
      </c>
      <c r="H110" s="2">
        <v>46122</v>
      </c>
      <c r="I110" s="2">
        <v>46136</v>
      </c>
      <c r="J110" t="s">
        <v>74</v>
      </c>
      <c r="K110" s="2">
        <v>46150</v>
      </c>
      <c r="L110" t="s">
        <v>75</v>
      </c>
      <c r="M110" t="s">
        <v>76</v>
      </c>
      <c r="N110" t="s">
        <v>77</v>
      </c>
      <c r="O110" t="s">
        <v>643</v>
      </c>
      <c r="P110" t="s">
        <v>644</v>
      </c>
      <c r="Q110">
        <v>21</v>
      </c>
      <c r="R110" t="s">
        <v>115</v>
      </c>
      <c r="S110" t="s">
        <v>116</v>
      </c>
      <c r="T110" t="s">
        <v>200</v>
      </c>
      <c r="U110" s="2">
        <v>46171</v>
      </c>
      <c r="V110" t="s">
        <v>98</v>
      </c>
      <c r="W110" t="s">
        <v>83</v>
      </c>
      <c r="X110" t="s">
        <v>84</v>
      </c>
      <c r="Y110" t="s">
        <v>14</v>
      </c>
      <c r="Z110" t="s">
        <v>185</v>
      </c>
      <c r="AA110" t="s">
        <v>86</v>
      </c>
      <c r="AB110" t="s">
        <v>87</v>
      </c>
      <c r="AD110" s="3">
        <v>1141000003</v>
      </c>
      <c r="AE110" t="s">
        <v>797</v>
      </c>
      <c r="AF110" t="s">
        <v>235</v>
      </c>
      <c r="AG110" t="s">
        <v>202</v>
      </c>
      <c r="AH110">
        <v>21</v>
      </c>
      <c r="AI110">
        <v>46171</v>
      </c>
      <c r="AN110" s="2"/>
      <c r="AX110" t="s">
        <v>175</v>
      </c>
      <c r="AZ110" s="2"/>
      <c r="BB110" s="4"/>
      <c r="BD110" s="2"/>
      <c r="BE110" s="2"/>
      <c r="BI110" s="2"/>
      <c r="BL110" s="2"/>
      <c r="BO110" t="s">
        <v>203</v>
      </c>
      <c r="BP110" s="5">
        <v>1</v>
      </c>
    </row>
    <row r="111" spans="2:68">
      <c r="B111" t="s">
        <v>616</v>
      </c>
      <c r="C111" t="s">
        <v>284</v>
      </c>
      <c r="D111" t="s">
        <v>70</v>
      </c>
      <c r="E111" t="s">
        <v>71</v>
      </c>
      <c r="F111" t="s">
        <v>72</v>
      </c>
      <c r="G111" t="s">
        <v>73</v>
      </c>
      <c r="H111" s="2">
        <v>46122</v>
      </c>
      <c r="I111" s="2">
        <v>46142</v>
      </c>
      <c r="J111" t="s">
        <v>74</v>
      </c>
      <c r="K111" s="2">
        <v>46150</v>
      </c>
      <c r="L111" t="s">
        <v>75</v>
      </c>
      <c r="M111" t="s">
        <v>76</v>
      </c>
      <c r="N111" t="s">
        <v>77</v>
      </c>
      <c r="O111" t="s">
        <v>645</v>
      </c>
      <c r="P111" t="s">
        <v>646</v>
      </c>
      <c r="Q111">
        <v>21</v>
      </c>
      <c r="R111" t="s">
        <v>115</v>
      </c>
      <c r="S111" t="s">
        <v>116</v>
      </c>
      <c r="T111" t="s">
        <v>184</v>
      </c>
      <c r="U111" s="2">
        <v>45820</v>
      </c>
      <c r="V111" t="s">
        <v>98</v>
      </c>
      <c r="W111" t="s">
        <v>35</v>
      </c>
      <c r="X111" t="s">
        <v>84</v>
      </c>
      <c r="Y111" t="s">
        <v>14</v>
      </c>
      <c r="Z111" t="s">
        <v>185</v>
      </c>
      <c r="AA111" t="s">
        <v>86</v>
      </c>
      <c r="AB111" t="s">
        <v>87</v>
      </c>
      <c r="AD111" s="3">
        <v>1141000003</v>
      </c>
      <c r="AJ111" t="s">
        <v>752</v>
      </c>
      <c r="AK111" t="s">
        <v>753</v>
      </c>
      <c r="AL111" t="s">
        <v>188</v>
      </c>
      <c r="AM111">
        <v>0</v>
      </c>
      <c r="AN111" s="2">
        <v>45820</v>
      </c>
      <c r="AO111" t="s">
        <v>99</v>
      </c>
      <c r="AQ111" t="s">
        <v>754</v>
      </c>
      <c r="AR111" t="s">
        <v>755</v>
      </c>
      <c r="AS111" t="s">
        <v>544</v>
      </c>
      <c r="AT111" t="s">
        <v>545</v>
      </c>
      <c r="AU111" t="s">
        <v>124</v>
      </c>
      <c r="AV111" t="s">
        <v>756</v>
      </c>
      <c r="AW111" t="s">
        <v>109</v>
      </c>
      <c r="AX111" t="s">
        <v>82</v>
      </c>
      <c r="AY111" t="s">
        <v>188</v>
      </c>
      <c r="AZ111" s="2">
        <v>46160</v>
      </c>
      <c r="BA111" t="s">
        <v>99</v>
      </c>
      <c r="BB111" s="4">
        <v>46162.456446759257</v>
      </c>
      <c r="BD111" s="2"/>
      <c r="BE111" s="2">
        <v>46190</v>
      </c>
      <c r="BF111">
        <v>21</v>
      </c>
      <c r="BH111">
        <v>21</v>
      </c>
      <c r="BI111" s="2"/>
      <c r="BK111">
        <v>21</v>
      </c>
      <c r="BL111" s="2"/>
      <c r="BO111" t="s">
        <v>227</v>
      </c>
      <c r="BP111" s="5">
        <v>1</v>
      </c>
    </row>
    <row r="112" spans="2:68">
      <c r="B112" t="s">
        <v>254</v>
      </c>
      <c r="C112" t="s">
        <v>346</v>
      </c>
      <c r="D112" t="s">
        <v>70</v>
      </c>
      <c r="E112" t="s">
        <v>71</v>
      </c>
      <c r="F112" t="s">
        <v>72</v>
      </c>
      <c r="G112" t="s">
        <v>73</v>
      </c>
      <c r="H112" s="2">
        <v>46073</v>
      </c>
      <c r="I112" s="2">
        <v>46104</v>
      </c>
      <c r="J112" t="s">
        <v>74</v>
      </c>
      <c r="K112" s="2">
        <v>46091</v>
      </c>
      <c r="L112" t="s">
        <v>75</v>
      </c>
      <c r="M112" t="s">
        <v>76</v>
      </c>
      <c r="N112" t="s">
        <v>77</v>
      </c>
      <c r="O112" t="s">
        <v>347</v>
      </c>
      <c r="P112" t="s">
        <v>348</v>
      </c>
      <c r="Q112">
        <v>10</v>
      </c>
      <c r="R112" t="s">
        <v>115</v>
      </c>
      <c r="S112" t="s">
        <v>116</v>
      </c>
      <c r="T112" t="s">
        <v>184</v>
      </c>
      <c r="U112">
        <v>45820</v>
      </c>
      <c r="V112" t="s">
        <v>98</v>
      </c>
      <c r="W112" t="s">
        <v>35</v>
      </c>
      <c r="X112" t="s">
        <v>84</v>
      </c>
      <c r="Y112" t="s">
        <v>14</v>
      </c>
      <c r="Z112" t="s">
        <v>185</v>
      </c>
      <c r="AA112" t="s">
        <v>86</v>
      </c>
      <c r="AB112" t="s">
        <v>87</v>
      </c>
      <c r="AD112" s="3">
        <v>1141000003</v>
      </c>
      <c r="AJ112" t="s">
        <v>349</v>
      </c>
      <c r="AK112" t="s">
        <v>350</v>
      </c>
      <c r="AL112" t="s">
        <v>188</v>
      </c>
      <c r="AM112">
        <v>0</v>
      </c>
      <c r="AN112">
        <v>45820</v>
      </c>
      <c r="AO112" t="s">
        <v>99</v>
      </c>
      <c r="AQ112" t="s">
        <v>240</v>
      </c>
      <c r="AR112" t="s">
        <v>241</v>
      </c>
      <c r="AS112" t="s">
        <v>122</v>
      </c>
      <c r="AT112" t="s">
        <v>123</v>
      </c>
      <c r="AU112" t="s">
        <v>124</v>
      </c>
      <c r="AV112" t="s">
        <v>351</v>
      </c>
      <c r="AW112" t="s">
        <v>109</v>
      </c>
      <c r="AX112" t="s">
        <v>98</v>
      </c>
      <c r="AY112" t="s">
        <v>126</v>
      </c>
      <c r="AZ112">
        <v>46091</v>
      </c>
      <c r="BA112" t="s">
        <v>99</v>
      </c>
      <c r="BB112" s="4">
        <v>46119.40283564815</v>
      </c>
      <c r="BD112" s="2"/>
      <c r="BE112">
        <v>46142</v>
      </c>
      <c r="BF112">
        <v>10</v>
      </c>
      <c r="BH112">
        <v>10</v>
      </c>
      <c r="BK112">
        <v>10</v>
      </c>
      <c r="BL112" s="2"/>
      <c r="BO112" t="s">
        <v>227</v>
      </c>
      <c r="BP112" s="5">
        <v>1</v>
      </c>
    </row>
    <row r="113" spans="2:68">
      <c r="B113" t="s">
        <v>254</v>
      </c>
      <c r="C113" t="s">
        <v>235</v>
      </c>
      <c r="D113" t="s">
        <v>70</v>
      </c>
      <c r="E113" t="s">
        <v>71</v>
      </c>
      <c r="F113" t="s">
        <v>72</v>
      </c>
      <c r="G113" t="s">
        <v>73</v>
      </c>
      <c r="H113" s="2">
        <v>46073</v>
      </c>
      <c r="I113" s="2">
        <v>46113</v>
      </c>
      <c r="J113" t="s">
        <v>74</v>
      </c>
      <c r="K113" s="2">
        <v>46091</v>
      </c>
      <c r="L113" t="s">
        <v>75</v>
      </c>
      <c r="M113" t="s">
        <v>76</v>
      </c>
      <c r="N113" t="s">
        <v>77</v>
      </c>
      <c r="O113" t="s">
        <v>344</v>
      </c>
      <c r="P113" t="s">
        <v>345</v>
      </c>
      <c r="Q113">
        <v>10</v>
      </c>
      <c r="R113" t="s">
        <v>115</v>
      </c>
      <c r="S113" t="s">
        <v>116</v>
      </c>
      <c r="T113" t="s">
        <v>184</v>
      </c>
      <c r="U113" s="2">
        <v>45820</v>
      </c>
      <c r="V113" t="s">
        <v>98</v>
      </c>
      <c r="W113" t="s">
        <v>35</v>
      </c>
      <c r="X113" t="s">
        <v>84</v>
      </c>
      <c r="Y113" t="s">
        <v>14</v>
      </c>
      <c r="Z113" t="s">
        <v>185</v>
      </c>
      <c r="AA113" t="s">
        <v>86</v>
      </c>
      <c r="AB113" t="s">
        <v>87</v>
      </c>
      <c r="AD113" s="3">
        <v>1141000003</v>
      </c>
      <c r="AI113" s="2"/>
      <c r="AJ113" t="s">
        <v>280</v>
      </c>
      <c r="AK113" t="s">
        <v>268</v>
      </c>
      <c r="AL113" t="s">
        <v>188</v>
      </c>
      <c r="AM113">
        <v>0</v>
      </c>
      <c r="AN113">
        <v>45820</v>
      </c>
      <c r="AO113" t="s">
        <v>99</v>
      </c>
      <c r="AQ113" t="s">
        <v>282</v>
      </c>
      <c r="AR113" t="s">
        <v>573</v>
      </c>
      <c r="AS113" t="s">
        <v>122</v>
      </c>
      <c r="AT113" t="s">
        <v>123</v>
      </c>
      <c r="AU113" t="s">
        <v>124</v>
      </c>
      <c r="AV113" t="s">
        <v>283</v>
      </c>
      <c r="AW113" t="s">
        <v>69</v>
      </c>
      <c r="AX113" t="s">
        <v>82</v>
      </c>
      <c r="AY113" t="s">
        <v>126</v>
      </c>
      <c r="AZ113" s="2">
        <v>46091</v>
      </c>
      <c r="BA113" t="s">
        <v>99</v>
      </c>
      <c r="BB113" s="4">
        <v>46119.402118055557</v>
      </c>
      <c r="BD113" s="2"/>
      <c r="BE113">
        <v>46163</v>
      </c>
      <c r="BF113">
        <v>10</v>
      </c>
      <c r="BG113">
        <v>10</v>
      </c>
      <c r="BH113">
        <v>0</v>
      </c>
      <c r="BI113" s="2">
        <v>46156</v>
      </c>
      <c r="BJ113">
        <v>10</v>
      </c>
      <c r="BK113">
        <v>0</v>
      </c>
      <c r="BL113" s="2">
        <v>46156</v>
      </c>
      <c r="BO113" t="s">
        <v>100</v>
      </c>
      <c r="BP113" s="5">
        <v>1</v>
      </c>
    </row>
    <row r="114" spans="2:68">
      <c r="B114" t="s">
        <v>254</v>
      </c>
      <c r="C114" t="s">
        <v>145</v>
      </c>
      <c r="D114" t="s">
        <v>70</v>
      </c>
      <c r="E114" t="s">
        <v>71</v>
      </c>
      <c r="F114" t="s">
        <v>72</v>
      </c>
      <c r="G114" t="s">
        <v>73</v>
      </c>
      <c r="H114" s="2">
        <v>46073</v>
      </c>
      <c r="I114" s="2">
        <v>46087</v>
      </c>
      <c r="J114" t="s">
        <v>74</v>
      </c>
      <c r="K114" s="2">
        <v>46091</v>
      </c>
      <c r="L114" t="s">
        <v>75</v>
      </c>
      <c r="M114" t="s">
        <v>76</v>
      </c>
      <c r="N114" t="s">
        <v>77</v>
      </c>
      <c r="O114" t="s">
        <v>342</v>
      </c>
      <c r="P114" t="s">
        <v>343</v>
      </c>
      <c r="Q114">
        <v>10</v>
      </c>
      <c r="R114" t="s">
        <v>115</v>
      </c>
      <c r="S114" t="s">
        <v>116</v>
      </c>
      <c r="T114" t="s">
        <v>200</v>
      </c>
      <c r="U114" s="2">
        <v>46118</v>
      </c>
      <c r="V114" t="s">
        <v>98</v>
      </c>
      <c r="W114" t="s">
        <v>83</v>
      </c>
      <c r="X114" t="s">
        <v>84</v>
      </c>
      <c r="Y114" t="s">
        <v>14</v>
      </c>
      <c r="Z114" t="s">
        <v>185</v>
      </c>
      <c r="AA114" t="s">
        <v>86</v>
      </c>
      <c r="AB114" t="s">
        <v>87</v>
      </c>
      <c r="AD114" s="3">
        <v>1141000003</v>
      </c>
      <c r="AE114" t="s">
        <v>582</v>
      </c>
      <c r="AF114" t="s">
        <v>262</v>
      </c>
      <c r="AG114" t="s">
        <v>202</v>
      </c>
      <c r="AH114">
        <v>10</v>
      </c>
      <c r="AI114" s="2">
        <v>46118</v>
      </c>
      <c r="AK114" t="s">
        <v>91</v>
      </c>
      <c r="AQ114" t="s">
        <v>682</v>
      </c>
      <c r="AR114" t="s">
        <v>683</v>
      </c>
      <c r="AS114" t="s">
        <v>94</v>
      </c>
      <c r="AT114" t="s">
        <v>95</v>
      </c>
      <c r="AU114" t="s">
        <v>96</v>
      </c>
      <c r="AV114" t="s">
        <v>757</v>
      </c>
      <c r="AW114" t="s">
        <v>143</v>
      </c>
      <c r="AX114" t="s">
        <v>82</v>
      </c>
      <c r="AY114" t="s">
        <v>202</v>
      </c>
      <c r="AZ114">
        <v>46153</v>
      </c>
      <c r="BA114" t="s">
        <v>99</v>
      </c>
      <c r="BB114" s="4">
        <v>46191.574097222219</v>
      </c>
      <c r="BD114" s="2">
        <v>46209</v>
      </c>
      <c r="BE114">
        <v>46188</v>
      </c>
      <c r="BF114">
        <v>10</v>
      </c>
      <c r="BH114">
        <v>10</v>
      </c>
      <c r="BK114">
        <v>10</v>
      </c>
      <c r="BL114" s="2"/>
      <c r="BO114" t="s">
        <v>227</v>
      </c>
      <c r="BP114" s="5">
        <v>1</v>
      </c>
    </row>
    <row r="115" spans="2:68">
      <c r="B115" t="s">
        <v>322</v>
      </c>
      <c r="C115" t="s">
        <v>143</v>
      </c>
      <c r="D115" t="s">
        <v>70</v>
      </c>
      <c r="E115" t="s">
        <v>71</v>
      </c>
      <c r="F115" t="s">
        <v>72</v>
      </c>
      <c r="G115" t="s">
        <v>73</v>
      </c>
      <c r="H115" s="2">
        <v>46073</v>
      </c>
      <c r="I115" s="2">
        <v>46087</v>
      </c>
      <c r="J115" t="s">
        <v>74</v>
      </c>
      <c r="K115" s="2">
        <v>46091</v>
      </c>
      <c r="L115" t="s">
        <v>75</v>
      </c>
      <c r="M115" t="s">
        <v>76</v>
      </c>
      <c r="N115" t="s">
        <v>77</v>
      </c>
      <c r="O115" t="s">
        <v>340</v>
      </c>
      <c r="P115" t="s">
        <v>341</v>
      </c>
      <c r="Q115">
        <v>1</v>
      </c>
      <c r="R115" t="s">
        <v>80</v>
      </c>
      <c r="S115" t="s">
        <v>13</v>
      </c>
      <c r="T115" t="s">
        <v>716</v>
      </c>
      <c r="U115" s="2">
        <v>46121</v>
      </c>
      <c r="V115" t="s">
        <v>98</v>
      </c>
      <c r="W115" t="s">
        <v>83</v>
      </c>
      <c r="X115" t="s">
        <v>84</v>
      </c>
      <c r="Y115" t="s">
        <v>14</v>
      </c>
      <c r="Z115" t="s">
        <v>117</v>
      </c>
      <c r="AA115" t="s">
        <v>86</v>
      </c>
      <c r="AB115" t="s">
        <v>87</v>
      </c>
      <c r="AD115" s="3">
        <v>1141000001</v>
      </c>
      <c r="AE115" t="s">
        <v>574</v>
      </c>
      <c r="AF115" t="s">
        <v>109</v>
      </c>
      <c r="AG115" t="s">
        <v>718</v>
      </c>
      <c r="AH115">
        <v>1</v>
      </c>
      <c r="AI115">
        <v>46121</v>
      </c>
      <c r="AN115" s="2"/>
      <c r="AX115" t="s">
        <v>175</v>
      </c>
      <c r="AZ115" s="2"/>
      <c r="BB115" s="4"/>
      <c r="BD115" s="2"/>
      <c r="BE115" s="2"/>
      <c r="BI115" s="2"/>
      <c r="BL115" s="2"/>
      <c r="BO115" t="s">
        <v>203</v>
      </c>
      <c r="BP115" s="5">
        <v>1</v>
      </c>
    </row>
    <row r="116" spans="2:68">
      <c r="B116" t="s">
        <v>332</v>
      </c>
      <c r="C116" t="s">
        <v>69</v>
      </c>
      <c r="D116" t="s">
        <v>70</v>
      </c>
      <c r="E116" t="s">
        <v>71</v>
      </c>
      <c r="F116" t="s">
        <v>72</v>
      </c>
      <c r="G116" t="s">
        <v>73</v>
      </c>
      <c r="H116" s="2">
        <v>45930</v>
      </c>
      <c r="I116" s="2">
        <v>45938</v>
      </c>
      <c r="J116" t="s">
        <v>74</v>
      </c>
      <c r="K116" s="2">
        <v>45932</v>
      </c>
      <c r="L116" t="s">
        <v>75</v>
      </c>
      <c r="M116" t="s">
        <v>76</v>
      </c>
      <c r="N116" t="s">
        <v>77</v>
      </c>
      <c r="O116" t="s">
        <v>333</v>
      </c>
      <c r="P116" t="s">
        <v>334</v>
      </c>
      <c r="Q116">
        <v>5</v>
      </c>
      <c r="R116" t="s">
        <v>115</v>
      </c>
      <c r="S116" t="s">
        <v>13</v>
      </c>
      <c r="T116" t="s">
        <v>335</v>
      </c>
      <c r="U116" s="2">
        <v>45936</v>
      </c>
      <c r="V116" t="s">
        <v>82</v>
      </c>
      <c r="W116" t="s">
        <v>83</v>
      </c>
      <c r="X116" t="s">
        <v>84</v>
      </c>
      <c r="Y116" t="s">
        <v>14</v>
      </c>
      <c r="Z116" t="s">
        <v>165</v>
      </c>
      <c r="AA116" t="s">
        <v>86</v>
      </c>
      <c r="AB116" t="s">
        <v>87</v>
      </c>
      <c r="AD116" s="3">
        <v>1141000001</v>
      </c>
      <c r="AE116" t="s">
        <v>336</v>
      </c>
      <c r="AF116" t="s">
        <v>262</v>
      </c>
      <c r="AG116" t="s">
        <v>171</v>
      </c>
      <c r="AH116">
        <v>5</v>
      </c>
      <c r="AI116" s="2">
        <v>45936</v>
      </c>
      <c r="AK116" t="s">
        <v>91</v>
      </c>
      <c r="AQ116" t="s">
        <v>337</v>
      </c>
      <c r="AR116" t="s">
        <v>338</v>
      </c>
      <c r="AS116" t="s">
        <v>94</v>
      </c>
      <c r="AT116" t="s">
        <v>95</v>
      </c>
      <c r="AU116" t="s">
        <v>96</v>
      </c>
      <c r="AV116" t="s">
        <v>339</v>
      </c>
      <c r="AW116" t="s">
        <v>109</v>
      </c>
      <c r="AX116" t="s">
        <v>98</v>
      </c>
      <c r="AY116" t="s">
        <v>171</v>
      </c>
      <c r="AZ116" s="2">
        <v>45943</v>
      </c>
      <c r="BA116" t="s">
        <v>99</v>
      </c>
      <c r="BB116" s="4">
        <v>46000.605497685188</v>
      </c>
      <c r="BD116" s="2">
        <v>45958</v>
      </c>
      <c r="BE116" s="2">
        <v>45958</v>
      </c>
      <c r="BF116">
        <v>5</v>
      </c>
      <c r="BG116">
        <v>5</v>
      </c>
      <c r="BH116">
        <v>0</v>
      </c>
      <c r="BI116">
        <v>46007</v>
      </c>
      <c r="BJ116">
        <v>5</v>
      </c>
      <c r="BK116">
        <v>0</v>
      </c>
      <c r="BL116" s="2">
        <v>46007</v>
      </c>
      <c r="BO116" t="s">
        <v>100</v>
      </c>
      <c r="BP116" s="5">
        <v>1</v>
      </c>
    </row>
    <row r="117" spans="2:68">
      <c r="B117" t="s">
        <v>234</v>
      </c>
      <c r="C117" t="s">
        <v>69</v>
      </c>
      <c r="D117" t="s">
        <v>70</v>
      </c>
      <c r="E117" t="s">
        <v>71</v>
      </c>
      <c r="F117" t="s">
        <v>72</v>
      </c>
      <c r="G117" t="s">
        <v>73</v>
      </c>
      <c r="H117" s="2">
        <v>46045</v>
      </c>
      <c r="I117" s="2">
        <v>46045</v>
      </c>
      <c r="J117" t="s">
        <v>74</v>
      </c>
      <c r="K117" s="2">
        <v>46045</v>
      </c>
      <c r="L117" t="s">
        <v>75</v>
      </c>
      <c r="M117" t="s">
        <v>76</v>
      </c>
      <c r="N117" t="s">
        <v>77</v>
      </c>
      <c r="O117" t="s">
        <v>330</v>
      </c>
      <c r="P117" t="s">
        <v>331</v>
      </c>
      <c r="Q117">
        <v>100</v>
      </c>
      <c r="R117" t="s">
        <v>115</v>
      </c>
      <c r="S117" t="s">
        <v>116</v>
      </c>
      <c r="T117" t="s">
        <v>184</v>
      </c>
      <c r="U117" s="2">
        <v>45820</v>
      </c>
      <c r="V117" t="s">
        <v>98</v>
      </c>
      <c r="W117" t="s">
        <v>35</v>
      </c>
      <c r="X117" t="s">
        <v>84</v>
      </c>
      <c r="Y117" t="s">
        <v>14</v>
      </c>
      <c r="Z117" t="s">
        <v>185</v>
      </c>
      <c r="AA117" t="s">
        <v>86</v>
      </c>
      <c r="AB117" t="s">
        <v>87</v>
      </c>
      <c r="AD117" s="3">
        <v>1141000001</v>
      </c>
      <c r="AI117" s="2"/>
      <c r="AJ117" t="s">
        <v>327</v>
      </c>
      <c r="AK117" t="s">
        <v>239</v>
      </c>
      <c r="AL117" t="s">
        <v>188</v>
      </c>
      <c r="AM117">
        <v>0</v>
      </c>
      <c r="AN117">
        <v>45820</v>
      </c>
      <c r="AO117" t="s">
        <v>99</v>
      </c>
      <c r="AQ117" t="s">
        <v>282</v>
      </c>
      <c r="AR117" t="s">
        <v>573</v>
      </c>
      <c r="AS117" t="s">
        <v>122</v>
      </c>
      <c r="AT117" t="s">
        <v>123</v>
      </c>
      <c r="AU117" t="s">
        <v>124</v>
      </c>
      <c r="AV117" t="s">
        <v>329</v>
      </c>
      <c r="AW117" t="s">
        <v>69</v>
      </c>
      <c r="AX117" t="s">
        <v>82</v>
      </c>
      <c r="AY117" t="s">
        <v>126</v>
      </c>
      <c r="AZ117" s="2">
        <v>46045</v>
      </c>
      <c r="BA117" t="s">
        <v>99</v>
      </c>
      <c r="BB117" s="4">
        <v>46048.481782407405</v>
      </c>
      <c r="BD117" s="2"/>
      <c r="BE117">
        <v>46065</v>
      </c>
      <c r="BF117">
        <v>100</v>
      </c>
      <c r="BG117">
        <v>100</v>
      </c>
      <c r="BH117">
        <v>0</v>
      </c>
      <c r="BI117">
        <v>46091</v>
      </c>
      <c r="BJ117">
        <v>100</v>
      </c>
      <c r="BK117">
        <v>0</v>
      </c>
      <c r="BL117" s="2">
        <v>46091</v>
      </c>
      <c r="BO117" t="s">
        <v>100</v>
      </c>
      <c r="BP117" s="5">
        <v>1</v>
      </c>
    </row>
    <row r="118" spans="2:68">
      <c r="B118" t="s">
        <v>234</v>
      </c>
      <c r="C118" t="s">
        <v>109</v>
      </c>
      <c r="D118" t="s">
        <v>70</v>
      </c>
      <c r="E118" t="s">
        <v>71</v>
      </c>
      <c r="F118" t="s">
        <v>72</v>
      </c>
      <c r="G118" t="s">
        <v>73</v>
      </c>
      <c r="H118" s="2">
        <v>46045</v>
      </c>
      <c r="I118" s="2">
        <v>46045</v>
      </c>
      <c r="J118" t="s">
        <v>74</v>
      </c>
      <c r="K118" s="2">
        <v>46045</v>
      </c>
      <c r="L118" t="s">
        <v>75</v>
      </c>
      <c r="M118" t="s">
        <v>76</v>
      </c>
      <c r="N118" t="s">
        <v>77</v>
      </c>
      <c r="O118" t="s">
        <v>325</v>
      </c>
      <c r="P118" t="s">
        <v>326</v>
      </c>
      <c r="Q118">
        <v>150</v>
      </c>
      <c r="R118" t="s">
        <v>115</v>
      </c>
      <c r="S118" t="s">
        <v>116</v>
      </c>
      <c r="T118" t="s">
        <v>184</v>
      </c>
      <c r="U118" s="2">
        <v>45820</v>
      </c>
      <c r="V118" t="s">
        <v>98</v>
      </c>
      <c r="W118" t="s">
        <v>35</v>
      </c>
      <c r="X118" t="s">
        <v>84</v>
      </c>
      <c r="Y118" t="s">
        <v>14</v>
      </c>
      <c r="Z118" t="s">
        <v>185</v>
      </c>
      <c r="AA118" t="s">
        <v>86</v>
      </c>
      <c r="AB118" t="s">
        <v>87</v>
      </c>
      <c r="AD118" s="3">
        <v>1141000001</v>
      </c>
      <c r="AI118" s="2"/>
      <c r="AJ118" t="s">
        <v>327</v>
      </c>
      <c r="AK118" t="s">
        <v>328</v>
      </c>
      <c r="AL118" t="s">
        <v>188</v>
      </c>
      <c r="AM118">
        <v>0</v>
      </c>
      <c r="AN118">
        <v>45820</v>
      </c>
      <c r="AO118" t="s">
        <v>99</v>
      </c>
      <c r="AQ118" t="s">
        <v>282</v>
      </c>
      <c r="AR118" t="s">
        <v>573</v>
      </c>
      <c r="AS118" t="s">
        <v>122</v>
      </c>
      <c r="AT118" t="s">
        <v>123</v>
      </c>
      <c r="AU118" t="s">
        <v>124</v>
      </c>
      <c r="AV118" t="s">
        <v>329</v>
      </c>
      <c r="AW118" t="s">
        <v>109</v>
      </c>
      <c r="AX118" t="s">
        <v>82</v>
      </c>
      <c r="AY118" t="s">
        <v>126</v>
      </c>
      <c r="AZ118" s="2">
        <v>46045</v>
      </c>
      <c r="BA118" t="s">
        <v>99</v>
      </c>
      <c r="BB118" s="4">
        <v>46048.481782407405</v>
      </c>
      <c r="BD118" s="2"/>
      <c r="BE118">
        <v>46075</v>
      </c>
      <c r="BF118">
        <v>150</v>
      </c>
      <c r="BG118">
        <v>150</v>
      </c>
      <c r="BH118">
        <v>0</v>
      </c>
      <c r="BI118">
        <v>46091</v>
      </c>
      <c r="BJ118">
        <v>150</v>
      </c>
      <c r="BK118">
        <v>0</v>
      </c>
      <c r="BL118" s="2">
        <v>46091</v>
      </c>
      <c r="BO118" t="s">
        <v>100</v>
      </c>
      <c r="BP118" s="5">
        <v>1</v>
      </c>
    </row>
    <row r="119" spans="2:68">
      <c r="B119" t="s">
        <v>322</v>
      </c>
      <c r="C119" t="s">
        <v>262</v>
      </c>
      <c r="D119" t="s">
        <v>70</v>
      </c>
      <c r="E119" t="s">
        <v>71</v>
      </c>
      <c r="F119" t="s">
        <v>72</v>
      </c>
      <c r="G119" t="s">
        <v>73</v>
      </c>
      <c r="H119" s="2">
        <v>46073</v>
      </c>
      <c r="I119" s="2">
        <v>46087</v>
      </c>
      <c r="J119" t="s">
        <v>74</v>
      </c>
      <c r="K119" s="2">
        <v>46091</v>
      </c>
      <c r="L119" t="s">
        <v>75</v>
      </c>
      <c r="M119" t="s">
        <v>76</v>
      </c>
      <c r="N119" t="s">
        <v>77</v>
      </c>
      <c r="O119" t="s">
        <v>323</v>
      </c>
      <c r="P119" t="s">
        <v>324</v>
      </c>
      <c r="Q119">
        <v>1</v>
      </c>
      <c r="R119" t="s">
        <v>80</v>
      </c>
      <c r="S119" t="s">
        <v>13</v>
      </c>
      <c r="U119" s="2"/>
      <c r="V119" t="s">
        <v>82</v>
      </c>
      <c r="W119" t="s">
        <v>83</v>
      </c>
      <c r="X119" t="s">
        <v>84</v>
      </c>
      <c r="Y119" t="s">
        <v>14</v>
      </c>
      <c r="Z119" t="s">
        <v>85</v>
      </c>
      <c r="AA119" t="s">
        <v>86</v>
      </c>
      <c r="AB119" t="s">
        <v>87</v>
      </c>
      <c r="AD119" s="3">
        <v>1141000003</v>
      </c>
      <c r="AI119" s="2"/>
      <c r="AX119" t="s">
        <v>175</v>
      </c>
      <c r="AZ119" s="2"/>
      <c r="BB119" s="4"/>
      <c r="BD119" s="2"/>
      <c r="BL119" s="2"/>
      <c r="BO119" t="s">
        <v>550</v>
      </c>
      <c r="BP119" s="5">
        <v>1</v>
      </c>
    </row>
    <row r="120" spans="2:68">
      <c r="B120" t="s">
        <v>315</v>
      </c>
      <c r="C120" t="s">
        <v>109</v>
      </c>
      <c r="D120" t="s">
        <v>70</v>
      </c>
      <c r="E120" t="s">
        <v>71</v>
      </c>
      <c r="F120" t="s">
        <v>72</v>
      </c>
      <c r="G120" t="s">
        <v>73</v>
      </c>
      <c r="H120" s="2">
        <v>45855</v>
      </c>
      <c r="I120" s="2">
        <v>45866</v>
      </c>
      <c r="J120" t="s">
        <v>74</v>
      </c>
      <c r="K120" s="2">
        <v>45856</v>
      </c>
      <c r="L120" t="s">
        <v>75</v>
      </c>
      <c r="M120" t="s">
        <v>76</v>
      </c>
      <c r="N120" t="s">
        <v>77</v>
      </c>
      <c r="O120" t="s">
        <v>316</v>
      </c>
      <c r="P120" t="s">
        <v>317</v>
      </c>
      <c r="Q120">
        <v>2</v>
      </c>
      <c r="R120" t="s">
        <v>115</v>
      </c>
      <c r="S120" t="s">
        <v>116</v>
      </c>
      <c r="T120" t="s">
        <v>220</v>
      </c>
      <c r="U120" s="2">
        <v>45859</v>
      </c>
      <c r="V120" t="s">
        <v>98</v>
      </c>
      <c r="W120" t="s">
        <v>83</v>
      </c>
      <c r="X120" t="s">
        <v>84</v>
      </c>
      <c r="Y120" t="s">
        <v>14</v>
      </c>
      <c r="Z120" t="s">
        <v>117</v>
      </c>
      <c r="AA120" t="s">
        <v>86</v>
      </c>
      <c r="AB120" t="s">
        <v>87</v>
      </c>
      <c r="AD120" s="3">
        <v>1141000001</v>
      </c>
      <c r="AE120" t="s">
        <v>318</v>
      </c>
      <c r="AF120" t="s">
        <v>284</v>
      </c>
      <c r="AG120" t="s">
        <v>223</v>
      </c>
      <c r="AH120">
        <v>2</v>
      </c>
      <c r="AI120">
        <v>45859</v>
      </c>
      <c r="AK120" t="s">
        <v>91</v>
      </c>
      <c r="AN120" s="2"/>
      <c r="AQ120" t="s">
        <v>319</v>
      </c>
      <c r="AR120" t="s">
        <v>320</v>
      </c>
      <c r="AS120" t="s">
        <v>94</v>
      </c>
      <c r="AT120" t="s">
        <v>95</v>
      </c>
      <c r="AU120" t="s">
        <v>96</v>
      </c>
      <c r="AV120" t="s">
        <v>321</v>
      </c>
      <c r="AW120" t="s">
        <v>243</v>
      </c>
      <c r="AX120" t="s">
        <v>98</v>
      </c>
      <c r="AY120" t="s">
        <v>223</v>
      </c>
      <c r="AZ120" s="2">
        <v>45866</v>
      </c>
      <c r="BA120" t="s">
        <v>99</v>
      </c>
      <c r="BB120" s="4">
        <v>46002.679259259261</v>
      </c>
      <c r="BD120" s="2">
        <v>46013</v>
      </c>
      <c r="BE120" s="2"/>
      <c r="BF120">
        <v>2</v>
      </c>
      <c r="BG120">
        <v>2</v>
      </c>
      <c r="BH120">
        <v>0</v>
      </c>
      <c r="BI120" s="2">
        <v>45895</v>
      </c>
      <c r="BJ120">
        <v>2</v>
      </c>
      <c r="BK120">
        <v>0</v>
      </c>
      <c r="BL120" s="2">
        <v>45895</v>
      </c>
      <c r="BO120" t="s">
        <v>100</v>
      </c>
      <c r="BP120" s="5">
        <v>1</v>
      </c>
    </row>
    <row r="121" spans="2:68">
      <c r="B121" t="s">
        <v>583</v>
      </c>
      <c r="C121" t="s">
        <v>140</v>
      </c>
      <c r="D121" t="s">
        <v>70</v>
      </c>
      <c r="E121" t="s">
        <v>71</v>
      </c>
      <c r="F121" t="s">
        <v>72</v>
      </c>
      <c r="G121" t="s">
        <v>73</v>
      </c>
      <c r="H121" s="2">
        <v>46122</v>
      </c>
      <c r="I121" s="2">
        <v>46132</v>
      </c>
      <c r="J121" t="s">
        <v>74</v>
      </c>
      <c r="K121" s="2">
        <v>46150</v>
      </c>
      <c r="L121" t="s">
        <v>75</v>
      </c>
      <c r="M121" t="s">
        <v>76</v>
      </c>
      <c r="N121" t="s">
        <v>77</v>
      </c>
      <c r="O121" t="s">
        <v>316</v>
      </c>
      <c r="P121" t="s">
        <v>317</v>
      </c>
      <c r="Q121">
        <v>2</v>
      </c>
      <c r="R121" t="s">
        <v>115</v>
      </c>
      <c r="S121" t="s">
        <v>116</v>
      </c>
      <c r="T121" t="s">
        <v>716</v>
      </c>
      <c r="U121" s="2">
        <v>46161</v>
      </c>
      <c r="V121" t="s">
        <v>98</v>
      </c>
      <c r="W121" t="s">
        <v>83</v>
      </c>
      <c r="X121" t="s">
        <v>84</v>
      </c>
      <c r="Y121" t="s">
        <v>14</v>
      </c>
      <c r="Z121" t="s">
        <v>117</v>
      </c>
      <c r="AA121" t="s">
        <v>86</v>
      </c>
      <c r="AB121" t="s">
        <v>87</v>
      </c>
      <c r="AD121" s="3">
        <v>1141000001</v>
      </c>
      <c r="AE121" t="s">
        <v>758</v>
      </c>
      <c r="AF121" t="s">
        <v>143</v>
      </c>
      <c r="AG121" t="s">
        <v>718</v>
      </c>
      <c r="AH121">
        <v>2</v>
      </c>
      <c r="AI121">
        <v>46161</v>
      </c>
      <c r="AK121" t="s">
        <v>91</v>
      </c>
      <c r="AN121" s="2"/>
      <c r="AQ121" t="s">
        <v>214</v>
      </c>
      <c r="AR121" t="s">
        <v>215</v>
      </c>
      <c r="AS121" t="s">
        <v>94</v>
      </c>
      <c r="AT121" t="s">
        <v>95</v>
      </c>
      <c r="AU121" t="s">
        <v>96</v>
      </c>
      <c r="AV121" t="s">
        <v>811</v>
      </c>
      <c r="AW121" t="s">
        <v>143</v>
      </c>
      <c r="AX121" t="s">
        <v>82</v>
      </c>
      <c r="AY121" t="s">
        <v>718</v>
      </c>
      <c r="AZ121" s="2">
        <v>46192</v>
      </c>
      <c r="BA121" t="s">
        <v>99</v>
      </c>
      <c r="BB121" s="4">
        <v>46195.655856481484</v>
      </c>
      <c r="BD121" s="2">
        <v>46199</v>
      </c>
      <c r="BE121" s="2">
        <v>46234</v>
      </c>
      <c r="BF121">
        <v>2</v>
      </c>
      <c r="BH121">
        <v>2</v>
      </c>
      <c r="BI121" s="2"/>
      <c r="BK121">
        <v>2</v>
      </c>
      <c r="BL121" s="2"/>
      <c r="BO121" t="s">
        <v>227</v>
      </c>
      <c r="BP121" s="5">
        <v>1</v>
      </c>
    </row>
    <row r="122" spans="2:68">
      <c r="B122" t="s">
        <v>307</v>
      </c>
      <c r="C122" t="s">
        <v>143</v>
      </c>
      <c r="D122" t="s">
        <v>70</v>
      </c>
      <c r="E122" t="s">
        <v>71</v>
      </c>
      <c r="F122" t="s">
        <v>72</v>
      </c>
      <c r="G122" t="s">
        <v>73</v>
      </c>
      <c r="H122" s="2">
        <v>45904</v>
      </c>
      <c r="I122" s="2">
        <v>45936</v>
      </c>
      <c r="J122" t="s">
        <v>74</v>
      </c>
      <c r="K122" s="2">
        <v>45904</v>
      </c>
      <c r="L122" t="s">
        <v>75</v>
      </c>
      <c r="M122" t="s">
        <v>76</v>
      </c>
      <c r="N122" t="s">
        <v>77</v>
      </c>
      <c r="O122" t="s">
        <v>308</v>
      </c>
      <c r="P122" t="s">
        <v>309</v>
      </c>
      <c r="Q122">
        <v>30</v>
      </c>
      <c r="R122" t="s">
        <v>115</v>
      </c>
      <c r="S122" t="s">
        <v>116</v>
      </c>
      <c r="T122" t="s">
        <v>184</v>
      </c>
      <c r="U122" s="2">
        <v>45820</v>
      </c>
      <c r="V122" t="s">
        <v>98</v>
      </c>
      <c r="W122" t="s">
        <v>35</v>
      </c>
      <c r="X122" t="s">
        <v>84</v>
      </c>
      <c r="Y122" t="s">
        <v>14</v>
      </c>
      <c r="Z122" t="s">
        <v>185</v>
      </c>
      <c r="AA122" t="s">
        <v>86</v>
      </c>
      <c r="AB122" t="s">
        <v>87</v>
      </c>
      <c r="AD122" s="3">
        <v>1141000001</v>
      </c>
      <c r="AI122" s="2"/>
      <c r="AJ122" t="s">
        <v>310</v>
      </c>
      <c r="AK122" t="s">
        <v>311</v>
      </c>
      <c r="AL122" t="s">
        <v>188</v>
      </c>
      <c r="AM122">
        <v>0</v>
      </c>
      <c r="AN122">
        <v>45820</v>
      </c>
      <c r="AO122" t="s">
        <v>99</v>
      </c>
      <c r="AQ122" t="s">
        <v>282</v>
      </c>
      <c r="AR122" t="s">
        <v>573</v>
      </c>
      <c r="AS122" t="s">
        <v>312</v>
      </c>
      <c r="AT122" t="s">
        <v>313</v>
      </c>
      <c r="AU122" t="s">
        <v>124</v>
      </c>
      <c r="AV122" t="s">
        <v>314</v>
      </c>
      <c r="AW122" t="s">
        <v>109</v>
      </c>
      <c r="AX122" t="s">
        <v>82</v>
      </c>
      <c r="AY122" t="s">
        <v>126</v>
      </c>
      <c r="AZ122">
        <v>45904</v>
      </c>
      <c r="BA122" t="s">
        <v>99</v>
      </c>
      <c r="BB122" s="4">
        <v>45908.323587962965</v>
      </c>
      <c r="BD122" s="2"/>
      <c r="BE122">
        <v>45939</v>
      </c>
      <c r="BF122">
        <v>30</v>
      </c>
      <c r="BG122">
        <v>30</v>
      </c>
      <c r="BH122">
        <v>0</v>
      </c>
      <c r="BI122">
        <v>45939</v>
      </c>
      <c r="BJ122">
        <v>30</v>
      </c>
      <c r="BK122">
        <v>0</v>
      </c>
      <c r="BL122" s="2">
        <v>45939</v>
      </c>
      <c r="BO122" t="s">
        <v>100</v>
      </c>
      <c r="BP122" s="5">
        <v>1</v>
      </c>
    </row>
    <row r="123" spans="2:68">
      <c r="B123" t="s">
        <v>144</v>
      </c>
      <c r="C123" t="s">
        <v>235</v>
      </c>
      <c r="D123" t="s">
        <v>70</v>
      </c>
      <c r="E123" t="s">
        <v>71</v>
      </c>
      <c r="F123" t="s">
        <v>72</v>
      </c>
      <c r="G123" t="s">
        <v>73</v>
      </c>
      <c r="H123" s="2">
        <v>45922</v>
      </c>
      <c r="I123" s="2">
        <v>45929</v>
      </c>
      <c r="J123" t="s">
        <v>74</v>
      </c>
      <c r="K123" s="2">
        <v>45922</v>
      </c>
      <c r="L123" t="s">
        <v>75</v>
      </c>
      <c r="M123" t="s">
        <v>76</v>
      </c>
      <c r="N123" t="s">
        <v>77</v>
      </c>
      <c r="O123" t="s">
        <v>301</v>
      </c>
      <c r="P123" t="s">
        <v>302</v>
      </c>
      <c r="Q123">
        <v>20</v>
      </c>
      <c r="R123" t="s">
        <v>115</v>
      </c>
      <c r="S123" t="s">
        <v>116</v>
      </c>
      <c r="T123" t="s">
        <v>220</v>
      </c>
      <c r="U123" s="2">
        <v>45922</v>
      </c>
      <c r="V123" t="s">
        <v>98</v>
      </c>
      <c r="W123" t="s">
        <v>83</v>
      </c>
      <c r="X123" t="s">
        <v>84</v>
      </c>
      <c r="Y123" t="s">
        <v>14</v>
      </c>
      <c r="Z123" t="s">
        <v>117</v>
      </c>
      <c r="AA123" t="s">
        <v>86</v>
      </c>
      <c r="AB123" t="s">
        <v>87</v>
      </c>
      <c r="AD123" s="3">
        <v>1141000003</v>
      </c>
      <c r="AE123" t="s">
        <v>303</v>
      </c>
      <c r="AF123" t="s">
        <v>178</v>
      </c>
      <c r="AG123" t="s">
        <v>223</v>
      </c>
      <c r="AH123">
        <v>20</v>
      </c>
      <c r="AI123" s="2">
        <v>45922</v>
      </c>
      <c r="AK123" t="s">
        <v>91</v>
      </c>
      <c r="AQ123" t="s">
        <v>304</v>
      </c>
      <c r="AR123" t="s">
        <v>305</v>
      </c>
      <c r="AS123" t="s">
        <v>94</v>
      </c>
      <c r="AT123" t="s">
        <v>95</v>
      </c>
      <c r="AU123" t="s">
        <v>96</v>
      </c>
      <c r="AV123" t="s">
        <v>306</v>
      </c>
      <c r="AW123" t="s">
        <v>109</v>
      </c>
      <c r="AX123" t="s">
        <v>82</v>
      </c>
      <c r="AY123" t="s">
        <v>223</v>
      </c>
      <c r="AZ123" s="2">
        <v>46003</v>
      </c>
      <c r="BA123" t="s">
        <v>99</v>
      </c>
      <c r="BB123" s="4">
        <v>46009.651655092595</v>
      </c>
      <c r="BD123" s="2">
        <v>46045</v>
      </c>
      <c r="BE123" s="2">
        <v>46062</v>
      </c>
      <c r="BF123">
        <v>20</v>
      </c>
      <c r="BG123">
        <v>5</v>
      </c>
      <c r="BH123">
        <v>15</v>
      </c>
      <c r="BI123">
        <v>46190</v>
      </c>
      <c r="BJ123">
        <v>5</v>
      </c>
      <c r="BK123">
        <v>15</v>
      </c>
      <c r="BL123" s="2">
        <v>46190</v>
      </c>
      <c r="BO123" t="s">
        <v>812</v>
      </c>
      <c r="BP123" s="5">
        <v>1</v>
      </c>
    </row>
    <row r="124" spans="2:68">
      <c r="B124" t="s">
        <v>144</v>
      </c>
      <c r="C124" t="s">
        <v>140</v>
      </c>
      <c r="D124" t="s">
        <v>70</v>
      </c>
      <c r="E124" t="s">
        <v>71</v>
      </c>
      <c r="F124" t="s">
        <v>72</v>
      </c>
      <c r="G124" t="s">
        <v>73</v>
      </c>
      <c r="H124" s="2">
        <v>45922</v>
      </c>
      <c r="I124" s="2">
        <v>45929</v>
      </c>
      <c r="J124" t="s">
        <v>74</v>
      </c>
      <c r="K124" s="2">
        <v>45922</v>
      </c>
      <c r="L124" t="s">
        <v>75</v>
      </c>
      <c r="M124" t="s">
        <v>76</v>
      </c>
      <c r="N124" t="s">
        <v>77</v>
      </c>
      <c r="O124" t="s">
        <v>299</v>
      </c>
      <c r="P124" t="s">
        <v>300</v>
      </c>
      <c r="Q124">
        <v>2</v>
      </c>
      <c r="R124" t="s">
        <v>115</v>
      </c>
      <c r="S124" t="s">
        <v>116</v>
      </c>
      <c r="T124" t="s">
        <v>290</v>
      </c>
      <c r="U124" s="2">
        <v>45924</v>
      </c>
      <c r="V124" t="s">
        <v>98</v>
      </c>
      <c r="W124" t="s">
        <v>83</v>
      </c>
      <c r="X124" t="s">
        <v>84</v>
      </c>
      <c r="Y124" t="s">
        <v>14</v>
      </c>
      <c r="Z124" t="s">
        <v>291</v>
      </c>
      <c r="AA124" t="s">
        <v>86</v>
      </c>
      <c r="AB124" t="s">
        <v>87</v>
      </c>
      <c r="AD124" s="3">
        <v>1141000001</v>
      </c>
      <c r="AE124" t="s">
        <v>292</v>
      </c>
      <c r="AF124" t="s">
        <v>69</v>
      </c>
      <c r="AG124" t="s">
        <v>293</v>
      </c>
      <c r="AH124">
        <v>2</v>
      </c>
      <c r="AI124">
        <v>45924</v>
      </c>
      <c r="AK124" t="s">
        <v>91</v>
      </c>
      <c r="AN124" s="2"/>
      <c r="AQ124" t="s">
        <v>294</v>
      </c>
      <c r="AR124" t="s">
        <v>295</v>
      </c>
      <c r="AS124" t="s">
        <v>94</v>
      </c>
      <c r="AT124" t="s">
        <v>95</v>
      </c>
      <c r="AU124" t="s">
        <v>96</v>
      </c>
      <c r="AV124" t="s">
        <v>296</v>
      </c>
      <c r="AW124" t="s">
        <v>69</v>
      </c>
      <c r="AX124" t="s">
        <v>82</v>
      </c>
      <c r="AY124" t="s">
        <v>293</v>
      </c>
      <c r="AZ124" s="2">
        <v>45933</v>
      </c>
      <c r="BA124" t="s">
        <v>99</v>
      </c>
      <c r="BB124" s="4">
        <v>45947.698680555557</v>
      </c>
      <c r="BD124" s="2">
        <v>45950</v>
      </c>
      <c r="BE124" s="2"/>
      <c r="BF124">
        <v>2</v>
      </c>
      <c r="BH124">
        <v>2</v>
      </c>
      <c r="BK124">
        <v>2</v>
      </c>
      <c r="BL124" s="2"/>
      <c r="BO124" t="s">
        <v>227</v>
      </c>
      <c r="BP124" s="5">
        <v>1</v>
      </c>
    </row>
    <row r="125" spans="2:68">
      <c r="B125" t="s">
        <v>144</v>
      </c>
      <c r="C125" t="s">
        <v>243</v>
      </c>
      <c r="D125" t="s">
        <v>70</v>
      </c>
      <c r="E125" t="s">
        <v>71</v>
      </c>
      <c r="F125" t="s">
        <v>72</v>
      </c>
      <c r="G125" t="s">
        <v>73</v>
      </c>
      <c r="H125" s="2">
        <v>45922</v>
      </c>
      <c r="I125" s="2">
        <v>45929</v>
      </c>
      <c r="J125" t="s">
        <v>74</v>
      </c>
      <c r="K125" s="2">
        <v>45922</v>
      </c>
      <c r="L125" t="s">
        <v>75</v>
      </c>
      <c r="M125" t="s">
        <v>76</v>
      </c>
      <c r="N125" t="s">
        <v>77</v>
      </c>
      <c r="O125" t="s">
        <v>297</v>
      </c>
      <c r="P125" t="s">
        <v>298</v>
      </c>
      <c r="Q125">
        <v>2</v>
      </c>
      <c r="R125" t="s">
        <v>115</v>
      </c>
      <c r="S125" t="s">
        <v>116</v>
      </c>
      <c r="T125" t="s">
        <v>290</v>
      </c>
      <c r="U125" s="2">
        <v>45924</v>
      </c>
      <c r="V125" t="s">
        <v>98</v>
      </c>
      <c r="W125" t="s">
        <v>83</v>
      </c>
      <c r="X125" t="s">
        <v>84</v>
      </c>
      <c r="Y125" t="s">
        <v>14</v>
      </c>
      <c r="Z125" t="s">
        <v>291</v>
      </c>
      <c r="AA125" t="s">
        <v>86</v>
      </c>
      <c r="AB125" t="s">
        <v>87</v>
      </c>
      <c r="AD125" s="3">
        <v>1141000001</v>
      </c>
      <c r="AE125" t="s">
        <v>292</v>
      </c>
      <c r="AF125" t="s">
        <v>143</v>
      </c>
      <c r="AG125" t="s">
        <v>293</v>
      </c>
      <c r="AH125">
        <v>2</v>
      </c>
      <c r="AI125">
        <v>45924</v>
      </c>
      <c r="AK125" t="s">
        <v>91</v>
      </c>
      <c r="AN125" s="2"/>
      <c r="AQ125" t="s">
        <v>294</v>
      </c>
      <c r="AR125" t="s">
        <v>295</v>
      </c>
      <c r="AS125" t="s">
        <v>94</v>
      </c>
      <c r="AT125" t="s">
        <v>95</v>
      </c>
      <c r="AU125" t="s">
        <v>96</v>
      </c>
      <c r="AV125" t="s">
        <v>296</v>
      </c>
      <c r="AW125" t="s">
        <v>143</v>
      </c>
      <c r="AX125" t="s">
        <v>82</v>
      </c>
      <c r="AY125" t="s">
        <v>293</v>
      </c>
      <c r="AZ125" s="2">
        <v>45933</v>
      </c>
      <c r="BA125" t="s">
        <v>99</v>
      </c>
      <c r="BB125" s="4">
        <v>45947.698680555557</v>
      </c>
      <c r="BD125" s="2">
        <v>45950</v>
      </c>
      <c r="BE125" s="2"/>
      <c r="BF125">
        <v>2</v>
      </c>
      <c r="BH125">
        <v>2</v>
      </c>
      <c r="BI125" s="2"/>
      <c r="BK125">
        <v>2</v>
      </c>
      <c r="BL125" s="2"/>
      <c r="BO125" t="s">
        <v>227</v>
      </c>
      <c r="BP125" s="5">
        <v>1</v>
      </c>
    </row>
    <row r="126" spans="2:68">
      <c r="B126" t="s">
        <v>144</v>
      </c>
      <c r="C126" t="s">
        <v>259</v>
      </c>
      <c r="D126" t="s">
        <v>70</v>
      </c>
      <c r="E126" t="s">
        <v>71</v>
      </c>
      <c r="F126" t="s">
        <v>72</v>
      </c>
      <c r="G126" t="s">
        <v>73</v>
      </c>
      <c r="H126" s="2">
        <v>45922</v>
      </c>
      <c r="I126" s="2">
        <v>45929</v>
      </c>
      <c r="J126" t="s">
        <v>74</v>
      </c>
      <c r="K126" s="2">
        <v>45922</v>
      </c>
      <c r="L126" t="s">
        <v>75</v>
      </c>
      <c r="M126" t="s">
        <v>76</v>
      </c>
      <c r="N126" t="s">
        <v>77</v>
      </c>
      <c r="O126" t="s">
        <v>288</v>
      </c>
      <c r="P126" t="s">
        <v>289</v>
      </c>
      <c r="Q126">
        <v>4</v>
      </c>
      <c r="R126" t="s">
        <v>115</v>
      </c>
      <c r="S126" t="s">
        <v>116</v>
      </c>
      <c r="T126" t="s">
        <v>290</v>
      </c>
      <c r="U126" s="2">
        <v>45924</v>
      </c>
      <c r="V126" t="s">
        <v>98</v>
      </c>
      <c r="W126" t="s">
        <v>83</v>
      </c>
      <c r="X126" t="s">
        <v>84</v>
      </c>
      <c r="Y126" t="s">
        <v>14</v>
      </c>
      <c r="Z126" t="s">
        <v>291</v>
      </c>
      <c r="AA126" t="s">
        <v>86</v>
      </c>
      <c r="AB126" t="s">
        <v>87</v>
      </c>
      <c r="AD126" s="3">
        <v>1141000001</v>
      </c>
      <c r="AE126" t="s">
        <v>292</v>
      </c>
      <c r="AF126" t="s">
        <v>109</v>
      </c>
      <c r="AG126" t="s">
        <v>293</v>
      </c>
      <c r="AH126">
        <v>4</v>
      </c>
      <c r="AI126" s="2">
        <v>45924</v>
      </c>
      <c r="AK126" t="s">
        <v>91</v>
      </c>
      <c r="AQ126" t="s">
        <v>294</v>
      </c>
      <c r="AR126" t="s">
        <v>295</v>
      </c>
      <c r="AS126" t="s">
        <v>94</v>
      </c>
      <c r="AT126" t="s">
        <v>95</v>
      </c>
      <c r="AU126" t="s">
        <v>96</v>
      </c>
      <c r="AV126" t="s">
        <v>296</v>
      </c>
      <c r="AW126" t="s">
        <v>109</v>
      </c>
      <c r="AX126" t="s">
        <v>82</v>
      </c>
      <c r="AY126" t="s">
        <v>293</v>
      </c>
      <c r="AZ126">
        <v>45933</v>
      </c>
      <c r="BA126" t="s">
        <v>99</v>
      </c>
      <c r="BB126" s="4">
        <v>45947.698680555557</v>
      </c>
      <c r="BD126" s="2">
        <v>45950</v>
      </c>
      <c r="BF126">
        <v>4</v>
      </c>
      <c r="BH126">
        <v>4</v>
      </c>
      <c r="BK126">
        <v>4</v>
      </c>
      <c r="BL126" s="2"/>
      <c r="BO126" t="s">
        <v>227</v>
      </c>
      <c r="BP126" s="5">
        <v>1</v>
      </c>
    </row>
    <row r="127" spans="2:68">
      <c r="B127" t="s">
        <v>254</v>
      </c>
      <c r="C127" t="s">
        <v>284</v>
      </c>
      <c r="D127" t="s">
        <v>70</v>
      </c>
      <c r="E127" t="s">
        <v>71</v>
      </c>
      <c r="F127" t="s">
        <v>72</v>
      </c>
      <c r="G127" t="s">
        <v>73</v>
      </c>
      <c r="H127" s="2">
        <v>46073</v>
      </c>
      <c r="I127" s="2">
        <v>46113</v>
      </c>
      <c r="J127" t="s">
        <v>74</v>
      </c>
      <c r="K127" s="2">
        <v>46091</v>
      </c>
      <c r="L127" t="s">
        <v>75</v>
      </c>
      <c r="M127" t="s">
        <v>76</v>
      </c>
      <c r="N127" t="s">
        <v>77</v>
      </c>
      <c r="O127" t="s">
        <v>285</v>
      </c>
      <c r="P127" t="s">
        <v>286</v>
      </c>
      <c r="Q127">
        <v>10</v>
      </c>
      <c r="R127" t="s">
        <v>115</v>
      </c>
      <c r="S127" t="s">
        <v>116</v>
      </c>
      <c r="T127" t="s">
        <v>184</v>
      </c>
      <c r="U127" s="2">
        <v>45820</v>
      </c>
      <c r="V127" t="s">
        <v>98</v>
      </c>
      <c r="W127" t="s">
        <v>35</v>
      </c>
      <c r="X127" t="s">
        <v>84</v>
      </c>
      <c r="Y127" t="s">
        <v>14</v>
      </c>
      <c r="Z127" t="s">
        <v>185</v>
      </c>
      <c r="AA127" t="s">
        <v>86</v>
      </c>
      <c r="AB127" t="s">
        <v>87</v>
      </c>
      <c r="AD127" s="3">
        <v>1141000003</v>
      </c>
      <c r="AI127" s="2"/>
      <c r="AJ127" t="s">
        <v>280</v>
      </c>
      <c r="AK127" t="s">
        <v>287</v>
      </c>
      <c r="AL127" t="s">
        <v>188</v>
      </c>
      <c r="AM127">
        <v>0</v>
      </c>
      <c r="AN127">
        <v>45820</v>
      </c>
      <c r="AO127" t="s">
        <v>99</v>
      </c>
      <c r="AQ127" t="s">
        <v>282</v>
      </c>
      <c r="AR127" t="s">
        <v>573</v>
      </c>
      <c r="AS127" t="s">
        <v>122</v>
      </c>
      <c r="AT127" t="s">
        <v>123</v>
      </c>
      <c r="AU127" t="s">
        <v>124</v>
      </c>
      <c r="AV127" t="s">
        <v>283</v>
      </c>
      <c r="AW127" t="s">
        <v>143</v>
      </c>
      <c r="AX127" t="s">
        <v>82</v>
      </c>
      <c r="AY127" t="s">
        <v>126</v>
      </c>
      <c r="AZ127">
        <v>46091</v>
      </c>
      <c r="BA127" t="s">
        <v>99</v>
      </c>
      <c r="BB127" s="4">
        <v>46119.402118055557</v>
      </c>
      <c r="BD127" s="2"/>
      <c r="BE127">
        <v>46163</v>
      </c>
      <c r="BF127">
        <v>10</v>
      </c>
      <c r="BG127">
        <v>10</v>
      </c>
      <c r="BH127">
        <v>0</v>
      </c>
      <c r="BI127">
        <v>46156</v>
      </c>
      <c r="BJ127">
        <v>10</v>
      </c>
      <c r="BK127">
        <v>0</v>
      </c>
      <c r="BL127" s="2">
        <v>46156</v>
      </c>
      <c r="BO127" t="s">
        <v>100</v>
      </c>
      <c r="BP127" s="5">
        <v>1</v>
      </c>
    </row>
    <row r="128" spans="2:68">
      <c r="B128" t="s">
        <v>254</v>
      </c>
      <c r="C128" t="s">
        <v>178</v>
      </c>
      <c r="D128" t="s">
        <v>70</v>
      </c>
      <c r="E128" t="s">
        <v>71</v>
      </c>
      <c r="F128" t="s">
        <v>72</v>
      </c>
      <c r="G128" t="s">
        <v>73</v>
      </c>
      <c r="H128" s="2">
        <v>46073</v>
      </c>
      <c r="I128" s="2">
        <v>46113</v>
      </c>
      <c r="J128" t="s">
        <v>74</v>
      </c>
      <c r="K128" s="2">
        <v>46091</v>
      </c>
      <c r="L128" t="s">
        <v>75</v>
      </c>
      <c r="M128" t="s">
        <v>76</v>
      </c>
      <c r="N128" t="s">
        <v>77</v>
      </c>
      <c r="O128" t="s">
        <v>278</v>
      </c>
      <c r="P128" t="s">
        <v>279</v>
      </c>
      <c r="Q128">
        <v>15</v>
      </c>
      <c r="R128" t="s">
        <v>115</v>
      </c>
      <c r="S128" t="s">
        <v>116</v>
      </c>
      <c r="T128" t="s">
        <v>184</v>
      </c>
      <c r="U128" s="2">
        <v>45820</v>
      </c>
      <c r="V128" t="s">
        <v>98</v>
      </c>
      <c r="W128" t="s">
        <v>35</v>
      </c>
      <c r="X128" t="s">
        <v>84</v>
      </c>
      <c r="Y128" t="s">
        <v>14</v>
      </c>
      <c r="Z128" t="s">
        <v>185</v>
      </c>
      <c r="AA128" t="s">
        <v>86</v>
      </c>
      <c r="AB128" t="s">
        <v>87</v>
      </c>
      <c r="AD128" s="3">
        <v>1141000003</v>
      </c>
      <c r="AJ128" t="s">
        <v>280</v>
      </c>
      <c r="AK128" t="s">
        <v>281</v>
      </c>
      <c r="AL128" t="s">
        <v>188</v>
      </c>
      <c r="AM128">
        <v>0</v>
      </c>
      <c r="AN128" s="2">
        <v>45820</v>
      </c>
      <c r="AO128" t="s">
        <v>99</v>
      </c>
      <c r="AQ128" t="s">
        <v>282</v>
      </c>
      <c r="AR128" t="s">
        <v>573</v>
      </c>
      <c r="AS128" t="s">
        <v>122</v>
      </c>
      <c r="AT128" t="s">
        <v>123</v>
      </c>
      <c r="AU128" t="s">
        <v>124</v>
      </c>
      <c r="AV128" t="s">
        <v>283</v>
      </c>
      <c r="AW128" t="s">
        <v>109</v>
      </c>
      <c r="AX128" t="s">
        <v>82</v>
      </c>
      <c r="AY128" t="s">
        <v>126</v>
      </c>
      <c r="AZ128" s="2">
        <v>46091</v>
      </c>
      <c r="BA128" t="s">
        <v>99</v>
      </c>
      <c r="BB128" s="4">
        <v>46119.402118055557</v>
      </c>
      <c r="BD128" s="2"/>
      <c r="BE128" s="2">
        <v>46163</v>
      </c>
      <c r="BF128">
        <v>15</v>
      </c>
      <c r="BG128">
        <v>15</v>
      </c>
      <c r="BH128">
        <v>0</v>
      </c>
      <c r="BI128" s="2">
        <v>46156</v>
      </c>
      <c r="BJ128">
        <v>15</v>
      </c>
      <c r="BK128">
        <v>0</v>
      </c>
      <c r="BL128" s="2">
        <v>46156</v>
      </c>
      <c r="BO128" t="s">
        <v>100</v>
      </c>
      <c r="BP128" s="5">
        <v>1</v>
      </c>
    </row>
    <row r="129" spans="2:68">
      <c r="B129" t="s">
        <v>254</v>
      </c>
      <c r="C129" t="s">
        <v>69</v>
      </c>
      <c r="D129" t="s">
        <v>70</v>
      </c>
      <c r="E129" t="s">
        <v>71</v>
      </c>
      <c r="F129" t="s">
        <v>72</v>
      </c>
      <c r="G129" t="s">
        <v>73</v>
      </c>
      <c r="H129" s="2">
        <v>46073</v>
      </c>
      <c r="I129" s="2">
        <v>46134</v>
      </c>
      <c r="J129" t="s">
        <v>74</v>
      </c>
      <c r="K129" s="2">
        <v>46091</v>
      </c>
      <c r="L129" t="s">
        <v>75</v>
      </c>
      <c r="M129" t="s">
        <v>76</v>
      </c>
      <c r="N129" t="s">
        <v>77</v>
      </c>
      <c r="O129" t="s">
        <v>276</v>
      </c>
      <c r="P129" t="s">
        <v>277</v>
      </c>
      <c r="Q129">
        <v>10</v>
      </c>
      <c r="R129" t="s">
        <v>115</v>
      </c>
      <c r="S129" t="s">
        <v>116</v>
      </c>
      <c r="T129" t="s">
        <v>731</v>
      </c>
      <c r="U129" s="2">
        <v>46149</v>
      </c>
      <c r="V129" t="s">
        <v>98</v>
      </c>
      <c r="W129" t="s">
        <v>83</v>
      </c>
      <c r="X129" t="s">
        <v>84</v>
      </c>
      <c r="Y129" t="s">
        <v>14</v>
      </c>
      <c r="Z129" t="s">
        <v>185</v>
      </c>
      <c r="AA129" t="s">
        <v>86</v>
      </c>
      <c r="AB129" t="s">
        <v>87</v>
      </c>
      <c r="AD129" s="3">
        <v>1141000003</v>
      </c>
      <c r="AE129" t="s">
        <v>759</v>
      </c>
      <c r="AF129" t="s">
        <v>142</v>
      </c>
      <c r="AG129" t="s">
        <v>732</v>
      </c>
      <c r="AH129">
        <v>10</v>
      </c>
      <c r="AI129">
        <v>46149</v>
      </c>
      <c r="AK129" t="s">
        <v>91</v>
      </c>
      <c r="AN129" s="2"/>
      <c r="AQ129" t="s">
        <v>813</v>
      </c>
      <c r="AR129" t="s">
        <v>814</v>
      </c>
      <c r="AS129" t="s">
        <v>94</v>
      </c>
      <c r="AT129" t="s">
        <v>95</v>
      </c>
      <c r="AU129" t="s">
        <v>96</v>
      </c>
      <c r="AV129" t="s">
        <v>815</v>
      </c>
      <c r="AW129" t="s">
        <v>109</v>
      </c>
      <c r="AX129" t="s">
        <v>98</v>
      </c>
      <c r="AY129" t="s">
        <v>732</v>
      </c>
      <c r="AZ129" s="2">
        <v>46195</v>
      </c>
      <c r="BA129" t="s">
        <v>99</v>
      </c>
      <c r="BB129" s="4">
        <v>46195.581412037034</v>
      </c>
      <c r="BD129" s="2">
        <v>46206</v>
      </c>
      <c r="BE129">
        <v>46206</v>
      </c>
      <c r="BF129">
        <v>10</v>
      </c>
      <c r="BH129">
        <v>10</v>
      </c>
      <c r="BK129">
        <v>10</v>
      </c>
      <c r="BL129" s="2"/>
      <c r="BO129" t="s">
        <v>227</v>
      </c>
      <c r="BP129" s="5">
        <v>1</v>
      </c>
    </row>
    <row r="130" spans="2:68">
      <c r="B130" t="s">
        <v>254</v>
      </c>
      <c r="C130" t="s">
        <v>143</v>
      </c>
      <c r="D130" t="s">
        <v>70</v>
      </c>
      <c r="E130" t="s">
        <v>71</v>
      </c>
      <c r="F130" t="s">
        <v>72</v>
      </c>
      <c r="G130" t="s">
        <v>73</v>
      </c>
      <c r="H130" s="2">
        <v>46073</v>
      </c>
      <c r="I130" s="2">
        <v>46104</v>
      </c>
      <c r="J130" t="s">
        <v>74</v>
      </c>
      <c r="K130" s="2">
        <v>46091</v>
      </c>
      <c r="L130" t="s">
        <v>75</v>
      </c>
      <c r="M130" t="s">
        <v>76</v>
      </c>
      <c r="N130" t="s">
        <v>77</v>
      </c>
      <c r="O130" t="s">
        <v>274</v>
      </c>
      <c r="P130" t="s">
        <v>275</v>
      </c>
      <c r="Q130">
        <v>10</v>
      </c>
      <c r="R130" t="s">
        <v>115</v>
      </c>
      <c r="S130" t="s">
        <v>116</v>
      </c>
      <c r="T130" t="s">
        <v>200</v>
      </c>
      <c r="U130">
        <v>46118</v>
      </c>
      <c r="V130" t="s">
        <v>98</v>
      </c>
      <c r="W130" t="s">
        <v>83</v>
      </c>
      <c r="X130" t="s">
        <v>84</v>
      </c>
      <c r="Y130" t="s">
        <v>14</v>
      </c>
      <c r="Z130" t="s">
        <v>185</v>
      </c>
      <c r="AA130" t="s">
        <v>86</v>
      </c>
      <c r="AB130" t="s">
        <v>87</v>
      </c>
      <c r="AD130" s="3">
        <v>1141000003</v>
      </c>
      <c r="AE130" t="s">
        <v>582</v>
      </c>
      <c r="AF130" t="s">
        <v>178</v>
      </c>
      <c r="AG130" t="s">
        <v>202</v>
      </c>
      <c r="AH130">
        <v>10</v>
      </c>
      <c r="AI130">
        <v>46118</v>
      </c>
      <c r="AK130" t="s">
        <v>91</v>
      </c>
      <c r="AQ130" t="s">
        <v>682</v>
      </c>
      <c r="AR130" t="s">
        <v>683</v>
      </c>
      <c r="AS130" t="s">
        <v>94</v>
      </c>
      <c r="AT130" t="s">
        <v>95</v>
      </c>
      <c r="AU130" t="s">
        <v>96</v>
      </c>
      <c r="AV130" t="s">
        <v>757</v>
      </c>
      <c r="AW130" t="s">
        <v>69</v>
      </c>
      <c r="AX130" t="s">
        <v>82</v>
      </c>
      <c r="AY130" t="s">
        <v>202</v>
      </c>
      <c r="AZ130">
        <v>46153</v>
      </c>
      <c r="BA130" t="s">
        <v>99</v>
      </c>
      <c r="BB130" s="4">
        <v>46191.574097222219</v>
      </c>
      <c r="BD130" s="2">
        <v>46209</v>
      </c>
      <c r="BE130">
        <v>46188</v>
      </c>
      <c r="BF130">
        <v>10</v>
      </c>
      <c r="BH130">
        <v>10</v>
      </c>
      <c r="BK130">
        <v>10</v>
      </c>
      <c r="BL130" s="2"/>
      <c r="BO130" t="s">
        <v>227</v>
      </c>
      <c r="BP130" s="5">
        <v>1</v>
      </c>
    </row>
    <row r="131" spans="2:68">
      <c r="B131" t="s">
        <v>254</v>
      </c>
      <c r="C131" t="s">
        <v>109</v>
      </c>
      <c r="D131" t="s">
        <v>70</v>
      </c>
      <c r="E131" t="s">
        <v>71</v>
      </c>
      <c r="F131" t="s">
        <v>72</v>
      </c>
      <c r="G131" t="s">
        <v>73</v>
      </c>
      <c r="H131" s="2">
        <v>46073</v>
      </c>
      <c r="I131" s="2">
        <v>46105</v>
      </c>
      <c r="J131" t="s">
        <v>74</v>
      </c>
      <c r="K131" s="2">
        <v>46091</v>
      </c>
      <c r="L131" t="s">
        <v>75</v>
      </c>
      <c r="M131" t="s">
        <v>76</v>
      </c>
      <c r="N131" t="s">
        <v>77</v>
      </c>
      <c r="O131" t="s">
        <v>270</v>
      </c>
      <c r="P131" t="s">
        <v>271</v>
      </c>
      <c r="Q131">
        <v>10</v>
      </c>
      <c r="R131" t="s">
        <v>115</v>
      </c>
      <c r="S131" t="s">
        <v>116</v>
      </c>
      <c r="T131" t="s">
        <v>184</v>
      </c>
      <c r="U131">
        <v>45820</v>
      </c>
      <c r="V131" t="s">
        <v>98</v>
      </c>
      <c r="W131" t="s">
        <v>35</v>
      </c>
      <c r="X131" t="s">
        <v>84</v>
      </c>
      <c r="Y131" t="s">
        <v>14</v>
      </c>
      <c r="Z131" t="s">
        <v>185</v>
      </c>
      <c r="AA131" t="s">
        <v>86</v>
      </c>
      <c r="AB131" t="s">
        <v>87</v>
      </c>
      <c r="AD131" s="3">
        <v>1141000003</v>
      </c>
      <c r="AJ131" t="s">
        <v>238</v>
      </c>
      <c r="AK131" t="s">
        <v>272</v>
      </c>
      <c r="AL131" t="s">
        <v>188</v>
      </c>
      <c r="AM131">
        <v>0</v>
      </c>
      <c r="AN131">
        <v>45820</v>
      </c>
      <c r="AO131" t="s">
        <v>99</v>
      </c>
      <c r="AQ131" t="s">
        <v>240</v>
      </c>
      <c r="AR131" t="s">
        <v>241</v>
      </c>
      <c r="AS131" t="s">
        <v>122</v>
      </c>
      <c r="AT131" t="s">
        <v>123</v>
      </c>
      <c r="AU131" t="s">
        <v>124</v>
      </c>
      <c r="AV131" t="s">
        <v>273</v>
      </c>
      <c r="AW131" t="s">
        <v>109</v>
      </c>
      <c r="AX131" t="s">
        <v>98</v>
      </c>
      <c r="AY131" t="s">
        <v>126</v>
      </c>
      <c r="AZ131">
        <v>46091</v>
      </c>
      <c r="BA131" t="s">
        <v>99</v>
      </c>
      <c r="BB131" s="4">
        <v>46119.402256944442</v>
      </c>
      <c r="BD131" s="2"/>
      <c r="BE131">
        <v>46142</v>
      </c>
      <c r="BF131">
        <v>10</v>
      </c>
      <c r="BG131">
        <v>10</v>
      </c>
      <c r="BH131">
        <v>0</v>
      </c>
      <c r="BI131">
        <v>46181</v>
      </c>
      <c r="BJ131">
        <v>10</v>
      </c>
      <c r="BK131">
        <v>0</v>
      </c>
      <c r="BL131" s="2">
        <v>46181</v>
      </c>
      <c r="BO131" t="s">
        <v>100</v>
      </c>
      <c r="BP131" s="5">
        <v>1</v>
      </c>
    </row>
    <row r="132" spans="2:68">
      <c r="B132" t="s">
        <v>254</v>
      </c>
      <c r="C132" t="s">
        <v>192</v>
      </c>
      <c r="D132" t="s">
        <v>70</v>
      </c>
      <c r="E132" t="s">
        <v>71</v>
      </c>
      <c r="F132" t="s">
        <v>72</v>
      </c>
      <c r="G132" t="s">
        <v>73</v>
      </c>
      <c r="H132" s="2">
        <v>46073</v>
      </c>
      <c r="I132" s="2">
        <v>46134</v>
      </c>
      <c r="J132" t="s">
        <v>74</v>
      </c>
      <c r="K132" s="2">
        <v>46091</v>
      </c>
      <c r="L132" t="s">
        <v>75</v>
      </c>
      <c r="M132" t="s">
        <v>76</v>
      </c>
      <c r="N132" t="s">
        <v>77</v>
      </c>
      <c r="O132" t="s">
        <v>265</v>
      </c>
      <c r="P132" t="s">
        <v>266</v>
      </c>
      <c r="Q132">
        <v>10</v>
      </c>
      <c r="R132" t="s">
        <v>115</v>
      </c>
      <c r="S132" t="s">
        <v>116</v>
      </c>
      <c r="T132" t="s">
        <v>184</v>
      </c>
      <c r="U132">
        <v>45820</v>
      </c>
      <c r="V132" t="s">
        <v>98</v>
      </c>
      <c r="W132" t="s">
        <v>35</v>
      </c>
      <c r="X132" t="s">
        <v>84</v>
      </c>
      <c r="Y132" t="s">
        <v>14</v>
      </c>
      <c r="Z132" t="s">
        <v>185</v>
      </c>
      <c r="AA132" t="s">
        <v>86</v>
      </c>
      <c r="AB132" t="s">
        <v>87</v>
      </c>
      <c r="AD132" s="3">
        <v>1141000003</v>
      </c>
      <c r="AJ132" t="s">
        <v>267</v>
      </c>
      <c r="AK132" t="s">
        <v>268</v>
      </c>
      <c r="AL132" t="s">
        <v>188</v>
      </c>
      <c r="AM132">
        <v>0</v>
      </c>
      <c r="AN132">
        <v>45820</v>
      </c>
      <c r="AO132" t="s">
        <v>99</v>
      </c>
      <c r="AQ132" t="s">
        <v>189</v>
      </c>
      <c r="AR132" t="s">
        <v>190</v>
      </c>
      <c r="AS132" t="s">
        <v>122</v>
      </c>
      <c r="AT132" t="s">
        <v>123</v>
      </c>
      <c r="AU132" t="s">
        <v>124</v>
      </c>
      <c r="AV132" t="s">
        <v>269</v>
      </c>
      <c r="AW132" t="s">
        <v>69</v>
      </c>
      <c r="AX132" t="s">
        <v>82</v>
      </c>
      <c r="AY132" t="s">
        <v>126</v>
      </c>
      <c r="AZ132">
        <v>46091</v>
      </c>
      <c r="BA132" t="s">
        <v>99</v>
      </c>
      <c r="BB132" s="4">
        <v>46119.403078703705</v>
      </c>
      <c r="BD132" s="2"/>
      <c r="BE132">
        <v>46142</v>
      </c>
      <c r="BF132">
        <v>10</v>
      </c>
      <c r="BG132">
        <v>10</v>
      </c>
      <c r="BH132">
        <v>0</v>
      </c>
      <c r="BI132">
        <v>46161</v>
      </c>
      <c r="BJ132">
        <v>10</v>
      </c>
      <c r="BK132">
        <v>0</v>
      </c>
      <c r="BL132" s="2">
        <v>46161</v>
      </c>
      <c r="BO132" t="s">
        <v>100</v>
      </c>
      <c r="BP132" s="5">
        <v>1</v>
      </c>
    </row>
    <row r="133" spans="2:68">
      <c r="B133" t="s">
        <v>254</v>
      </c>
      <c r="C133" t="s">
        <v>262</v>
      </c>
      <c r="D133" t="s">
        <v>70</v>
      </c>
      <c r="E133" t="s">
        <v>71</v>
      </c>
      <c r="F133" t="s">
        <v>72</v>
      </c>
      <c r="G133" t="s">
        <v>73</v>
      </c>
      <c r="H133" s="2">
        <v>46073</v>
      </c>
      <c r="I133" s="2">
        <v>46134</v>
      </c>
      <c r="J133" t="s">
        <v>74</v>
      </c>
      <c r="K133" s="2">
        <v>46091</v>
      </c>
      <c r="L133" t="s">
        <v>75</v>
      </c>
      <c r="M133" t="s">
        <v>76</v>
      </c>
      <c r="N133" t="s">
        <v>77</v>
      </c>
      <c r="O133" t="s">
        <v>263</v>
      </c>
      <c r="P133" t="s">
        <v>264</v>
      </c>
      <c r="Q133">
        <v>20</v>
      </c>
      <c r="R133" t="s">
        <v>115</v>
      </c>
      <c r="S133" t="s">
        <v>116</v>
      </c>
      <c r="T133" t="s">
        <v>731</v>
      </c>
      <c r="U133" s="2">
        <v>46149</v>
      </c>
      <c r="V133" t="s">
        <v>98</v>
      </c>
      <c r="W133" t="s">
        <v>83</v>
      </c>
      <c r="X133" t="s">
        <v>84</v>
      </c>
      <c r="Y133" t="s">
        <v>14</v>
      </c>
      <c r="Z133" t="s">
        <v>185</v>
      </c>
      <c r="AA133" t="s">
        <v>86</v>
      </c>
      <c r="AB133" t="s">
        <v>87</v>
      </c>
      <c r="AD133" s="3">
        <v>1141000003</v>
      </c>
      <c r="AE133" t="s">
        <v>759</v>
      </c>
      <c r="AF133" t="s">
        <v>760</v>
      </c>
      <c r="AG133" t="s">
        <v>732</v>
      </c>
      <c r="AH133">
        <v>20</v>
      </c>
      <c r="AI133" s="2">
        <v>46149</v>
      </c>
      <c r="AK133" t="s">
        <v>91</v>
      </c>
      <c r="AQ133" t="s">
        <v>816</v>
      </c>
      <c r="AR133" t="s">
        <v>817</v>
      </c>
      <c r="AS133" t="s">
        <v>94</v>
      </c>
      <c r="AT133" t="s">
        <v>95</v>
      </c>
      <c r="AU133" t="s">
        <v>96</v>
      </c>
      <c r="AV133" t="s">
        <v>818</v>
      </c>
      <c r="AW133" t="s">
        <v>109</v>
      </c>
      <c r="AX133" t="s">
        <v>98</v>
      </c>
      <c r="AY133" t="s">
        <v>732</v>
      </c>
      <c r="AZ133" s="2">
        <v>46195</v>
      </c>
      <c r="BA133" t="s">
        <v>99</v>
      </c>
      <c r="BB133" s="4">
        <v>46195.581400462965</v>
      </c>
      <c r="BD133" s="2">
        <v>46198</v>
      </c>
      <c r="BE133">
        <v>46198</v>
      </c>
      <c r="BF133">
        <v>20</v>
      </c>
      <c r="BH133">
        <v>20</v>
      </c>
      <c r="BK133">
        <v>20</v>
      </c>
      <c r="BL133" s="2"/>
      <c r="BO133" t="s">
        <v>227</v>
      </c>
      <c r="BP133" s="5">
        <v>1</v>
      </c>
    </row>
    <row r="134" spans="2:68">
      <c r="B134" t="s">
        <v>254</v>
      </c>
      <c r="C134" t="s">
        <v>259</v>
      </c>
      <c r="D134" t="s">
        <v>70</v>
      </c>
      <c r="E134" t="s">
        <v>71</v>
      </c>
      <c r="F134" t="s">
        <v>72</v>
      </c>
      <c r="G134" t="s">
        <v>73</v>
      </c>
      <c r="H134" s="2">
        <v>46073</v>
      </c>
      <c r="I134" s="2">
        <v>46134</v>
      </c>
      <c r="J134" t="s">
        <v>74</v>
      </c>
      <c r="K134" s="2">
        <v>46091</v>
      </c>
      <c r="L134" t="s">
        <v>75</v>
      </c>
      <c r="M134" t="s">
        <v>76</v>
      </c>
      <c r="N134" t="s">
        <v>77</v>
      </c>
      <c r="O134" t="s">
        <v>260</v>
      </c>
      <c r="P134" t="s">
        <v>261</v>
      </c>
      <c r="Q134">
        <v>5</v>
      </c>
      <c r="R134" t="s">
        <v>115</v>
      </c>
      <c r="S134" t="s">
        <v>116</v>
      </c>
      <c r="T134" t="s">
        <v>731</v>
      </c>
      <c r="U134" s="2">
        <v>46149</v>
      </c>
      <c r="V134" t="s">
        <v>98</v>
      </c>
      <c r="W134" t="s">
        <v>83</v>
      </c>
      <c r="X134" t="s">
        <v>84</v>
      </c>
      <c r="Y134" t="s">
        <v>14</v>
      </c>
      <c r="Z134" t="s">
        <v>185</v>
      </c>
      <c r="AA134" t="s">
        <v>86</v>
      </c>
      <c r="AB134" t="s">
        <v>87</v>
      </c>
      <c r="AD134" s="3">
        <v>1141000003</v>
      </c>
      <c r="AE134" t="s">
        <v>759</v>
      </c>
      <c r="AF134" t="s">
        <v>359</v>
      </c>
      <c r="AG134" t="s">
        <v>732</v>
      </c>
      <c r="AH134">
        <v>5</v>
      </c>
      <c r="AI134">
        <v>46149</v>
      </c>
      <c r="AK134" t="s">
        <v>91</v>
      </c>
      <c r="AN134" s="2"/>
      <c r="AQ134" t="s">
        <v>819</v>
      </c>
      <c r="AR134" t="s">
        <v>820</v>
      </c>
      <c r="AS134" t="s">
        <v>94</v>
      </c>
      <c r="AT134" t="s">
        <v>95</v>
      </c>
      <c r="AU134" t="s">
        <v>96</v>
      </c>
      <c r="AV134" t="s">
        <v>821</v>
      </c>
      <c r="AW134" t="s">
        <v>109</v>
      </c>
      <c r="AX134" t="s">
        <v>82</v>
      </c>
      <c r="AY134" t="s">
        <v>732</v>
      </c>
      <c r="AZ134" s="2">
        <v>46195</v>
      </c>
      <c r="BA134" t="s">
        <v>99</v>
      </c>
      <c r="BB134" s="4">
        <v>46195.591840277775</v>
      </c>
      <c r="BD134" s="2">
        <v>46202</v>
      </c>
      <c r="BE134" s="2">
        <v>46202</v>
      </c>
      <c r="BF134">
        <v>5</v>
      </c>
      <c r="BH134">
        <v>5</v>
      </c>
      <c r="BK134">
        <v>5</v>
      </c>
      <c r="BL134" s="2"/>
      <c r="BO134" t="s">
        <v>227</v>
      </c>
      <c r="BP134" s="5">
        <v>1</v>
      </c>
    </row>
    <row r="135" spans="2:68">
      <c r="B135" t="s">
        <v>254</v>
      </c>
      <c r="C135" t="s">
        <v>222</v>
      </c>
      <c r="D135" t="s">
        <v>70</v>
      </c>
      <c r="E135" t="s">
        <v>71</v>
      </c>
      <c r="F135" t="s">
        <v>72</v>
      </c>
      <c r="G135" t="s">
        <v>73</v>
      </c>
      <c r="H135" s="2">
        <v>46073</v>
      </c>
      <c r="I135" s="2">
        <v>46134</v>
      </c>
      <c r="J135" t="s">
        <v>74</v>
      </c>
      <c r="K135" s="2">
        <v>46091</v>
      </c>
      <c r="L135" t="s">
        <v>75</v>
      </c>
      <c r="M135" t="s">
        <v>76</v>
      </c>
      <c r="N135" t="s">
        <v>77</v>
      </c>
      <c r="O135" t="s">
        <v>255</v>
      </c>
      <c r="P135" t="s">
        <v>256</v>
      </c>
      <c r="Q135">
        <v>10</v>
      </c>
      <c r="R135" t="s">
        <v>115</v>
      </c>
      <c r="S135" t="s">
        <v>116</v>
      </c>
      <c r="T135" t="s">
        <v>184</v>
      </c>
      <c r="U135" s="2">
        <v>45820</v>
      </c>
      <c r="V135" t="s">
        <v>98</v>
      </c>
      <c r="W135" t="s">
        <v>35</v>
      </c>
      <c r="X135" t="s">
        <v>84</v>
      </c>
      <c r="Y135" t="s">
        <v>14</v>
      </c>
      <c r="Z135" t="s">
        <v>185</v>
      </c>
      <c r="AA135" t="s">
        <v>86</v>
      </c>
      <c r="AB135" t="s">
        <v>87</v>
      </c>
      <c r="AD135" s="3">
        <v>1141000003</v>
      </c>
      <c r="AI135" s="2"/>
      <c r="AJ135" t="s">
        <v>257</v>
      </c>
      <c r="AK135" t="s">
        <v>178</v>
      </c>
      <c r="AL135" t="s">
        <v>188</v>
      </c>
      <c r="AM135">
        <v>0</v>
      </c>
      <c r="AN135">
        <v>45820</v>
      </c>
      <c r="AO135" t="s">
        <v>99</v>
      </c>
      <c r="AQ135" t="s">
        <v>189</v>
      </c>
      <c r="AR135" t="s">
        <v>190</v>
      </c>
      <c r="AS135" t="s">
        <v>122</v>
      </c>
      <c r="AT135" t="s">
        <v>123</v>
      </c>
      <c r="AU135" t="s">
        <v>124</v>
      </c>
      <c r="AV135" t="s">
        <v>258</v>
      </c>
      <c r="AW135" t="s">
        <v>143</v>
      </c>
      <c r="AX135" t="s">
        <v>82</v>
      </c>
      <c r="AY135" t="s">
        <v>126</v>
      </c>
      <c r="AZ135" s="2">
        <v>46091</v>
      </c>
      <c r="BA135" t="s">
        <v>99</v>
      </c>
      <c r="BB135" s="4">
        <v>46119.403460648151</v>
      </c>
      <c r="BD135" s="2"/>
      <c r="BE135" s="2">
        <v>46142</v>
      </c>
      <c r="BF135">
        <v>10</v>
      </c>
      <c r="BG135">
        <v>10</v>
      </c>
      <c r="BH135">
        <v>0</v>
      </c>
      <c r="BI135">
        <v>46161</v>
      </c>
      <c r="BJ135">
        <v>10</v>
      </c>
      <c r="BK135">
        <v>0</v>
      </c>
      <c r="BL135" s="2">
        <v>46161</v>
      </c>
      <c r="BO135" t="s">
        <v>100</v>
      </c>
      <c r="BP135" s="5">
        <v>1</v>
      </c>
    </row>
    <row r="136" spans="2:68">
      <c r="B136" t="s">
        <v>196</v>
      </c>
      <c r="C136" t="s">
        <v>248</v>
      </c>
      <c r="D136" t="s">
        <v>70</v>
      </c>
      <c r="E136" t="s">
        <v>71</v>
      </c>
      <c r="F136" t="s">
        <v>72</v>
      </c>
      <c r="G136" t="s">
        <v>73</v>
      </c>
      <c r="H136" s="2">
        <v>46056</v>
      </c>
      <c r="I136" s="2">
        <v>46066</v>
      </c>
      <c r="J136" t="s">
        <v>74</v>
      </c>
      <c r="K136" s="2">
        <v>46065</v>
      </c>
      <c r="L136" t="s">
        <v>75</v>
      </c>
      <c r="M136" t="s">
        <v>76</v>
      </c>
      <c r="N136" t="s">
        <v>77</v>
      </c>
      <c r="O136" t="s">
        <v>249</v>
      </c>
      <c r="P136" t="s">
        <v>250</v>
      </c>
      <c r="Q136">
        <v>50</v>
      </c>
      <c r="R136" t="s">
        <v>115</v>
      </c>
      <c r="S136" t="s">
        <v>13</v>
      </c>
      <c r="T136" t="s">
        <v>230</v>
      </c>
      <c r="U136" s="2">
        <v>45615</v>
      </c>
      <c r="V136" t="s">
        <v>98</v>
      </c>
      <c r="W136" t="s">
        <v>35</v>
      </c>
      <c r="X136" t="s">
        <v>84</v>
      </c>
      <c r="Y136" t="s">
        <v>14</v>
      </c>
      <c r="Z136" t="s">
        <v>117</v>
      </c>
      <c r="AA136" t="s">
        <v>86</v>
      </c>
      <c r="AB136" t="s">
        <v>87</v>
      </c>
      <c r="AD136" s="3">
        <v>1141000001</v>
      </c>
      <c r="AJ136" t="s">
        <v>251</v>
      </c>
      <c r="AK136" t="s">
        <v>252</v>
      </c>
      <c r="AL136" t="s">
        <v>232</v>
      </c>
      <c r="AM136">
        <v>0</v>
      </c>
      <c r="AN136" s="2">
        <v>45615</v>
      </c>
      <c r="AO136" t="s">
        <v>99</v>
      </c>
      <c r="AQ136" t="s">
        <v>120</v>
      </c>
      <c r="AR136" t="s">
        <v>121</v>
      </c>
      <c r="AS136" t="s">
        <v>122</v>
      </c>
      <c r="AT136" t="s">
        <v>123</v>
      </c>
      <c r="AU136" t="s">
        <v>124</v>
      </c>
      <c r="AV136" t="s">
        <v>253</v>
      </c>
      <c r="AW136" t="s">
        <v>69</v>
      </c>
      <c r="AX136" t="s">
        <v>82</v>
      </c>
      <c r="AY136" t="s">
        <v>126</v>
      </c>
      <c r="AZ136" s="2">
        <v>46065</v>
      </c>
      <c r="BA136" t="s">
        <v>99</v>
      </c>
      <c r="BB136" s="4">
        <v>46198.646412037036</v>
      </c>
      <c r="BD136" s="2"/>
      <c r="BE136" s="2">
        <v>46227</v>
      </c>
      <c r="BF136">
        <v>50</v>
      </c>
      <c r="BH136">
        <v>50</v>
      </c>
      <c r="BK136">
        <v>50</v>
      </c>
      <c r="BL136" s="2"/>
      <c r="BO136" t="s">
        <v>227</v>
      </c>
      <c r="BP136" s="5">
        <v>1</v>
      </c>
    </row>
    <row r="137" spans="2:68">
      <c r="B137" t="s">
        <v>795</v>
      </c>
      <c r="C137" t="s">
        <v>235</v>
      </c>
      <c r="D137" t="s">
        <v>70</v>
      </c>
      <c r="E137" t="s">
        <v>71</v>
      </c>
      <c r="F137" t="s">
        <v>72</v>
      </c>
      <c r="G137" t="s">
        <v>727</v>
      </c>
      <c r="H137" s="2">
        <v>46190</v>
      </c>
      <c r="I137" s="2">
        <v>46218</v>
      </c>
      <c r="J137" t="s">
        <v>74</v>
      </c>
      <c r="K137" s="2">
        <v>46190</v>
      </c>
      <c r="L137" t="s">
        <v>75</v>
      </c>
      <c r="M137" t="s">
        <v>76</v>
      </c>
      <c r="N137" t="s">
        <v>77</v>
      </c>
      <c r="O137" t="s">
        <v>822</v>
      </c>
      <c r="P137" t="s">
        <v>823</v>
      </c>
      <c r="Q137">
        <v>5</v>
      </c>
      <c r="R137" t="s">
        <v>115</v>
      </c>
      <c r="S137" t="s">
        <v>13</v>
      </c>
      <c r="T137" t="s">
        <v>586</v>
      </c>
      <c r="U137" s="2">
        <v>46192</v>
      </c>
      <c r="V137" t="s">
        <v>82</v>
      </c>
      <c r="W137" t="s">
        <v>83</v>
      </c>
      <c r="X137" t="s">
        <v>84</v>
      </c>
      <c r="Y137" t="s">
        <v>14</v>
      </c>
      <c r="Z137" t="s">
        <v>85</v>
      </c>
      <c r="AA137" t="s">
        <v>86</v>
      </c>
      <c r="AB137" t="s">
        <v>87</v>
      </c>
      <c r="AD137" s="3">
        <v>1141000001</v>
      </c>
      <c r="AE137" t="s">
        <v>824</v>
      </c>
      <c r="AF137" t="s">
        <v>69</v>
      </c>
      <c r="AG137" t="s">
        <v>588</v>
      </c>
      <c r="AH137">
        <v>5</v>
      </c>
      <c r="AI137">
        <v>46192</v>
      </c>
      <c r="AN137" s="2"/>
      <c r="AX137" t="s">
        <v>175</v>
      </c>
      <c r="AZ137" s="2"/>
      <c r="BB137" s="4"/>
      <c r="BD137" s="2"/>
      <c r="BE137" s="2"/>
      <c r="BL137" s="2"/>
      <c r="BO137" t="s">
        <v>203</v>
      </c>
      <c r="BP137" s="5">
        <v>1</v>
      </c>
    </row>
    <row r="138" spans="2:68">
      <c r="B138" t="s">
        <v>217</v>
      </c>
      <c r="C138" t="s">
        <v>69</v>
      </c>
      <c r="D138" t="s">
        <v>70</v>
      </c>
      <c r="E138" t="s">
        <v>71</v>
      </c>
      <c r="F138" t="s">
        <v>72</v>
      </c>
      <c r="G138" t="s">
        <v>73</v>
      </c>
      <c r="H138" s="2">
        <v>45902</v>
      </c>
      <c r="I138" s="2">
        <v>45905</v>
      </c>
      <c r="J138" t="s">
        <v>74</v>
      </c>
      <c r="K138" s="2">
        <v>45903</v>
      </c>
      <c r="L138" t="s">
        <v>75</v>
      </c>
      <c r="M138" t="s">
        <v>76</v>
      </c>
      <c r="N138" t="s">
        <v>77</v>
      </c>
      <c r="O138" t="s">
        <v>246</v>
      </c>
      <c r="P138" t="s">
        <v>247</v>
      </c>
      <c r="Q138">
        <v>30</v>
      </c>
      <c r="R138" t="s">
        <v>115</v>
      </c>
      <c r="S138" t="s">
        <v>13</v>
      </c>
      <c r="U138" s="2"/>
      <c r="V138" t="s">
        <v>82</v>
      </c>
      <c r="W138" t="s">
        <v>83</v>
      </c>
      <c r="X138" t="s">
        <v>84</v>
      </c>
      <c r="Y138" t="s">
        <v>14</v>
      </c>
      <c r="Z138" t="s">
        <v>85</v>
      </c>
      <c r="AA138" t="s">
        <v>86</v>
      </c>
      <c r="AB138" t="s">
        <v>87</v>
      </c>
      <c r="AD138" s="3">
        <v>1141000001</v>
      </c>
      <c r="AI138" s="2"/>
      <c r="AX138" t="s">
        <v>175</v>
      </c>
      <c r="AZ138" s="2"/>
      <c r="BB138" s="4"/>
      <c r="BD138" s="2"/>
      <c r="BE138" s="2"/>
      <c r="BL138" s="2"/>
      <c r="BO138" t="s">
        <v>176</v>
      </c>
      <c r="BP138" s="5">
        <v>1</v>
      </c>
    </row>
    <row r="139" spans="2:68">
      <c r="B139" t="s">
        <v>795</v>
      </c>
      <c r="C139" t="s">
        <v>243</v>
      </c>
      <c r="D139" t="s">
        <v>70</v>
      </c>
      <c r="E139" t="s">
        <v>71</v>
      </c>
      <c r="F139" t="s">
        <v>72</v>
      </c>
      <c r="G139" t="s">
        <v>727</v>
      </c>
      <c r="H139" s="2">
        <v>46190</v>
      </c>
      <c r="I139" s="2">
        <v>46218</v>
      </c>
      <c r="J139" t="s">
        <v>74</v>
      </c>
      <c r="K139" s="2">
        <v>46190</v>
      </c>
      <c r="L139" t="s">
        <v>75</v>
      </c>
      <c r="M139" t="s">
        <v>76</v>
      </c>
      <c r="N139" t="s">
        <v>77</v>
      </c>
      <c r="O139" t="s">
        <v>246</v>
      </c>
      <c r="P139" t="s">
        <v>247</v>
      </c>
      <c r="Q139">
        <v>10</v>
      </c>
      <c r="R139" t="s">
        <v>115</v>
      </c>
      <c r="S139" t="s">
        <v>13</v>
      </c>
      <c r="T139" t="s">
        <v>586</v>
      </c>
      <c r="U139" s="2">
        <v>46192</v>
      </c>
      <c r="V139" t="s">
        <v>82</v>
      </c>
      <c r="W139" t="s">
        <v>83</v>
      </c>
      <c r="X139" t="s">
        <v>84</v>
      </c>
      <c r="Y139" t="s">
        <v>14</v>
      </c>
      <c r="Z139" t="s">
        <v>85</v>
      </c>
      <c r="AA139" t="s">
        <v>86</v>
      </c>
      <c r="AB139" t="s">
        <v>87</v>
      </c>
      <c r="AD139" s="3">
        <v>1141000001</v>
      </c>
      <c r="AE139" t="s">
        <v>824</v>
      </c>
      <c r="AF139" t="s">
        <v>109</v>
      </c>
      <c r="AG139" t="s">
        <v>588</v>
      </c>
      <c r="AH139">
        <v>10</v>
      </c>
      <c r="AI139" s="2">
        <v>46192</v>
      </c>
      <c r="AX139" t="s">
        <v>175</v>
      </c>
      <c r="AZ139" s="2"/>
      <c r="BB139" s="4"/>
      <c r="BD139" s="2"/>
      <c r="BE139" s="2"/>
      <c r="BI139" s="2"/>
      <c r="BL139" s="2"/>
      <c r="BO139" t="s">
        <v>203</v>
      </c>
      <c r="BP139" s="5">
        <v>1</v>
      </c>
    </row>
    <row r="140" spans="2:68">
      <c r="B140" t="s">
        <v>761</v>
      </c>
      <c r="C140" t="s">
        <v>109</v>
      </c>
      <c r="D140" t="s">
        <v>70</v>
      </c>
      <c r="E140" t="s">
        <v>71</v>
      </c>
      <c r="F140" t="s">
        <v>72</v>
      </c>
      <c r="G140" t="s">
        <v>762</v>
      </c>
      <c r="H140" s="2">
        <v>46169</v>
      </c>
      <c r="I140" s="2">
        <v>46184</v>
      </c>
      <c r="J140" t="s">
        <v>74</v>
      </c>
      <c r="K140" s="2">
        <v>46170</v>
      </c>
      <c r="L140" t="s">
        <v>75</v>
      </c>
      <c r="M140" t="s">
        <v>76</v>
      </c>
      <c r="N140" t="s">
        <v>77</v>
      </c>
      <c r="O140" t="s">
        <v>763</v>
      </c>
      <c r="P140" t="s">
        <v>764</v>
      </c>
      <c r="Q140">
        <v>25</v>
      </c>
      <c r="R140" t="s">
        <v>80</v>
      </c>
      <c r="S140" t="s">
        <v>116</v>
      </c>
      <c r="T140" t="s">
        <v>716</v>
      </c>
      <c r="U140" s="2">
        <v>46183</v>
      </c>
      <c r="V140" t="s">
        <v>98</v>
      </c>
      <c r="W140" t="s">
        <v>83</v>
      </c>
      <c r="X140" t="s">
        <v>84</v>
      </c>
      <c r="Y140" t="s">
        <v>14</v>
      </c>
      <c r="Z140" t="s">
        <v>384</v>
      </c>
      <c r="AA140" t="s">
        <v>86</v>
      </c>
      <c r="AB140" t="s">
        <v>87</v>
      </c>
      <c r="AD140" s="3">
        <v>1141000001</v>
      </c>
      <c r="AE140" t="s">
        <v>825</v>
      </c>
      <c r="AF140" t="s">
        <v>69</v>
      </c>
      <c r="AG140" t="s">
        <v>718</v>
      </c>
      <c r="AH140">
        <v>25</v>
      </c>
      <c r="AI140" s="2">
        <v>46183</v>
      </c>
      <c r="AX140" t="s">
        <v>175</v>
      </c>
      <c r="AZ140" s="2"/>
      <c r="BB140" s="4"/>
      <c r="BD140" s="2"/>
      <c r="BE140" s="2"/>
      <c r="BI140" s="2"/>
      <c r="BL140" s="2"/>
      <c r="BO140" t="s">
        <v>203</v>
      </c>
      <c r="BP140" s="5">
        <v>1</v>
      </c>
    </row>
    <row r="141" spans="2:68">
      <c r="B141" t="s">
        <v>234</v>
      </c>
      <c r="C141" t="s">
        <v>243</v>
      </c>
      <c r="D141" t="s">
        <v>70</v>
      </c>
      <c r="E141" t="s">
        <v>71</v>
      </c>
      <c r="F141" t="s">
        <v>72</v>
      </c>
      <c r="G141" t="s">
        <v>73</v>
      </c>
      <c r="H141" s="2">
        <v>46045</v>
      </c>
      <c r="I141" s="2">
        <v>46048</v>
      </c>
      <c r="J141" t="s">
        <v>74</v>
      </c>
      <c r="K141" s="2">
        <v>46045</v>
      </c>
      <c r="L141" t="s">
        <v>75</v>
      </c>
      <c r="M141" t="s">
        <v>76</v>
      </c>
      <c r="N141" t="s">
        <v>77</v>
      </c>
      <c r="O141" t="s">
        <v>244</v>
      </c>
      <c r="P141" t="s">
        <v>245</v>
      </c>
      <c r="Q141">
        <v>40</v>
      </c>
      <c r="R141" t="s">
        <v>115</v>
      </c>
      <c r="S141" t="s">
        <v>116</v>
      </c>
      <c r="V141" t="s">
        <v>98</v>
      </c>
      <c r="W141" t="s">
        <v>83</v>
      </c>
      <c r="X141" t="s">
        <v>84</v>
      </c>
      <c r="Y141" t="s">
        <v>14</v>
      </c>
      <c r="Z141" t="s">
        <v>291</v>
      </c>
      <c r="AA141" t="s">
        <v>86</v>
      </c>
      <c r="AB141" t="s">
        <v>87</v>
      </c>
      <c r="AD141" s="3">
        <v>1141000003</v>
      </c>
      <c r="AX141" t="s">
        <v>175</v>
      </c>
      <c r="BB141" s="4"/>
      <c r="BD141" s="2"/>
      <c r="BL141" s="2"/>
      <c r="BO141" t="s">
        <v>176</v>
      </c>
      <c r="BP141" s="5">
        <v>1</v>
      </c>
    </row>
    <row r="142" spans="2:68">
      <c r="B142" t="s">
        <v>610</v>
      </c>
      <c r="C142" t="s">
        <v>109</v>
      </c>
      <c r="D142" t="s">
        <v>70</v>
      </c>
      <c r="E142" t="s">
        <v>71</v>
      </c>
      <c r="F142" t="s">
        <v>72</v>
      </c>
      <c r="G142" t="s">
        <v>73</v>
      </c>
      <c r="H142" s="2">
        <v>46122</v>
      </c>
      <c r="I142" s="2">
        <v>46136</v>
      </c>
      <c r="J142" t="s">
        <v>74</v>
      </c>
      <c r="K142" s="2">
        <v>46150</v>
      </c>
      <c r="L142" t="s">
        <v>75</v>
      </c>
      <c r="M142" t="s">
        <v>76</v>
      </c>
      <c r="N142" t="s">
        <v>77</v>
      </c>
      <c r="O142" t="s">
        <v>244</v>
      </c>
      <c r="P142" t="s">
        <v>245</v>
      </c>
      <c r="Q142">
        <v>40</v>
      </c>
      <c r="R142" t="s">
        <v>115</v>
      </c>
      <c r="S142" t="s">
        <v>116</v>
      </c>
      <c r="T142" t="s">
        <v>119</v>
      </c>
      <c r="U142" s="2">
        <v>46157</v>
      </c>
      <c r="V142" t="s">
        <v>98</v>
      </c>
      <c r="W142" t="s">
        <v>83</v>
      </c>
      <c r="X142" t="s">
        <v>84</v>
      </c>
      <c r="Y142" t="s">
        <v>14</v>
      </c>
      <c r="Z142" t="s">
        <v>291</v>
      </c>
      <c r="AA142" t="s">
        <v>86</v>
      </c>
      <c r="AB142" t="s">
        <v>87</v>
      </c>
      <c r="AD142" s="3">
        <v>1141000003</v>
      </c>
      <c r="AE142" t="s">
        <v>733</v>
      </c>
      <c r="AF142" t="s">
        <v>69</v>
      </c>
      <c r="AG142" t="s">
        <v>734</v>
      </c>
      <c r="AH142">
        <v>40</v>
      </c>
      <c r="AI142" s="2">
        <v>46157</v>
      </c>
      <c r="AK142" t="s">
        <v>91</v>
      </c>
      <c r="AQ142" t="s">
        <v>765</v>
      </c>
      <c r="AR142" t="s">
        <v>766</v>
      </c>
      <c r="AS142" t="s">
        <v>94</v>
      </c>
      <c r="AT142" t="s">
        <v>95</v>
      </c>
      <c r="AU142" t="s">
        <v>96</v>
      </c>
      <c r="AV142" t="s">
        <v>767</v>
      </c>
      <c r="AW142" t="s">
        <v>109</v>
      </c>
      <c r="AX142" t="s">
        <v>82</v>
      </c>
      <c r="AY142" t="s">
        <v>734</v>
      </c>
      <c r="AZ142">
        <v>46167</v>
      </c>
      <c r="BA142" t="s">
        <v>99</v>
      </c>
      <c r="BB142" s="4">
        <v>46167.705347222225</v>
      </c>
      <c r="BD142" s="2">
        <v>46188</v>
      </c>
      <c r="BE142">
        <v>46188</v>
      </c>
      <c r="BF142">
        <v>40</v>
      </c>
      <c r="BH142">
        <v>40</v>
      </c>
      <c r="BK142">
        <v>40</v>
      </c>
      <c r="BL142" s="2"/>
      <c r="BO142" t="s">
        <v>227</v>
      </c>
      <c r="BP142" s="5">
        <v>1</v>
      </c>
    </row>
    <row r="143" spans="2:68">
      <c r="B143" t="s">
        <v>234</v>
      </c>
      <c r="C143" t="s">
        <v>235</v>
      </c>
      <c r="D143" t="s">
        <v>70</v>
      </c>
      <c r="E143" t="s">
        <v>71</v>
      </c>
      <c r="F143" t="s">
        <v>72</v>
      </c>
      <c r="G143" t="s">
        <v>73</v>
      </c>
      <c r="H143" s="2">
        <v>46045</v>
      </c>
      <c r="I143" s="2">
        <v>46076</v>
      </c>
      <c r="J143" t="s">
        <v>74</v>
      </c>
      <c r="K143" s="2">
        <v>46045</v>
      </c>
      <c r="L143" t="s">
        <v>75</v>
      </c>
      <c r="M143" t="s">
        <v>76</v>
      </c>
      <c r="N143" t="s">
        <v>77</v>
      </c>
      <c r="O143" t="s">
        <v>236</v>
      </c>
      <c r="P143" t="s">
        <v>237</v>
      </c>
      <c r="Q143">
        <v>40</v>
      </c>
      <c r="R143" t="s">
        <v>115</v>
      </c>
      <c r="S143" t="s">
        <v>116</v>
      </c>
      <c r="T143" t="s">
        <v>184</v>
      </c>
      <c r="U143" s="2">
        <v>45820</v>
      </c>
      <c r="V143" t="s">
        <v>98</v>
      </c>
      <c r="W143" t="s">
        <v>35</v>
      </c>
      <c r="X143" t="s">
        <v>84</v>
      </c>
      <c r="Y143" t="s">
        <v>14</v>
      </c>
      <c r="Z143" t="s">
        <v>185</v>
      </c>
      <c r="AA143" t="s">
        <v>86</v>
      </c>
      <c r="AB143" t="s">
        <v>87</v>
      </c>
      <c r="AD143" s="3">
        <v>1141000003</v>
      </c>
      <c r="AI143" s="2"/>
      <c r="AJ143" t="s">
        <v>238</v>
      </c>
      <c r="AK143" t="s">
        <v>239</v>
      </c>
      <c r="AL143" t="s">
        <v>188</v>
      </c>
      <c r="AM143">
        <v>0</v>
      </c>
      <c r="AN143">
        <v>45820</v>
      </c>
      <c r="AO143" t="s">
        <v>99</v>
      </c>
      <c r="AQ143" t="s">
        <v>240</v>
      </c>
      <c r="AR143" t="s">
        <v>241</v>
      </c>
      <c r="AS143" t="s">
        <v>122</v>
      </c>
      <c r="AT143" t="s">
        <v>123</v>
      </c>
      <c r="AU143" t="s">
        <v>124</v>
      </c>
      <c r="AV143" t="s">
        <v>242</v>
      </c>
      <c r="AW143" t="s">
        <v>109</v>
      </c>
      <c r="AX143" t="s">
        <v>98</v>
      </c>
      <c r="AY143" t="s">
        <v>126</v>
      </c>
      <c r="AZ143">
        <v>46045</v>
      </c>
      <c r="BA143" t="s">
        <v>99</v>
      </c>
      <c r="BB143" s="4">
        <v>46048.486192129632</v>
      </c>
      <c r="BD143" s="2"/>
      <c r="BE143">
        <v>46080</v>
      </c>
      <c r="BF143">
        <v>40</v>
      </c>
      <c r="BH143">
        <v>40</v>
      </c>
      <c r="BK143">
        <v>40</v>
      </c>
      <c r="BL143" s="2"/>
      <c r="BO143" t="s">
        <v>227</v>
      </c>
      <c r="BP143" s="5">
        <v>1</v>
      </c>
    </row>
    <row r="144" spans="2:68">
      <c r="B144" t="s">
        <v>713</v>
      </c>
      <c r="C144" t="s">
        <v>109</v>
      </c>
      <c r="D144" t="s">
        <v>70</v>
      </c>
      <c r="E144" t="s">
        <v>71</v>
      </c>
      <c r="F144" t="s">
        <v>72</v>
      </c>
      <c r="G144" t="s">
        <v>73</v>
      </c>
      <c r="H144" s="2">
        <v>46141</v>
      </c>
      <c r="I144" s="2">
        <v>46150</v>
      </c>
      <c r="J144" t="s">
        <v>74</v>
      </c>
      <c r="K144" s="2">
        <v>46150</v>
      </c>
      <c r="L144" t="s">
        <v>75</v>
      </c>
      <c r="M144" t="s">
        <v>76</v>
      </c>
      <c r="N144" t="s">
        <v>77</v>
      </c>
      <c r="O144" t="s">
        <v>768</v>
      </c>
      <c r="P144" t="s">
        <v>769</v>
      </c>
      <c r="Q144">
        <v>16</v>
      </c>
      <c r="R144" t="s">
        <v>115</v>
      </c>
      <c r="S144" t="s">
        <v>13</v>
      </c>
      <c r="T144" t="s">
        <v>81</v>
      </c>
      <c r="U144" s="2">
        <v>46150</v>
      </c>
      <c r="V144" t="s">
        <v>82</v>
      </c>
      <c r="W144" t="s">
        <v>83</v>
      </c>
      <c r="X144" t="s">
        <v>84</v>
      </c>
      <c r="Y144" t="s">
        <v>14</v>
      </c>
      <c r="Z144" t="s">
        <v>165</v>
      </c>
      <c r="AA144" t="s">
        <v>86</v>
      </c>
      <c r="AB144" t="s">
        <v>87</v>
      </c>
      <c r="AD144" s="3">
        <v>1141000001</v>
      </c>
      <c r="AE144" t="s">
        <v>770</v>
      </c>
      <c r="AF144" t="s">
        <v>69</v>
      </c>
      <c r="AG144" t="s">
        <v>90</v>
      </c>
      <c r="AH144">
        <v>16</v>
      </c>
      <c r="AI144" s="2">
        <v>46150</v>
      </c>
      <c r="AK144" t="s">
        <v>91</v>
      </c>
      <c r="AQ144" t="s">
        <v>426</v>
      </c>
      <c r="AR144" t="s">
        <v>427</v>
      </c>
      <c r="AS144" t="s">
        <v>94</v>
      </c>
      <c r="AT144" t="s">
        <v>95</v>
      </c>
      <c r="AU144" t="s">
        <v>96</v>
      </c>
      <c r="AV144" t="s">
        <v>771</v>
      </c>
      <c r="AW144" t="s">
        <v>109</v>
      </c>
      <c r="AX144" t="s">
        <v>98</v>
      </c>
      <c r="AY144" t="s">
        <v>90</v>
      </c>
      <c r="AZ144">
        <v>46160</v>
      </c>
      <c r="BA144" t="s">
        <v>99</v>
      </c>
      <c r="BB144" s="4">
        <v>46160.697442129633</v>
      </c>
      <c r="BD144" s="2">
        <v>46183</v>
      </c>
      <c r="BE144">
        <v>46161</v>
      </c>
      <c r="BF144">
        <v>16</v>
      </c>
      <c r="BG144">
        <v>16</v>
      </c>
      <c r="BH144">
        <v>0</v>
      </c>
      <c r="BI144">
        <v>46197</v>
      </c>
      <c r="BJ144">
        <v>16</v>
      </c>
      <c r="BK144">
        <v>0</v>
      </c>
      <c r="BL144" s="2">
        <v>46197</v>
      </c>
      <c r="BO144" t="s">
        <v>100</v>
      </c>
      <c r="BP144" s="5">
        <v>1</v>
      </c>
    </row>
    <row r="145" spans="2:68">
      <c r="B145" t="s">
        <v>207</v>
      </c>
      <c r="C145" t="s">
        <v>109</v>
      </c>
      <c r="D145" t="s">
        <v>70</v>
      </c>
      <c r="E145" t="s">
        <v>71</v>
      </c>
      <c r="F145" t="s">
        <v>72</v>
      </c>
      <c r="G145" t="s">
        <v>179</v>
      </c>
      <c r="H145" s="2">
        <v>46090</v>
      </c>
      <c r="I145" s="2">
        <v>46150</v>
      </c>
      <c r="J145" t="s">
        <v>74</v>
      </c>
      <c r="K145" s="2">
        <v>46104</v>
      </c>
      <c r="L145" t="s">
        <v>75</v>
      </c>
      <c r="M145" t="s">
        <v>76</v>
      </c>
      <c r="N145" t="s">
        <v>77</v>
      </c>
      <c r="O145" t="s">
        <v>228</v>
      </c>
      <c r="P145" t="s">
        <v>229</v>
      </c>
      <c r="Q145">
        <v>10</v>
      </c>
      <c r="R145" t="s">
        <v>115</v>
      </c>
      <c r="S145" t="s">
        <v>13</v>
      </c>
      <c r="T145" t="s">
        <v>230</v>
      </c>
      <c r="U145" s="2">
        <v>45614</v>
      </c>
      <c r="V145" t="s">
        <v>98</v>
      </c>
      <c r="W145" t="s">
        <v>35</v>
      </c>
      <c r="X145" t="s">
        <v>84</v>
      </c>
      <c r="Y145" t="s">
        <v>14</v>
      </c>
      <c r="Z145" t="s">
        <v>117</v>
      </c>
      <c r="AA145" t="s">
        <v>86</v>
      </c>
      <c r="AB145" t="s">
        <v>87</v>
      </c>
      <c r="AD145" s="3">
        <v>1141000003</v>
      </c>
      <c r="AI145" s="2"/>
      <c r="AJ145" t="s">
        <v>231</v>
      </c>
      <c r="AK145" t="s">
        <v>145</v>
      </c>
      <c r="AL145" t="s">
        <v>232</v>
      </c>
      <c r="AM145">
        <v>0</v>
      </c>
      <c r="AN145">
        <v>45614</v>
      </c>
      <c r="AO145" t="s">
        <v>99</v>
      </c>
      <c r="AQ145" t="s">
        <v>189</v>
      </c>
      <c r="AR145" t="s">
        <v>190</v>
      </c>
      <c r="AS145" t="s">
        <v>122</v>
      </c>
      <c r="AT145" t="s">
        <v>123</v>
      </c>
      <c r="AU145" t="s">
        <v>124</v>
      </c>
      <c r="AV145" t="s">
        <v>233</v>
      </c>
      <c r="AW145" t="s">
        <v>109</v>
      </c>
      <c r="AX145" t="s">
        <v>82</v>
      </c>
      <c r="AY145" t="s">
        <v>126</v>
      </c>
      <c r="AZ145">
        <v>46104</v>
      </c>
      <c r="BA145" t="s">
        <v>99</v>
      </c>
      <c r="BB145" s="4">
        <v>46119.398460648146</v>
      </c>
      <c r="BD145" s="2"/>
      <c r="BE145">
        <v>46199</v>
      </c>
      <c r="BF145">
        <v>10</v>
      </c>
      <c r="BG145">
        <v>10</v>
      </c>
      <c r="BH145">
        <v>0</v>
      </c>
      <c r="BI145">
        <v>46184</v>
      </c>
      <c r="BJ145">
        <v>10</v>
      </c>
      <c r="BK145">
        <v>0</v>
      </c>
      <c r="BL145" s="2">
        <v>46184</v>
      </c>
      <c r="BO145" t="s">
        <v>100</v>
      </c>
      <c r="BP145" s="5">
        <v>1</v>
      </c>
    </row>
    <row r="146" spans="2:68">
      <c r="B146" t="s">
        <v>713</v>
      </c>
      <c r="C146" t="s">
        <v>69</v>
      </c>
      <c r="D146" t="s">
        <v>70</v>
      </c>
      <c r="E146" t="s">
        <v>71</v>
      </c>
      <c r="F146" t="s">
        <v>72</v>
      </c>
      <c r="G146" t="s">
        <v>73</v>
      </c>
      <c r="H146" s="2">
        <v>46141</v>
      </c>
      <c r="I146" s="2">
        <v>46150</v>
      </c>
      <c r="J146" t="s">
        <v>74</v>
      </c>
      <c r="K146" s="2">
        <v>46150</v>
      </c>
      <c r="L146" t="s">
        <v>75</v>
      </c>
      <c r="M146" t="s">
        <v>76</v>
      </c>
      <c r="N146" t="s">
        <v>77</v>
      </c>
      <c r="O146" t="s">
        <v>772</v>
      </c>
      <c r="P146" t="s">
        <v>773</v>
      </c>
      <c r="Q146">
        <v>10</v>
      </c>
      <c r="R146" t="s">
        <v>115</v>
      </c>
      <c r="S146" t="s">
        <v>13</v>
      </c>
      <c r="T146" t="s">
        <v>230</v>
      </c>
      <c r="U146" s="2">
        <v>45615</v>
      </c>
      <c r="V146" t="s">
        <v>98</v>
      </c>
      <c r="W146" t="s">
        <v>35</v>
      </c>
      <c r="X146" t="s">
        <v>84</v>
      </c>
      <c r="Y146" t="s">
        <v>14</v>
      </c>
      <c r="Z146" t="s">
        <v>117</v>
      </c>
      <c r="AA146" t="s">
        <v>86</v>
      </c>
      <c r="AB146" t="s">
        <v>87</v>
      </c>
      <c r="AD146" s="3">
        <v>1141000001</v>
      </c>
      <c r="AI146" s="2"/>
      <c r="AJ146" t="s">
        <v>774</v>
      </c>
      <c r="AK146" t="s">
        <v>311</v>
      </c>
      <c r="AL146" t="s">
        <v>232</v>
      </c>
      <c r="AM146">
        <v>0</v>
      </c>
      <c r="AN146">
        <v>45615</v>
      </c>
      <c r="AO146" t="s">
        <v>99</v>
      </c>
      <c r="AQ146" t="s">
        <v>214</v>
      </c>
      <c r="AR146" t="s">
        <v>215</v>
      </c>
      <c r="AS146" t="s">
        <v>122</v>
      </c>
      <c r="AT146" t="s">
        <v>123</v>
      </c>
      <c r="AU146" t="s">
        <v>124</v>
      </c>
      <c r="AV146" t="s">
        <v>775</v>
      </c>
      <c r="AW146" t="s">
        <v>109</v>
      </c>
      <c r="AX146" t="s">
        <v>82</v>
      </c>
      <c r="AY146" t="s">
        <v>126</v>
      </c>
      <c r="AZ146">
        <v>46150</v>
      </c>
      <c r="BA146" t="s">
        <v>99</v>
      </c>
      <c r="BB146" s="4">
        <v>46163.430335648147</v>
      </c>
      <c r="BD146" s="2"/>
      <c r="BE146">
        <v>46203</v>
      </c>
      <c r="BF146">
        <v>10</v>
      </c>
      <c r="BG146">
        <v>10</v>
      </c>
      <c r="BH146">
        <v>0</v>
      </c>
      <c r="BI146">
        <v>46189</v>
      </c>
      <c r="BJ146">
        <v>10</v>
      </c>
      <c r="BK146">
        <v>0</v>
      </c>
      <c r="BL146" s="2">
        <v>46189</v>
      </c>
      <c r="BO146" t="s">
        <v>100</v>
      </c>
      <c r="BP146" s="5">
        <v>1</v>
      </c>
    </row>
    <row r="147" spans="2:68">
      <c r="B147" t="s">
        <v>217</v>
      </c>
      <c r="C147" t="s">
        <v>109</v>
      </c>
      <c r="D147" t="s">
        <v>70</v>
      </c>
      <c r="E147" t="s">
        <v>71</v>
      </c>
      <c r="F147" t="s">
        <v>72</v>
      </c>
      <c r="G147" t="s">
        <v>73</v>
      </c>
      <c r="H147" s="2">
        <v>45902</v>
      </c>
      <c r="I147" s="2">
        <v>45902</v>
      </c>
      <c r="J147" t="s">
        <v>74</v>
      </c>
      <c r="K147" s="2">
        <v>45903</v>
      </c>
      <c r="L147" t="s">
        <v>75</v>
      </c>
      <c r="M147" t="s">
        <v>76</v>
      </c>
      <c r="N147" t="s">
        <v>77</v>
      </c>
      <c r="O147" t="s">
        <v>218</v>
      </c>
      <c r="P147" t="s">
        <v>219</v>
      </c>
      <c r="Q147">
        <v>3</v>
      </c>
      <c r="R147" t="s">
        <v>115</v>
      </c>
      <c r="S147" t="s">
        <v>116</v>
      </c>
      <c r="T147" t="s">
        <v>220</v>
      </c>
      <c r="U147" s="2">
        <v>45903</v>
      </c>
      <c r="V147" t="s">
        <v>98</v>
      </c>
      <c r="W147" t="s">
        <v>83</v>
      </c>
      <c r="X147" t="s">
        <v>84</v>
      </c>
      <c r="Y147" t="s">
        <v>14</v>
      </c>
      <c r="Z147" t="s">
        <v>117</v>
      </c>
      <c r="AA147" t="s">
        <v>86</v>
      </c>
      <c r="AB147" t="s">
        <v>87</v>
      </c>
      <c r="AD147" s="3">
        <v>1141000001</v>
      </c>
      <c r="AE147" t="s">
        <v>221</v>
      </c>
      <c r="AF147" t="s">
        <v>222</v>
      </c>
      <c r="AG147" t="s">
        <v>223</v>
      </c>
      <c r="AH147">
        <v>3</v>
      </c>
      <c r="AI147" s="2">
        <v>45903</v>
      </c>
      <c r="AK147" t="s">
        <v>91</v>
      </c>
      <c r="AQ147" t="s">
        <v>224</v>
      </c>
      <c r="AR147" t="s">
        <v>225</v>
      </c>
      <c r="AS147" t="s">
        <v>94</v>
      </c>
      <c r="AT147" t="s">
        <v>95</v>
      </c>
      <c r="AU147" t="s">
        <v>96</v>
      </c>
      <c r="AV147" t="s">
        <v>226</v>
      </c>
      <c r="AW147" t="s">
        <v>109</v>
      </c>
      <c r="AX147" t="s">
        <v>82</v>
      </c>
      <c r="AY147" t="s">
        <v>223</v>
      </c>
      <c r="AZ147" s="2">
        <v>45905</v>
      </c>
      <c r="BA147" t="s">
        <v>99</v>
      </c>
      <c r="BB147" s="4">
        <v>45908.323750000003</v>
      </c>
      <c r="BD147" s="2">
        <v>45929</v>
      </c>
      <c r="BE147">
        <v>45942</v>
      </c>
      <c r="BF147">
        <v>3</v>
      </c>
      <c r="BH147">
        <v>3</v>
      </c>
      <c r="BK147">
        <v>3</v>
      </c>
      <c r="BL147" s="2"/>
      <c r="BO147" t="s">
        <v>227</v>
      </c>
      <c r="BP147" s="5">
        <v>1</v>
      </c>
    </row>
    <row r="148" spans="2:68">
      <c r="B148" t="s">
        <v>196</v>
      </c>
      <c r="C148" t="s">
        <v>210</v>
      </c>
      <c r="D148" t="s">
        <v>70</v>
      </c>
      <c r="E148" t="s">
        <v>71</v>
      </c>
      <c r="F148" t="s">
        <v>72</v>
      </c>
      <c r="G148" t="s">
        <v>73</v>
      </c>
      <c r="H148" s="2">
        <v>46056</v>
      </c>
      <c r="I148" s="2">
        <v>46056</v>
      </c>
      <c r="J148" t="s">
        <v>74</v>
      </c>
      <c r="K148" s="2">
        <v>46065</v>
      </c>
      <c r="L148" t="s">
        <v>75</v>
      </c>
      <c r="M148" t="s">
        <v>76</v>
      </c>
      <c r="N148" t="s">
        <v>77</v>
      </c>
      <c r="O148" t="s">
        <v>211</v>
      </c>
      <c r="P148" t="s">
        <v>212</v>
      </c>
      <c r="Q148">
        <v>3</v>
      </c>
      <c r="R148" t="s">
        <v>115</v>
      </c>
      <c r="S148" t="s">
        <v>116</v>
      </c>
      <c r="T148" t="s">
        <v>132</v>
      </c>
      <c r="U148" s="2">
        <v>46069</v>
      </c>
      <c r="V148" t="s">
        <v>98</v>
      </c>
      <c r="W148" t="s">
        <v>83</v>
      </c>
      <c r="X148" t="s">
        <v>84</v>
      </c>
      <c r="Y148" t="s">
        <v>14</v>
      </c>
      <c r="Z148" t="s">
        <v>117</v>
      </c>
      <c r="AA148" t="s">
        <v>86</v>
      </c>
      <c r="AB148" t="s">
        <v>87</v>
      </c>
      <c r="AD148" s="3">
        <v>1141000001</v>
      </c>
      <c r="AE148" t="s">
        <v>213</v>
      </c>
      <c r="AF148" t="s">
        <v>142</v>
      </c>
      <c r="AG148" t="s">
        <v>136</v>
      </c>
      <c r="AH148">
        <v>3</v>
      </c>
      <c r="AI148" s="2">
        <v>46069</v>
      </c>
      <c r="AK148" t="s">
        <v>91</v>
      </c>
      <c r="AQ148" t="s">
        <v>214</v>
      </c>
      <c r="AR148" t="s">
        <v>215</v>
      </c>
      <c r="AS148" t="s">
        <v>94</v>
      </c>
      <c r="AT148" t="s">
        <v>95</v>
      </c>
      <c r="AU148" t="s">
        <v>96</v>
      </c>
      <c r="AV148" t="s">
        <v>216</v>
      </c>
      <c r="AW148" t="s">
        <v>109</v>
      </c>
      <c r="AX148" t="s">
        <v>82</v>
      </c>
      <c r="AY148" t="s">
        <v>136</v>
      </c>
      <c r="AZ148" s="2">
        <v>46078</v>
      </c>
      <c r="BA148" t="s">
        <v>99</v>
      </c>
      <c r="BB148" s="4">
        <v>46119.405277777776</v>
      </c>
      <c r="BD148" s="2">
        <v>46122</v>
      </c>
      <c r="BE148">
        <v>46171</v>
      </c>
      <c r="BF148">
        <v>3</v>
      </c>
      <c r="BG148">
        <v>3</v>
      </c>
      <c r="BH148">
        <v>0</v>
      </c>
      <c r="BI148">
        <v>46147</v>
      </c>
      <c r="BJ148">
        <v>3</v>
      </c>
      <c r="BK148">
        <v>0</v>
      </c>
      <c r="BL148" s="2">
        <v>46148</v>
      </c>
      <c r="BO148" t="s">
        <v>100</v>
      </c>
      <c r="BP148" s="5">
        <v>1</v>
      </c>
    </row>
    <row r="149" spans="2:68">
      <c r="B149" t="s">
        <v>207</v>
      </c>
      <c r="C149" t="s">
        <v>143</v>
      </c>
      <c r="D149" t="s">
        <v>70</v>
      </c>
      <c r="E149" t="s">
        <v>71</v>
      </c>
      <c r="F149" t="s">
        <v>72</v>
      </c>
      <c r="G149" t="s">
        <v>179</v>
      </c>
      <c r="H149" s="2">
        <v>46090</v>
      </c>
      <c r="I149" s="2">
        <v>46128</v>
      </c>
      <c r="J149" t="s">
        <v>74</v>
      </c>
      <c r="K149" s="2">
        <v>46104</v>
      </c>
      <c r="L149" t="s">
        <v>75</v>
      </c>
      <c r="M149" t="s">
        <v>76</v>
      </c>
      <c r="N149" t="s">
        <v>77</v>
      </c>
      <c r="O149" t="s">
        <v>208</v>
      </c>
      <c r="P149" t="s">
        <v>209</v>
      </c>
      <c r="Q149">
        <v>2</v>
      </c>
      <c r="R149" t="s">
        <v>80</v>
      </c>
      <c r="S149" t="s">
        <v>13</v>
      </c>
      <c r="T149" t="s">
        <v>586</v>
      </c>
      <c r="U149" s="2">
        <v>46106</v>
      </c>
      <c r="V149" t="s">
        <v>82</v>
      </c>
      <c r="W149" t="s">
        <v>83</v>
      </c>
      <c r="X149" t="s">
        <v>84</v>
      </c>
      <c r="Y149" t="s">
        <v>14</v>
      </c>
      <c r="Z149" t="s">
        <v>185</v>
      </c>
      <c r="AA149" t="s">
        <v>86</v>
      </c>
      <c r="AB149" t="s">
        <v>87</v>
      </c>
      <c r="AD149" s="3">
        <v>1141000003</v>
      </c>
      <c r="AE149" t="s">
        <v>587</v>
      </c>
      <c r="AF149" t="s">
        <v>143</v>
      </c>
      <c r="AG149" t="s">
        <v>588</v>
      </c>
      <c r="AH149">
        <v>2</v>
      </c>
      <c r="AI149" s="2">
        <v>46106</v>
      </c>
      <c r="AK149" t="s">
        <v>91</v>
      </c>
      <c r="AQ149" t="s">
        <v>589</v>
      </c>
      <c r="AR149" t="s">
        <v>590</v>
      </c>
      <c r="AS149" t="s">
        <v>94</v>
      </c>
      <c r="AT149" t="s">
        <v>95</v>
      </c>
      <c r="AU149" t="s">
        <v>96</v>
      </c>
      <c r="AV149" t="s">
        <v>591</v>
      </c>
      <c r="AW149" t="s">
        <v>69</v>
      </c>
      <c r="AX149" t="s">
        <v>98</v>
      </c>
      <c r="AY149" t="s">
        <v>588</v>
      </c>
      <c r="AZ149" s="2">
        <v>46111</v>
      </c>
      <c r="BA149" t="s">
        <v>99</v>
      </c>
      <c r="BB149" s="4">
        <v>46119.395810185182</v>
      </c>
      <c r="BD149" s="2">
        <v>46127</v>
      </c>
      <c r="BE149">
        <v>46127</v>
      </c>
      <c r="BF149">
        <v>2</v>
      </c>
      <c r="BG149">
        <v>2</v>
      </c>
      <c r="BH149">
        <v>0</v>
      </c>
      <c r="BI149">
        <v>46128</v>
      </c>
      <c r="BJ149">
        <v>2</v>
      </c>
      <c r="BK149">
        <v>0</v>
      </c>
      <c r="BL149" s="2">
        <v>46128</v>
      </c>
      <c r="BO149" t="s">
        <v>100</v>
      </c>
      <c r="BP149" s="5">
        <v>1</v>
      </c>
    </row>
    <row r="150" spans="2:68">
      <c r="B150" t="s">
        <v>647</v>
      </c>
      <c r="C150" t="s">
        <v>648</v>
      </c>
      <c r="D150" t="s">
        <v>70</v>
      </c>
      <c r="E150" t="s">
        <v>71</v>
      </c>
      <c r="F150" t="s">
        <v>72</v>
      </c>
      <c r="G150" t="s">
        <v>73</v>
      </c>
      <c r="H150" s="2">
        <v>46129</v>
      </c>
      <c r="I150" s="2">
        <v>46142</v>
      </c>
      <c r="J150" t="s">
        <v>74</v>
      </c>
      <c r="K150" s="2">
        <v>46132</v>
      </c>
      <c r="L150" t="s">
        <v>75</v>
      </c>
      <c r="M150" t="s">
        <v>76</v>
      </c>
      <c r="N150" t="s">
        <v>77</v>
      </c>
      <c r="O150" t="s">
        <v>649</v>
      </c>
      <c r="P150" t="s">
        <v>650</v>
      </c>
      <c r="Q150">
        <v>11</v>
      </c>
      <c r="R150" t="s">
        <v>115</v>
      </c>
      <c r="S150" t="s">
        <v>13</v>
      </c>
      <c r="U150" s="2"/>
      <c r="V150" t="s">
        <v>175</v>
      </c>
      <c r="W150" t="s">
        <v>83</v>
      </c>
      <c r="X150" t="s">
        <v>84</v>
      </c>
      <c r="Y150" t="s">
        <v>14</v>
      </c>
      <c r="Z150" t="s">
        <v>651</v>
      </c>
      <c r="AA150" t="s">
        <v>86</v>
      </c>
      <c r="AB150" t="s">
        <v>87</v>
      </c>
      <c r="AD150" s="3">
        <v>1141000003</v>
      </c>
      <c r="AI150" s="2"/>
      <c r="AX150" t="s">
        <v>175</v>
      </c>
      <c r="AZ150" s="2"/>
      <c r="BB150" s="4"/>
      <c r="BD150" s="2"/>
      <c r="BL150" s="2"/>
      <c r="BO150" t="s">
        <v>180</v>
      </c>
      <c r="BP150" s="5">
        <v>1</v>
      </c>
    </row>
    <row r="151" spans="2:68">
      <c r="B151" t="s">
        <v>647</v>
      </c>
      <c r="C151" t="s">
        <v>652</v>
      </c>
      <c r="D151" t="s">
        <v>70</v>
      </c>
      <c r="E151" t="s">
        <v>71</v>
      </c>
      <c r="F151" t="s">
        <v>72</v>
      </c>
      <c r="G151" t="s">
        <v>73</v>
      </c>
      <c r="H151" s="2">
        <v>46129</v>
      </c>
      <c r="I151" s="2">
        <v>46142</v>
      </c>
      <c r="J151" t="s">
        <v>74</v>
      </c>
      <c r="K151" s="2">
        <v>46132</v>
      </c>
      <c r="L151" t="s">
        <v>75</v>
      </c>
      <c r="M151" t="s">
        <v>76</v>
      </c>
      <c r="N151" t="s">
        <v>77</v>
      </c>
      <c r="O151" t="s">
        <v>653</v>
      </c>
      <c r="P151" t="s">
        <v>654</v>
      </c>
      <c r="Q151">
        <v>15</v>
      </c>
      <c r="R151" t="s">
        <v>115</v>
      </c>
      <c r="S151" t="s">
        <v>116</v>
      </c>
      <c r="T151" t="s">
        <v>156</v>
      </c>
      <c r="U151" s="2">
        <v>46139</v>
      </c>
      <c r="V151" t="s">
        <v>175</v>
      </c>
      <c r="W151" t="s">
        <v>83</v>
      </c>
      <c r="X151" t="s">
        <v>84</v>
      </c>
      <c r="Y151" t="s">
        <v>14</v>
      </c>
      <c r="Z151" t="s">
        <v>157</v>
      </c>
      <c r="AA151" t="s">
        <v>86</v>
      </c>
      <c r="AB151" t="s">
        <v>87</v>
      </c>
      <c r="AD151" s="3">
        <v>1141000003</v>
      </c>
      <c r="AE151" t="s">
        <v>776</v>
      </c>
      <c r="AF151" t="s">
        <v>359</v>
      </c>
      <c r="AG151" t="s">
        <v>159</v>
      </c>
      <c r="AH151">
        <v>15</v>
      </c>
      <c r="AI151" s="2">
        <v>46139</v>
      </c>
      <c r="AK151" t="s">
        <v>91</v>
      </c>
      <c r="AQ151" t="s">
        <v>779</v>
      </c>
      <c r="AR151" t="s">
        <v>780</v>
      </c>
      <c r="AS151" t="s">
        <v>94</v>
      </c>
      <c r="AT151" t="s">
        <v>95</v>
      </c>
      <c r="AU151" t="s">
        <v>96</v>
      </c>
      <c r="AV151" t="s">
        <v>826</v>
      </c>
      <c r="AW151" t="s">
        <v>197</v>
      </c>
      <c r="AX151" t="s">
        <v>98</v>
      </c>
      <c r="AY151" t="s">
        <v>159</v>
      </c>
      <c r="AZ151" s="2">
        <v>46171</v>
      </c>
      <c r="BA151" t="s">
        <v>110</v>
      </c>
      <c r="BB151" s="4"/>
      <c r="BD151" s="2"/>
      <c r="BF151">
        <v>15</v>
      </c>
      <c r="BH151">
        <v>15</v>
      </c>
      <c r="BK151">
        <v>15</v>
      </c>
      <c r="BL151" s="2"/>
      <c r="BO151" t="s">
        <v>111</v>
      </c>
      <c r="BP151" s="5">
        <v>1</v>
      </c>
    </row>
    <row r="152" spans="2:68">
      <c r="B152" t="s">
        <v>647</v>
      </c>
      <c r="C152" t="s">
        <v>328</v>
      </c>
      <c r="D152" t="s">
        <v>70</v>
      </c>
      <c r="E152" t="s">
        <v>71</v>
      </c>
      <c r="F152" t="s">
        <v>72</v>
      </c>
      <c r="G152" t="s">
        <v>73</v>
      </c>
      <c r="H152" s="2">
        <v>46129</v>
      </c>
      <c r="I152" s="2">
        <v>46142</v>
      </c>
      <c r="J152" t="s">
        <v>74</v>
      </c>
      <c r="K152" s="2">
        <v>46132</v>
      </c>
      <c r="L152" t="s">
        <v>75</v>
      </c>
      <c r="M152" t="s">
        <v>76</v>
      </c>
      <c r="N152" t="s">
        <v>77</v>
      </c>
      <c r="O152" t="s">
        <v>655</v>
      </c>
      <c r="P152" t="s">
        <v>656</v>
      </c>
      <c r="Q152">
        <v>9</v>
      </c>
      <c r="R152" t="s">
        <v>115</v>
      </c>
      <c r="S152" t="s">
        <v>116</v>
      </c>
      <c r="T152" t="s">
        <v>156</v>
      </c>
      <c r="U152" s="2">
        <v>46139</v>
      </c>
      <c r="V152" t="s">
        <v>175</v>
      </c>
      <c r="W152" t="s">
        <v>83</v>
      </c>
      <c r="X152" t="s">
        <v>84</v>
      </c>
      <c r="Y152" t="s">
        <v>14</v>
      </c>
      <c r="Z152" t="s">
        <v>157</v>
      </c>
      <c r="AA152" t="s">
        <v>86</v>
      </c>
      <c r="AB152" t="s">
        <v>87</v>
      </c>
      <c r="AD152" s="3">
        <v>1141000003</v>
      </c>
      <c r="AE152" t="s">
        <v>776</v>
      </c>
      <c r="AF152" t="s">
        <v>760</v>
      </c>
      <c r="AG152" t="s">
        <v>159</v>
      </c>
      <c r="AH152">
        <v>9</v>
      </c>
      <c r="AI152" s="2">
        <v>46139</v>
      </c>
      <c r="AK152" t="s">
        <v>91</v>
      </c>
      <c r="AQ152" t="s">
        <v>779</v>
      </c>
      <c r="AR152" t="s">
        <v>780</v>
      </c>
      <c r="AS152" t="s">
        <v>94</v>
      </c>
      <c r="AT152" t="s">
        <v>95</v>
      </c>
      <c r="AU152" t="s">
        <v>96</v>
      </c>
      <c r="AV152" t="s">
        <v>826</v>
      </c>
      <c r="AW152" t="s">
        <v>248</v>
      </c>
      <c r="AX152" t="s">
        <v>98</v>
      </c>
      <c r="AY152" t="s">
        <v>159</v>
      </c>
      <c r="AZ152" s="2">
        <v>46171</v>
      </c>
      <c r="BA152" t="s">
        <v>110</v>
      </c>
      <c r="BB152" s="4"/>
      <c r="BD152" s="2"/>
      <c r="BF152">
        <v>9</v>
      </c>
      <c r="BH152">
        <v>9</v>
      </c>
      <c r="BK152">
        <v>9</v>
      </c>
      <c r="BL152" s="2"/>
      <c r="BO152" t="s">
        <v>111</v>
      </c>
      <c r="BP152" s="5">
        <v>1</v>
      </c>
    </row>
    <row r="153" spans="2:68">
      <c r="B153" t="s">
        <v>647</v>
      </c>
      <c r="C153" t="s">
        <v>252</v>
      </c>
      <c r="D153" t="s">
        <v>70</v>
      </c>
      <c r="E153" t="s">
        <v>71</v>
      </c>
      <c r="F153" t="s">
        <v>72</v>
      </c>
      <c r="G153" t="s">
        <v>73</v>
      </c>
      <c r="H153" s="2">
        <v>46129</v>
      </c>
      <c r="I153" s="2">
        <v>46142</v>
      </c>
      <c r="J153" t="s">
        <v>74</v>
      </c>
      <c r="K153" s="2">
        <v>46132</v>
      </c>
      <c r="L153" t="s">
        <v>75</v>
      </c>
      <c r="M153" t="s">
        <v>76</v>
      </c>
      <c r="N153" t="s">
        <v>77</v>
      </c>
      <c r="O153" t="s">
        <v>657</v>
      </c>
      <c r="P153" t="s">
        <v>658</v>
      </c>
      <c r="Q153">
        <v>11</v>
      </c>
      <c r="R153" t="s">
        <v>115</v>
      </c>
      <c r="S153" t="s">
        <v>116</v>
      </c>
      <c r="T153" t="s">
        <v>156</v>
      </c>
      <c r="U153" s="2">
        <v>46139</v>
      </c>
      <c r="V153" t="s">
        <v>175</v>
      </c>
      <c r="W153" t="s">
        <v>83</v>
      </c>
      <c r="X153" t="s">
        <v>84</v>
      </c>
      <c r="Y153" t="s">
        <v>14</v>
      </c>
      <c r="Z153" t="s">
        <v>157</v>
      </c>
      <c r="AA153" t="s">
        <v>86</v>
      </c>
      <c r="AB153" t="s">
        <v>87</v>
      </c>
      <c r="AD153" s="3">
        <v>1141000003</v>
      </c>
      <c r="AE153" t="s">
        <v>776</v>
      </c>
      <c r="AF153" t="s">
        <v>142</v>
      </c>
      <c r="AG153" t="s">
        <v>159</v>
      </c>
      <c r="AH153">
        <v>11</v>
      </c>
      <c r="AI153" s="2">
        <v>46139</v>
      </c>
      <c r="AK153" t="s">
        <v>91</v>
      </c>
      <c r="AQ153" t="s">
        <v>779</v>
      </c>
      <c r="AR153" t="s">
        <v>780</v>
      </c>
      <c r="AS153" t="s">
        <v>94</v>
      </c>
      <c r="AT153" t="s">
        <v>95</v>
      </c>
      <c r="AU153" t="s">
        <v>96</v>
      </c>
      <c r="AV153" t="s">
        <v>826</v>
      </c>
      <c r="AW153" t="s">
        <v>204</v>
      </c>
      <c r="AX153" t="s">
        <v>98</v>
      </c>
      <c r="AY153" t="s">
        <v>159</v>
      </c>
      <c r="AZ153" s="2">
        <v>46171</v>
      </c>
      <c r="BA153" t="s">
        <v>110</v>
      </c>
      <c r="BB153" s="4"/>
      <c r="BD153" s="2"/>
      <c r="BE153" s="2"/>
      <c r="BF153">
        <v>11</v>
      </c>
      <c r="BH153">
        <v>11</v>
      </c>
      <c r="BK153">
        <v>11</v>
      </c>
      <c r="BL153" s="2"/>
      <c r="BO153" t="s">
        <v>111</v>
      </c>
      <c r="BP153" s="5">
        <v>1</v>
      </c>
    </row>
    <row r="154" spans="2:68">
      <c r="B154" t="s">
        <v>647</v>
      </c>
      <c r="C154" t="s">
        <v>398</v>
      </c>
      <c r="D154" t="s">
        <v>70</v>
      </c>
      <c r="E154" t="s">
        <v>71</v>
      </c>
      <c r="F154" t="s">
        <v>72</v>
      </c>
      <c r="G154" t="s">
        <v>73</v>
      </c>
      <c r="H154" s="2">
        <v>46129</v>
      </c>
      <c r="I154" s="2">
        <v>46142</v>
      </c>
      <c r="J154" t="s">
        <v>74</v>
      </c>
      <c r="K154" s="2">
        <v>46132</v>
      </c>
      <c r="L154" t="s">
        <v>75</v>
      </c>
      <c r="M154" t="s">
        <v>76</v>
      </c>
      <c r="N154" t="s">
        <v>77</v>
      </c>
      <c r="O154" t="s">
        <v>659</v>
      </c>
      <c r="P154" t="s">
        <v>660</v>
      </c>
      <c r="Q154">
        <v>18</v>
      </c>
      <c r="R154" t="s">
        <v>115</v>
      </c>
      <c r="S154" t="s">
        <v>116</v>
      </c>
      <c r="T154" t="s">
        <v>156</v>
      </c>
      <c r="U154" s="2">
        <v>46139</v>
      </c>
      <c r="V154" t="s">
        <v>175</v>
      </c>
      <c r="W154" t="s">
        <v>83</v>
      </c>
      <c r="X154" t="s">
        <v>84</v>
      </c>
      <c r="Y154" t="s">
        <v>14</v>
      </c>
      <c r="Z154" t="s">
        <v>157</v>
      </c>
      <c r="AA154" t="s">
        <v>86</v>
      </c>
      <c r="AB154" t="s">
        <v>87</v>
      </c>
      <c r="AD154" s="3">
        <v>1141000003</v>
      </c>
      <c r="AE154" t="s">
        <v>776</v>
      </c>
      <c r="AF154" t="s">
        <v>119</v>
      </c>
      <c r="AG154" t="s">
        <v>159</v>
      </c>
      <c r="AH154">
        <v>18</v>
      </c>
      <c r="AI154" s="2">
        <v>46139</v>
      </c>
      <c r="AK154" t="s">
        <v>91</v>
      </c>
      <c r="AQ154" t="s">
        <v>779</v>
      </c>
      <c r="AR154" t="s">
        <v>780</v>
      </c>
      <c r="AS154" t="s">
        <v>94</v>
      </c>
      <c r="AT154" t="s">
        <v>95</v>
      </c>
      <c r="AU154" t="s">
        <v>96</v>
      </c>
      <c r="AV154" t="s">
        <v>826</v>
      </c>
      <c r="AW154" t="s">
        <v>804</v>
      </c>
      <c r="AX154" t="s">
        <v>98</v>
      </c>
      <c r="AY154" t="s">
        <v>159</v>
      </c>
      <c r="AZ154" s="2">
        <v>46171</v>
      </c>
      <c r="BA154" t="s">
        <v>110</v>
      </c>
      <c r="BB154" s="4"/>
      <c r="BD154" s="2"/>
      <c r="BE154" s="2"/>
      <c r="BF154">
        <v>18</v>
      </c>
      <c r="BH154">
        <v>18</v>
      </c>
      <c r="BK154">
        <v>18</v>
      </c>
      <c r="BL154" s="2"/>
      <c r="BO154" t="s">
        <v>111</v>
      </c>
      <c r="BP154" s="5">
        <v>1</v>
      </c>
    </row>
    <row r="155" spans="2:68">
      <c r="B155" t="s">
        <v>647</v>
      </c>
      <c r="C155" t="s">
        <v>661</v>
      </c>
      <c r="D155" t="s">
        <v>70</v>
      </c>
      <c r="E155" t="s">
        <v>71</v>
      </c>
      <c r="F155" t="s">
        <v>72</v>
      </c>
      <c r="G155" t="s">
        <v>73</v>
      </c>
      <c r="H155" s="2">
        <v>46129</v>
      </c>
      <c r="I155" s="2">
        <v>46142</v>
      </c>
      <c r="J155" t="s">
        <v>74</v>
      </c>
      <c r="K155" s="2">
        <v>46132</v>
      </c>
      <c r="L155" t="s">
        <v>75</v>
      </c>
      <c r="M155" t="s">
        <v>76</v>
      </c>
      <c r="N155" t="s">
        <v>77</v>
      </c>
      <c r="O155" t="s">
        <v>662</v>
      </c>
      <c r="P155" t="s">
        <v>663</v>
      </c>
      <c r="Q155">
        <v>18</v>
      </c>
      <c r="R155" t="s">
        <v>115</v>
      </c>
      <c r="S155" t="s">
        <v>116</v>
      </c>
      <c r="T155" t="s">
        <v>156</v>
      </c>
      <c r="U155" s="2">
        <v>46139</v>
      </c>
      <c r="V155" t="s">
        <v>175</v>
      </c>
      <c r="W155" t="s">
        <v>83</v>
      </c>
      <c r="X155" t="s">
        <v>84</v>
      </c>
      <c r="Y155" t="s">
        <v>14</v>
      </c>
      <c r="Z155" t="s">
        <v>157</v>
      </c>
      <c r="AA155" t="s">
        <v>86</v>
      </c>
      <c r="AB155" t="s">
        <v>87</v>
      </c>
      <c r="AD155" s="3">
        <v>1141000003</v>
      </c>
      <c r="AE155" t="s">
        <v>776</v>
      </c>
      <c r="AF155" t="s">
        <v>777</v>
      </c>
      <c r="AG155" t="s">
        <v>159</v>
      </c>
      <c r="AH155">
        <v>18</v>
      </c>
      <c r="AI155" s="2">
        <v>46139</v>
      </c>
      <c r="AK155" t="s">
        <v>91</v>
      </c>
      <c r="AQ155" t="s">
        <v>779</v>
      </c>
      <c r="AR155" t="s">
        <v>780</v>
      </c>
      <c r="AS155" t="s">
        <v>94</v>
      </c>
      <c r="AT155" t="s">
        <v>95</v>
      </c>
      <c r="AU155" t="s">
        <v>96</v>
      </c>
      <c r="AV155" t="s">
        <v>826</v>
      </c>
      <c r="AW155" t="s">
        <v>537</v>
      </c>
      <c r="AX155" t="s">
        <v>98</v>
      </c>
      <c r="AY155" t="s">
        <v>159</v>
      </c>
      <c r="AZ155">
        <v>46171</v>
      </c>
      <c r="BA155" t="s">
        <v>110</v>
      </c>
      <c r="BB155" s="4"/>
      <c r="BD155" s="2"/>
      <c r="BF155">
        <v>18</v>
      </c>
      <c r="BH155">
        <v>18</v>
      </c>
      <c r="BK155">
        <v>18</v>
      </c>
      <c r="BL155" s="2"/>
      <c r="BO155" t="s">
        <v>111</v>
      </c>
      <c r="BP155" s="5">
        <v>1</v>
      </c>
    </row>
    <row r="156" spans="2:68">
      <c r="B156" t="s">
        <v>647</v>
      </c>
      <c r="C156" t="s">
        <v>664</v>
      </c>
      <c r="D156" t="s">
        <v>70</v>
      </c>
      <c r="E156" t="s">
        <v>71</v>
      </c>
      <c r="F156" t="s">
        <v>72</v>
      </c>
      <c r="G156" t="s">
        <v>73</v>
      </c>
      <c r="H156" s="2">
        <v>46129</v>
      </c>
      <c r="I156" s="2">
        <v>46142</v>
      </c>
      <c r="J156" t="s">
        <v>74</v>
      </c>
      <c r="K156" s="2">
        <v>46132</v>
      </c>
      <c r="L156" t="s">
        <v>75</v>
      </c>
      <c r="M156" t="s">
        <v>76</v>
      </c>
      <c r="N156" t="s">
        <v>77</v>
      </c>
      <c r="O156" t="s">
        <v>665</v>
      </c>
      <c r="P156" t="s">
        <v>666</v>
      </c>
      <c r="Q156">
        <v>11</v>
      </c>
      <c r="R156" t="s">
        <v>115</v>
      </c>
      <c r="S156" t="s">
        <v>116</v>
      </c>
      <c r="T156" t="s">
        <v>156</v>
      </c>
      <c r="U156" s="2">
        <v>46139</v>
      </c>
      <c r="V156" t="s">
        <v>175</v>
      </c>
      <c r="W156" t="s">
        <v>83</v>
      </c>
      <c r="X156" t="s">
        <v>84</v>
      </c>
      <c r="Y156" t="s">
        <v>14</v>
      </c>
      <c r="Z156" t="s">
        <v>667</v>
      </c>
      <c r="AA156" t="s">
        <v>86</v>
      </c>
      <c r="AB156" t="s">
        <v>87</v>
      </c>
      <c r="AD156" s="3">
        <v>1141000003</v>
      </c>
      <c r="AE156" t="s">
        <v>778</v>
      </c>
      <c r="AF156" t="s">
        <v>760</v>
      </c>
      <c r="AG156" t="s">
        <v>159</v>
      </c>
      <c r="AH156">
        <v>11</v>
      </c>
      <c r="AI156">
        <v>46139</v>
      </c>
      <c r="AK156" t="s">
        <v>91</v>
      </c>
      <c r="AN156" s="2"/>
      <c r="AQ156" t="s">
        <v>779</v>
      </c>
      <c r="AR156" t="s">
        <v>780</v>
      </c>
      <c r="AS156" t="s">
        <v>94</v>
      </c>
      <c r="AT156" t="s">
        <v>95</v>
      </c>
      <c r="AU156" t="s">
        <v>96</v>
      </c>
      <c r="AV156" t="s">
        <v>781</v>
      </c>
      <c r="AW156" t="s">
        <v>142</v>
      </c>
      <c r="AX156" t="s">
        <v>98</v>
      </c>
      <c r="AY156" t="s">
        <v>159</v>
      </c>
      <c r="AZ156" s="2">
        <v>46175</v>
      </c>
      <c r="BA156" t="s">
        <v>110</v>
      </c>
      <c r="BB156" s="4"/>
      <c r="BD156" s="2"/>
      <c r="BE156" s="2"/>
      <c r="BF156">
        <v>11</v>
      </c>
      <c r="BH156">
        <v>11</v>
      </c>
      <c r="BI156" s="2"/>
      <c r="BK156">
        <v>11</v>
      </c>
      <c r="BL156" s="2"/>
      <c r="BO156" t="s">
        <v>111</v>
      </c>
      <c r="BP156" s="5">
        <v>1</v>
      </c>
    </row>
    <row r="157" spans="2:68">
      <c r="B157" t="s">
        <v>647</v>
      </c>
      <c r="C157" t="s">
        <v>668</v>
      </c>
      <c r="D157" t="s">
        <v>70</v>
      </c>
      <c r="E157" t="s">
        <v>71</v>
      </c>
      <c r="F157" t="s">
        <v>72</v>
      </c>
      <c r="G157" t="s">
        <v>73</v>
      </c>
      <c r="H157" s="2">
        <v>46129</v>
      </c>
      <c r="I157" s="2">
        <v>46142</v>
      </c>
      <c r="J157" t="s">
        <v>74</v>
      </c>
      <c r="K157" s="2">
        <v>46132</v>
      </c>
      <c r="L157" t="s">
        <v>75</v>
      </c>
      <c r="M157" t="s">
        <v>76</v>
      </c>
      <c r="N157" t="s">
        <v>77</v>
      </c>
      <c r="O157" t="s">
        <v>669</v>
      </c>
      <c r="P157" t="s">
        <v>670</v>
      </c>
      <c r="Q157">
        <v>9</v>
      </c>
      <c r="R157" t="s">
        <v>115</v>
      </c>
      <c r="S157" t="s">
        <v>116</v>
      </c>
      <c r="T157" t="s">
        <v>156</v>
      </c>
      <c r="U157" s="2">
        <v>46139</v>
      </c>
      <c r="V157" t="s">
        <v>175</v>
      </c>
      <c r="W157" t="s">
        <v>83</v>
      </c>
      <c r="X157" t="s">
        <v>84</v>
      </c>
      <c r="Y157" t="s">
        <v>14</v>
      </c>
      <c r="Z157" t="s">
        <v>667</v>
      </c>
      <c r="AA157" t="s">
        <v>86</v>
      </c>
      <c r="AB157" t="s">
        <v>87</v>
      </c>
      <c r="AD157" s="3">
        <v>1141000003</v>
      </c>
      <c r="AE157" t="s">
        <v>778</v>
      </c>
      <c r="AF157" t="s">
        <v>142</v>
      </c>
      <c r="AG157" t="s">
        <v>159</v>
      </c>
      <c r="AH157">
        <v>9</v>
      </c>
      <c r="AI157">
        <v>46139</v>
      </c>
      <c r="AK157" t="s">
        <v>91</v>
      </c>
      <c r="AN157" s="2"/>
      <c r="AQ157" t="s">
        <v>779</v>
      </c>
      <c r="AR157" t="s">
        <v>780</v>
      </c>
      <c r="AS157" t="s">
        <v>94</v>
      </c>
      <c r="AT157" t="s">
        <v>95</v>
      </c>
      <c r="AU157" t="s">
        <v>96</v>
      </c>
      <c r="AV157" t="s">
        <v>781</v>
      </c>
      <c r="AW157" t="s">
        <v>119</v>
      </c>
      <c r="AX157" t="s">
        <v>98</v>
      </c>
      <c r="AY157" t="s">
        <v>159</v>
      </c>
      <c r="AZ157" s="2">
        <v>46175</v>
      </c>
      <c r="BA157" t="s">
        <v>110</v>
      </c>
      <c r="BB157" s="4"/>
      <c r="BD157" s="2"/>
      <c r="BE157" s="2"/>
      <c r="BF157">
        <v>9</v>
      </c>
      <c r="BH157">
        <v>9</v>
      </c>
      <c r="BI157" s="2"/>
      <c r="BK157">
        <v>9</v>
      </c>
      <c r="BL157" s="2"/>
      <c r="BO157" t="s">
        <v>111</v>
      </c>
      <c r="BP157" s="5">
        <v>1</v>
      </c>
    </row>
    <row r="158" spans="2:68">
      <c r="B158" t="s">
        <v>647</v>
      </c>
      <c r="C158" t="s">
        <v>287</v>
      </c>
      <c r="D158" t="s">
        <v>70</v>
      </c>
      <c r="E158" t="s">
        <v>71</v>
      </c>
      <c r="F158" t="s">
        <v>72</v>
      </c>
      <c r="G158" t="s">
        <v>73</v>
      </c>
      <c r="H158" s="2">
        <v>46129</v>
      </c>
      <c r="I158" s="2">
        <v>46142</v>
      </c>
      <c r="J158" t="s">
        <v>74</v>
      </c>
      <c r="K158" s="2">
        <v>46132</v>
      </c>
      <c r="L158" t="s">
        <v>75</v>
      </c>
      <c r="M158" t="s">
        <v>76</v>
      </c>
      <c r="N158" t="s">
        <v>77</v>
      </c>
      <c r="O158" t="s">
        <v>671</v>
      </c>
      <c r="P158" t="s">
        <v>672</v>
      </c>
      <c r="Q158">
        <v>11</v>
      </c>
      <c r="R158" t="s">
        <v>115</v>
      </c>
      <c r="S158" t="s">
        <v>116</v>
      </c>
      <c r="T158" t="s">
        <v>156</v>
      </c>
      <c r="U158">
        <v>46139</v>
      </c>
      <c r="V158" t="s">
        <v>175</v>
      </c>
      <c r="W158" t="s">
        <v>83</v>
      </c>
      <c r="X158" t="s">
        <v>84</v>
      </c>
      <c r="Y158" t="s">
        <v>14</v>
      </c>
      <c r="Z158" t="s">
        <v>667</v>
      </c>
      <c r="AA158" t="s">
        <v>86</v>
      </c>
      <c r="AB158" t="s">
        <v>87</v>
      </c>
      <c r="AD158" s="3">
        <v>1141000003</v>
      </c>
      <c r="AE158" t="s">
        <v>778</v>
      </c>
      <c r="AF158" t="s">
        <v>119</v>
      </c>
      <c r="AG158" t="s">
        <v>159</v>
      </c>
      <c r="AH158">
        <v>11</v>
      </c>
      <c r="AI158">
        <v>46139</v>
      </c>
      <c r="AK158" t="s">
        <v>91</v>
      </c>
      <c r="AQ158" t="s">
        <v>779</v>
      </c>
      <c r="AR158" t="s">
        <v>780</v>
      </c>
      <c r="AS158" t="s">
        <v>94</v>
      </c>
      <c r="AT158" t="s">
        <v>95</v>
      </c>
      <c r="AU158" t="s">
        <v>96</v>
      </c>
      <c r="AV158" t="s">
        <v>781</v>
      </c>
      <c r="AW158" t="s">
        <v>777</v>
      </c>
      <c r="AX158" t="s">
        <v>98</v>
      </c>
      <c r="AY158" t="s">
        <v>159</v>
      </c>
      <c r="AZ158">
        <v>46175</v>
      </c>
      <c r="BA158" t="s">
        <v>110</v>
      </c>
      <c r="BB158" s="4"/>
      <c r="BD158" s="2"/>
      <c r="BF158">
        <v>11</v>
      </c>
      <c r="BH158">
        <v>11</v>
      </c>
      <c r="BK158">
        <v>11</v>
      </c>
      <c r="BL158" s="2"/>
      <c r="BO158" t="s">
        <v>111</v>
      </c>
      <c r="BP158" s="5">
        <v>1</v>
      </c>
    </row>
    <row r="159" spans="2:68">
      <c r="B159" t="s">
        <v>647</v>
      </c>
      <c r="C159" t="s">
        <v>673</v>
      </c>
      <c r="D159" t="s">
        <v>70</v>
      </c>
      <c r="E159" t="s">
        <v>71</v>
      </c>
      <c r="F159" t="s">
        <v>72</v>
      </c>
      <c r="G159" t="s">
        <v>73</v>
      </c>
      <c r="H159" s="2">
        <v>46129</v>
      </c>
      <c r="I159" s="2">
        <v>46142</v>
      </c>
      <c r="J159" t="s">
        <v>74</v>
      </c>
      <c r="K159" s="2">
        <v>46132</v>
      </c>
      <c r="L159" t="s">
        <v>75</v>
      </c>
      <c r="M159" t="s">
        <v>76</v>
      </c>
      <c r="N159" t="s">
        <v>77</v>
      </c>
      <c r="O159" t="s">
        <v>674</v>
      </c>
      <c r="P159" t="s">
        <v>675</v>
      </c>
      <c r="Q159">
        <v>18</v>
      </c>
      <c r="R159" t="s">
        <v>115</v>
      </c>
      <c r="S159" t="s">
        <v>116</v>
      </c>
      <c r="T159" t="s">
        <v>156</v>
      </c>
      <c r="U159">
        <v>46139</v>
      </c>
      <c r="V159" t="s">
        <v>175</v>
      </c>
      <c r="W159" t="s">
        <v>83</v>
      </c>
      <c r="X159" t="s">
        <v>84</v>
      </c>
      <c r="Y159" t="s">
        <v>14</v>
      </c>
      <c r="Z159" t="s">
        <v>667</v>
      </c>
      <c r="AA159" t="s">
        <v>86</v>
      </c>
      <c r="AB159" t="s">
        <v>87</v>
      </c>
      <c r="AD159" s="3">
        <v>1141000003</v>
      </c>
      <c r="AE159" t="s">
        <v>778</v>
      </c>
      <c r="AF159" t="s">
        <v>777</v>
      </c>
      <c r="AG159" t="s">
        <v>159</v>
      </c>
      <c r="AH159">
        <v>18</v>
      </c>
      <c r="AI159">
        <v>46139</v>
      </c>
      <c r="AK159" t="s">
        <v>91</v>
      </c>
      <c r="AQ159" t="s">
        <v>779</v>
      </c>
      <c r="AR159" t="s">
        <v>780</v>
      </c>
      <c r="AS159" t="s">
        <v>94</v>
      </c>
      <c r="AT159" t="s">
        <v>95</v>
      </c>
      <c r="AU159" t="s">
        <v>96</v>
      </c>
      <c r="AV159" t="s">
        <v>781</v>
      </c>
      <c r="AW159" t="s">
        <v>782</v>
      </c>
      <c r="AX159" t="s">
        <v>98</v>
      </c>
      <c r="AY159" t="s">
        <v>159</v>
      </c>
      <c r="AZ159">
        <v>46175</v>
      </c>
      <c r="BA159" t="s">
        <v>110</v>
      </c>
      <c r="BB159" s="4"/>
      <c r="BD159" s="2"/>
      <c r="BF159">
        <v>18</v>
      </c>
      <c r="BH159">
        <v>18</v>
      </c>
      <c r="BK159">
        <v>18</v>
      </c>
      <c r="BL159" s="2"/>
      <c r="BO159" t="s">
        <v>111</v>
      </c>
      <c r="BP159" s="5">
        <v>1</v>
      </c>
    </row>
    <row r="160" spans="2:68">
      <c r="B160" t="s">
        <v>647</v>
      </c>
      <c r="C160" t="s">
        <v>676</v>
      </c>
      <c r="D160" t="s">
        <v>70</v>
      </c>
      <c r="E160" t="s">
        <v>71</v>
      </c>
      <c r="F160" t="s">
        <v>72</v>
      </c>
      <c r="G160" t="s">
        <v>73</v>
      </c>
      <c r="H160" s="2">
        <v>46129</v>
      </c>
      <c r="I160" s="2">
        <v>46142</v>
      </c>
      <c r="J160" t="s">
        <v>74</v>
      </c>
      <c r="K160" s="2">
        <v>46132</v>
      </c>
      <c r="L160" t="s">
        <v>75</v>
      </c>
      <c r="M160" t="s">
        <v>76</v>
      </c>
      <c r="N160" t="s">
        <v>77</v>
      </c>
      <c r="O160" t="s">
        <v>677</v>
      </c>
      <c r="P160" t="s">
        <v>678</v>
      </c>
      <c r="Q160">
        <v>15</v>
      </c>
      <c r="R160" t="s">
        <v>115</v>
      </c>
      <c r="S160" t="s">
        <v>116</v>
      </c>
      <c r="T160" t="s">
        <v>156</v>
      </c>
      <c r="U160">
        <v>46139</v>
      </c>
      <c r="V160" t="s">
        <v>175</v>
      </c>
      <c r="W160" t="s">
        <v>83</v>
      </c>
      <c r="X160" t="s">
        <v>84</v>
      </c>
      <c r="Y160" t="s">
        <v>14</v>
      </c>
      <c r="Z160" t="s">
        <v>667</v>
      </c>
      <c r="AA160" t="s">
        <v>86</v>
      </c>
      <c r="AB160" t="s">
        <v>87</v>
      </c>
      <c r="AD160" s="3">
        <v>1141000003</v>
      </c>
      <c r="AE160" t="s">
        <v>778</v>
      </c>
      <c r="AF160" t="s">
        <v>782</v>
      </c>
      <c r="AG160" t="s">
        <v>159</v>
      </c>
      <c r="AH160">
        <v>15</v>
      </c>
      <c r="AI160">
        <v>46139</v>
      </c>
      <c r="AK160" t="s">
        <v>91</v>
      </c>
      <c r="AQ160" t="s">
        <v>779</v>
      </c>
      <c r="AR160" t="s">
        <v>780</v>
      </c>
      <c r="AS160" t="s">
        <v>94</v>
      </c>
      <c r="AT160" t="s">
        <v>95</v>
      </c>
      <c r="AU160" t="s">
        <v>96</v>
      </c>
      <c r="AV160" t="s">
        <v>781</v>
      </c>
      <c r="AW160" t="s">
        <v>783</v>
      </c>
      <c r="AX160" t="s">
        <v>98</v>
      </c>
      <c r="AY160" t="s">
        <v>159</v>
      </c>
      <c r="AZ160">
        <v>46175</v>
      </c>
      <c r="BA160" t="s">
        <v>110</v>
      </c>
      <c r="BB160" s="4"/>
      <c r="BD160" s="2"/>
      <c r="BF160">
        <v>15</v>
      </c>
      <c r="BH160">
        <v>15</v>
      </c>
      <c r="BK160">
        <v>15</v>
      </c>
      <c r="BL160" s="2"/>
      <c r="BO160" t="s">
        <v>111</v>
      </c>
      <c r="BP160" s="5">
        <v>1</v>
      </c>
    </row>
    <row r="161" spans="2:68">
      <c r="B161" t="s">
        <v>647</v>
      </c>
      <c r="C161" t="s">
        <v>679</v>
      </c>
      <c r="D161" t="s">
        <v>70</v>
      </c>
      <c r="E161" t="s">
        <v>71</v>
      </c>
      <c r="F161" t="s">
        <v>72</v>
      </c>
      <c r="G161" t="s">
        <v>73</v>
      </c>
      <c r="H161" s="2">
        <v>46129</v>
      </c>
      <c r="I161" s="2">
        <v>46142</v>
      </c>
      <c r="J161" t="s">
        <v>74</v>
      </c>
      <c r="K161" s="2">
        <v>46132</v>
      </c>
      <c r="L161" t="s">
        <v>75</v>
      </c>
      <c r="M161" t="s">
        <v>76</v>
      </c>
      <c r="N161" t="s">
        <v>77</v>
      </c>
      <c r="O161" t="s">
        <v>680</v>
      </c>
      <c r="P161" t="s">
        <v>681</v>
      </c>
      <c r="Q161">
        <v>18</v>
      </c>
      <c r="R161" t="s">
        <v>115</v>
      </c>
      <c r="S161" t="s">
        <v>116</v>
      </c>
      <c r="T161" t="s">
        <v>156</v>
      </c>
      <c r="U161">
        <v>46139</v>
      </c>
      <c r="V161" t="s">
        <v>175</v>
      </c>
      <c r="W161" t="s">
        <v>83</v>
      </c>
      <c r="X161" t="s">
        <v>84</v>
      </c>
      <c r="Y161" t="s">
        <v>14</v>
      </c>
      <c r="Z161" t="s">
        <v>667</v>
      </c>
      <c r="AA161" t="s">
        <v>86</v>
      </c>
      <c r="AB161" t="s">
        <v>87</v>
      </c>
      <c r="AD161" s="3">
        <v>1141000003</v>
      </c>
      <c r="AE161" t="s">
        <v>778</v>
      </c>
      <c r="AF161" t="s">
        <v>783</v>
      </c>
      <c r="AG161" t="s">
        <v>159</v>
      </c>
      <c r="AH161">
        <v>18</v>
      </c>
      <c r="AI161">
        <v>46139</v>
      </c>
      <c r="AK161" t="s">
        <v>91</v>
      </c>
      <c r="AQ161" t="s">
        <v>779</v>
      </c>
      <c r="AR161" t="s">
        <v>780</v>
      </c>
      <c r="AS161" t="s">
        <v>94</v>
      </c>
      <c r="AT161" t="s">
        <v>95</v>
      </c>
      <c r="AU161" t="s">
        <v>96</v>
      </c>
      <c r="AV161" t="s">
        <v>781</v>
      </c>
      <c r="AW161" t="s">
        <v>210</v>
      </c>
      <c r="AX161" t="s">
        <v>98</v>
      </c>
      <c r="AY161" t="s">
        <v>159</v>
      </c>
      <c r="AZ161">
        <v>46175</v>
      </c>
      <c r="BA161" t="s">
        <v>110</v>
      </c>
      <c r="BB161" s="4"/>
      <c r="BD161" s="2"/>
      <c r="BF161">
        <v>18</v>
      </c>
      <c r="BH161">
        <v>18</v>
      </c>
      <c r="BK161">
        <v>18</v>
      </c>
      <c r="BL161" s="2"/>
      <c r="BO161" t="s">
        <v>111</v>
      </c>
      <c r="BP161" s="5">
        <v>1</v>
      </c>
    </row>
    <row r="162" spans="2:68">
      <c r="B162" t="s">
        <v>196</v>
      </c>
      <c r="C162" t="s">
        <v>204</v>
      </c>
      <c r="D162" t="s">
        <v>70</v>
      </c>
      <c r="E162" t="s">
        <v>71</v>
      </c>
      <c r="F162" t="s">
        <v>72</v>
      </c>
      <c r="G162" t="s">
        <v>73</v>
      </c>
      <c r="H162" s="2">
        <v>46056</v>
      </c>
      <c r="I162" s="2">
        <v>46106</v>
      </c>
      <c r="J162" t="s">
        <v>74</v>
      </c>
      <c r="K162" s="2">
        <v>46065</v>
      </c>
      <c r="L162" t="s">
        <v>75</v>
      </c>
      <c r="M162" t="s">
        <v>76</v>
      </c>
      <c r="N162" t="s">
        <v>77</v>
      </c>
      <c r="O162" t="s">
        <v>205</v>
      </c>
      <c r="P162" t="s">
        <v>206</v>
      </c>
      <c r="Q162">
        <v>100</v>
      </c>
      <c r="R162" t="s">
        <v>115</v>
      </c>
      <c r="S162" t="s">
        <v>116</v>
      </c>
      <c r="T162" t="s">
        <v>200</v>
      </c>
      <c r="U162">
        <v>46070</v>
      </c>
      <c r="V162" t="s">
        <v>98</v>
      </c>
      <c r="W162" t="s">
        <v>83</v>
      </c>
      <c r="X162" t="s">
        <v>84</v>
      </c>
      <c r="Y162" t="s">
        <v>14</v>
      </c>
      <c r="Z162" t="s">
        <v>185</v>
      </c>
      <c r="AA162" t="s">
        <v>86</v>
      </c>
      <c r="AB162" t="s">
        <v>87</v>
      </c>
      <c r="AD162" s="3">
        <v>1141000003</v>
      </c>
      <c r="AE162" t="s">
        <v>201</v>
      </c>
      <c r="AF162" t="s">
        <v>109</v>
      </c>
      <c r="AG162" t="s">
        <v>202</v>
      </c>
      <c r="AH162">
        <v>100</v>
      </c>
      <c r="AI162">
        <v>46070</v>
      </c>
      <c r="AK162" t="s">
        <v>91</v>
      </c>
      <c r="AQ162" t="s">
        <v>682</v>
      </c>
      <c r="AR162" t="s">
        <v>683</v>
      </c>
      <c r="AS162" t="s">
        <v>94</v>
      </c>
      <c r="AT162" t="s">
        <v>95</v>
      </c>
      <c r="AU162" t="s">
        <v>96</v>
      </c>
      <c r="AV162" t="s">
        <v>684</v>
      </c>
      <c r="AW162" t="s">
        <v>109</v>
      </c>
      <c r="AX162" t="s">
        <v>82</v>
      </c>
      <c r="AY162" t="s">
        <v>202</v>
      </c>
      <c r="AZ162">
        <v>46114</v>
      </c>
      <c r="BA162" t="s">
        <v>99</v>
      </c>
      <c r="BB162" s="4">
        <v>46119.392731481479</v>
      </c>
      <c r="BD162" s="2">
        <v>46135</v>
      </c>
      <c r="BE162">
        <v>46135</v>
      </c>
      <c r="BF162">
        <v>100</v>
      </c>
      <c r="BG162">
        <v>100</v>
      </c>
      <c r="BH162">
        <v>0</v>
      </c>
      <c r="BI162">
        <v>46191</v>
      </c>
      <c r="BJ162">
        <v>100</v>
      </c>
      <c r="BK162">
        <v>0</v>
      </c>
      <c r="BL162" s="2">
        <v>46191</v>
      </c>
      <c r="BO162" t="s">
        <v>100</v>
      </c>
      <c r="BP162" s="5">
        <v>1</v>
      </c>
    </row>
    <row r="163" spans="2:68">
      <c r="B163" t="s">
        <v>196</v>
      </c>
      <c r="C163" t="s">
        <v>197</v>
      </c>
      <c r="D163" t="s">
        <v>70</v>
      </c>
      <c r="E163" t="s">
        <v>71</v>
      </c>
      <c r="F163" t="s">
        <v>72</v>
      </c>
      <c r="G163" t="s">
        <v>73</v>
      </c>
      <c r="H163" s="2">
        <v>46056</v>
      </c>
      <c r="I163" s="2">
        <v>46106</v>
      </c>
      <c r="J163" t="s">
        <v>74</v>
      </c>
      <c r="K163" s="2">
        <v>46065</v>
      </c>
      <c r="L163" t="s">
        <v>75</v>
      </c>
      <c r="M163" t="s">
        <v>76</v>
      </c>
      <c r="N163" t="s">
        <v>77</v>
      </c>
      <c r="O163" t="s">
        <v>198</v>
      </c>
      <c r="P163" t="s">
        <v>199</v>
      </c>
      <c r="Q163">
        <v>100</v>
      </c>
      <c r="R163" t="s">
        <v>115</v>
      </c>
      <c r="S163" t="s">
        <v>116</v>
      </c>
      <c r="T163" t="s">
        <v>200</v>
      </c>
      <c r="U163" s="2">
        <v>46070</v>
      </c>
      <c r="V163" t="s">
        <v>98</v>
      </c>
      <c r="W163" t="s">
        <v>83</v>
      </c>
      <c r="X163" t="s">
        <v>84</v>
      </c>
      <c r="Y163" t="s">
        <v>14</v>
      </c>
      <c r="Z163" t="s">
        <v>185</v>
      </c>
      <c r="AA163" t="s">
        <v>86</v>
      </c>
      <c r="AB163" t="s">
        <v>87</v>
      </c>
      <c r="AD163" s="3">
        <v>1141000003</v>
      </c>
      <c r="AE163" t="s">
        <v>201</v>
      </c>
      <c r="AF163" t="s">
        <v>69</v>
      </c>
      <c r="AG163" t="s">
        <v>202</v>
      </c>
      <c r="AH163">
        <v>100</v>
      </c>
      <c r="AI163" s="2">
        <v>46070</v>
      </c>
      <c r="AK163" t="s">
        <v>91</v>
      </c>
      <c r="AQ163" t="s">
        <v>682</v>
      </c>
      <c r="AR163" t="s">
        <v>683</v>
      </c>
      <c r="AS163" t="s">
        <v>94</v>
      </c>
      <c r="AT163" t="s">
        <v>95</v>
      </c>
      <c r="AU163" t="s">
        <v>96</v>
      </c>
      <c r="AV163" t="s">
        <v>684</v>
      </c>
      <c r="AW163" t="s">
        <v>69</v>
      </c>
      <c r="AX163" t="s">
        <v>82</v>
      </c>
      <c r="AY163" t="s">
        <v>202</v>
      </c>
      <c r="AZ163">
        <v>46114</v>
      </c>
      <c r="BA163" t="s">
        <v>99</v>
      </c>
      <c r="BB163" s="4">
        <v>46119.392731481479</v>
      </c>
      <c r="BD163" s="2">
        <v>46135</v>
      </c>
      <c r="BE163">
        <v>46135</v>
      </c>
      <c r="BF163">
        <v>100</v>
      </c>
      <c r="BG163">
        <v>100</v>
      </c>
      <c r="BH163">
        <v>0</v>
      </c>
      <c r="BI163">
        <v>46191</v>
      </c>
      <c r="BJ163">
        <v>100</v>
      </c>
      <c r="BK163">
        <v>0</v>
      </c>
      <c r="BL163" s="2">
        <v>46191</v>
      </c>
      <c r="BO163" t="s">
        <v>100</v>
      </c>
      <c r="BP163" s="5">
        <v>1</v>
      </c>
    </row>
    <row r="164" spans="2:68">
      <c r="B164" t="s">
        <v>685</v>
      </c>
      <c r="C164" t="s">
        <v>109</v>
      </c>
      <c r="D164" t="s">
        <v>70</v>
      </c>
      <c r="E164" t="s">
        <v>71</v>
      </c>
      <c r="F164" t="s">
        <v>72</v>
      </c>
      <c r="G164" t="s">
        <v>73</v>
      </c>
      <c r="H164" s="2">
        <v>46113</v>
      </c>
      <c r="I164" s="2">
        <v>46126</v>
      </c>
      <c r="J164" t="s">
        <v>74</v>
      </c>
      <c r="K164" s="2">
        <v>46119</v>
      </c>
      <c r="L164" t="s">
        <v>75</v>
      </c>
      <c r="M164" t="s">
        <v>76</v>
      </c>
      <c r="N164" t="s">
        <v>77</v>
      </c>
      <c r="O164" t="s">
        <v>198</v>
      </c>
      <c r="P164" t="s">
        <v>199</v>
      </c>
      <c r="Q164">
        <v>100</v>
      </c>
      <c r="R164" t="s">
        <v>115</v>
      </c>
      <c r="S164" t="s">
        <v>116</v>
      </c>
      <c r="T164" t="s">
        <v>731</v>
      </c>
      <c r="U164" s="2">
        <v>46149</v>
      </c>
      <c r="V164" t="s">
        <v>98</v>
      </c>
      <c r="W164" t="s">
        <v>83</v>
      </c>
      <c r="X164" t="s">
        <v>84</v>
      </c>
      <c r="Y164" t="s">
        <v>14</v>
      </c>
      <c r="Z164" t="s">
        <v>185</v>
      </c>
      <c r="AA164" t="s">
        <v>86</v>
      </c>
      <c r="AB164" t="s">
        <v>87</v>
      </c>
      <c r="AD164" s="3">
        <v>1141000003</v>
      </c>
      <c r="AE164" t="s">
        <v>759</v>
      </c>
      <c r="AF164" t="s">
        <v>784</v>
      </c>
      <c r="AG164" t="s">
        <v>732</v>
      </c>
      <c r="AH164">
        <v>100</v>
      </c>
      <c r="AI164">
        <v>46149</v>
      </c>
      <c r="AK164" t="s">
        <v>91</v>
      </c>
      <c r="AN164" s="2"/>
      <c r="AQ164" t="s">
        <v>816</v>
      </c>
      <c r="AR164" t="s">
        <v>817</v>
      </c>
      <c r="AS164" t="s">
        <v>94</v>
      </c>
      <c r="AT164" t="s">
        <v>95</v>
      </c>
      <c r="AU164" t="s">
        <v>96</v>
      </c>
      <c r="AV164" t="s">
        <v>818</v>
      </c>
      <c r="AW164" t="s">
        <v>143</v>
      </c>
      <c r="AX164" t="s">
        <v>98</v>
      </c>
      <c r="AY164" t="s">
        <v>732</v>
      </c>
      <c r="AZ164" s="2">
        <v>46195</v>
      </c>
      <c r="BA164" t="s">
        <v>99</v>
      </c>
      <c r="BB164" s="4">
        <v>46195.581400462965</v>
      </c>
      <c r="BD164" s="2">
        <v>46198</v>
      </c>
      <c r="BE164" s="2">
        <v>46198</v>
      </c>
      <c r="BF164">
        <v>100</v>
      </c>
      <c r="BH164">
        <v>100</v>
      </c>
      <c r="BI164" s="2"/>
      <c r="BK164">
        <v>100</v>
      </c>
      <c r="BL164" s="2"/>
      <c r="BO164" t="s">
        <v>227</v>
      </c>
      <c r="BP164" s="5">
        <v>1</v>
      </c>
    </row>
    <row r="165" spans="2:68">
      <c r="B165" t="s">
        <v>144</v>
      </c>
      <c r="C165" t="s">
        <v>192</v>
      </c>
      <c r="D165" t="s">
        <v>70</v>
      </c>
      <c r="E165" t="s">
        <v>71</v>
      </c>
      <c r="F165" t="s">
        <v>72</v>
      </c>
      <c r="G165" t="s">
        <v>73</v>
      </c>
      <c r="H165" s="2">
        <v>45922</v>
      </c>
      <c r="I165" s="2">
        <v>45972</v>
      </c>
      <c r="J165" t="s">
        <v>74</v>
      </c>
      <c r="K165" s="2">
        <v>45922</v>
      </c>
      <c r="L165" t="s">
        <v>75</v>
      </c>
      <c r="M165" t="s">
        <v>76</v>
      </c>
      <c r="N165" t="s">
        <v>77</v>
      </c>
      <c r="O165" t="s">
        <v>193</v>
      </c>
      <c r="P165" t="s">
        <v>194</v>
      </c>
      <c r="Q165">
        <v>600</v>
      </c>
      <c r="R165" t="s">
        <v>115</v>
      </c>
      <c r="S165" t="s">
        <v>116</v>
      </c>
      <c r="T165" t="s">
        <v>184</v>
      </c>
      <c r="U165" s="2">
        <v>45791</v>
      </c>
      <c r="V165" t="s">
        <v>98</v>
      </c>
      <c r="W165" t="s">
        <v>35</v>
      </c>
      <c r="X165" t="s">
        <v>84</v>
      </c>
      <c r="Y165" t="s">
        <v>14</v>
      </c>
      <c r="Z165" t="s">
        <v>185</v>
      </c>
      <c r="AA165" t="s">
        <v>86</v>
      </c>
      <c r="AB165" t="s">
        <v>87</v>
      </c>
      <c r="AD165" s="3">
        <v>1141000001</v>
      </c>
      <c r="AI165" s="2"/>
      <c r="AJ165" t="s">
        <v>186</v>
      </c>
      <c r="AK165" t="s">
        <v>195</v>
      </c>
      <c r="AL165" t="s">
        <v>188</v>
      </c>
      <c r="AM165">
        <v>0</v>
      </c>
      <c r="AN165">
        <v>45791</v>
      </c>
      <c r="AO165" t="s">
        <v>99</v>
      </c>
      <c r="AQ165" t="s">
        <v>189</v>
      </c>
      <c r="AR165" t="s">
        <v>190</v>
      </c>
      <c r="AS165" t="s">
        <v>122</v>
      </c>
      <c r="AT165" t="s">
        <v>123</v>
      </c>
      <c r="AU165" t="s">
        <v>124</v>
      </c>
      <c r="AV165" t="s">
        <v>191</v>
      </c>
      <c r="AW165" t="s">
        <v>109</v>
      </c>
      <c r="AX165" t="s">
        <v>82</v>
      </c>
      <c r="AY165" t="s">
        <v>126</v>
      </c>
      <c r="AZ165" s="2">
        <v>45922</v>
      </c>
      <c r="BA165" t="s">
        <v>99</v>
      </c>
      <c r="BB165" s="4">
        <v>45922.698182870372</v>
      </c>
      <c r="BD165" s="2"/>
      <c r="BE165">
        <v>46012</v>
      </c>
      <c r="BF165">
        <v>600</v>
      </c>
      <c r="BG165">
        <v>600</v>
      </c>
      <c r="BH165">
        <v>0</v>
      </c>
      <c r="BI165">
        <v>46008</v>
      </c>
      <c r="BJ165">
        <v>600</v>
      </c>
      <c r="BK165">
        <v>0</v>
      </c>
      <c r="BL165" s="2">
        <v>46008</v>
      </c>
      <c r="BO165" t="s">
        <v>100</v>
      </c>
      <c r="BP165" s="5">
        <v>1</v>
      </c>
    </row>
    <row r="166" spans="2:68">
      <c r="B166" t="s">
        <v>144</v>
      </c>
      <c r="C166" t="s">
        <v>181</v>
      </c>
      <c r="D166" t="s">
        <v>70</v>
      </c>
      <c r="E166" t="s">
        <v>71</v>
      </c>
      <c r="F166" t="s">
        <v>72</v>
      </c>
      <c r="G166" t="s">
        <v>73</v>
      </c>
      <c r="H166" s="2">
        <v>45922</v>
      </c>
      <c r="I166" s="2">
        <v>45972</v>
      </c>
      <c r="J166" t="s">
        <v>74</v>
      </c>
      <c r="K166" s="2">
        <v>45922</v>
      </c>
      <c r="L166" t="s">
        <v>75</v>
      </c>
      <c r="M166" t="s">
        <v>76</v>
      </c>
      <c r="N166" t="s">
        <v>77</v>
      </c>
      <c r="O166" t="s">
        <v>182</v>
      </c>
      <c r="P166" t="s">
        <v>183</v>
      </c>
      <c r="Q166">
        <v>600</v>
      </c>
      <c r="R166" t="s">
        <v>115</v>
      </c>
      <c r="S166" t="s">
        <v>116</v>
      </c>
      <c r="T166" t="s">
        <v>184</v>
      </c>
      <c r="U166" s="2">
        <v>45791</v>
      </c>
      <c r="V166" t="s">
        <v>98</v>
      </c>
      <c r="W166" t="s">
        <v>35</v>
      </c>
      <c r="X166" t="s">
        <v>84</v>
      </c>
      <c r="Y166" t="s">
        <v>14</v>
      </c>
      <c r="Z166" t="s">
        <v>185</v>
      </c>
      <c r="AA166" t="s">
        <v>86</v>
      </c>
      <c r="AB166" t="s">
        <v>87</v>
      </c>
      <c r="AD166" s="3">
        <v>1141000001</v>
      </c>
      <c r="AI166" s="2"/>
      <c r="AJ166" t="s">
        <v>186</v>
      </c>
      <c r="AK166" t="s">
        <v>187</v>
      </c>
      <c r="AL166" t="s">
        <v>188</v>
      </c>
      <c r="AM166">
        <v>0</v>
      </c>
      <c r="AN166">
        <v>45791</v>
      </c>
      <c r="AO166" t="s">
        <v>99</v>
      </c>
      <c r="AQ166" t="s">
        <v>189</v>
      </c>
      <c r="AR166" t="s">
        <v>190</v>
      </c>
      <c r="AS166" t="s">
        <v>122</v>
      </c>
      <c r="AT166" t="s">
        <v>123</v>
      </c>
      <c r="AU166" t="s">
        <v>124</v>
      </c>
      <c r="AV166" t="s">
        <v>191</v>
      </c>
      <c r="AW166" t="s">
        <v>69</v>
      </c>
      <c r="AX166" t="s">
        <v>82</v>
      </c>
      <c r="AY166" t="s">
        <v>126</v>
      </c>
      <c r="AZ166" s="2">
        <v>45922</v>
      </c>
      <c r="BA166" t="s">
        <v>99</v>
      </c>
      <c r="BB166" s="4">
        <v>45922.698182870372</v>
      </c>
      <c r="BD166" s="2"/>
      <c r="BE166">
        <v>46012</v>
      </c>
      <c r="BF166">
        <v>600</v>
      </c>
      <c r="BG166">
        <v>600</v>
      </c>
      <c r="BH166">
        <v>0</v>
      </c>
      <c r="BI166" s="2">
        <v>46008</v>
      </c>
      <c r="BJ166">
        <v>600</v>
      </c>
      <c r="BK166">
        <v>0</v>
      </c>
      <c r="BL166" s="2">
        <v>46008</v>
      </c>
      <c r="BO166" t="s">
        <v>100</v>
      </c>
      <c r="BP166" s="5">
        <v>1</v>
      </c>
    </row>
    <row r="167" spans="2:68">
      <c r="B167" t="s">
        <v>685</v>
      </c>
      <c r="C167" t="s">
        <v>178</v>
      </c>
      <c r="D167" t="s">
        <v>70</v>
      </c>
      <c r="E167" t="s">
        <v>71</v>
      </c>
      <c r="F167" t="s">
        <v>72</v>
      </c>
      <c r="G167" t="s">
        <v>73</v>
      </c>
      <c r="H167" s="2">
        <v>46113</v>
      </c>
      <c r="I167" s="2">
        <v>46126</v>
      </c>
      <c r="J167" t="s">
        <v>74</v>
      </c>
      <c r="K167" s="2">
        <v>46119</v>
      </c>
      <c r="L167" t="s">
        <v>75</v>
      </c>
      <c r="M167" t="s">
        <v>76</v>
      </c>
      <c r="N167" t="s">
        <v>77</v>
      </c>
      <c r="O167" t="s">
        <v>686</v>
      </c>
      <c r="P167" t="s">
        <v>687</v>
      </c>
      <c r="Q167">
        <v>200</v>
      </c>
      <c r="R167" t="s">
        <v>115</v>
      </c>
      <c r="S167" t="s">
        <v>116</v>
      </c>
      <c r="T167" t="s">
        <v>200</v>
      </c>
      <c r="U167" s="2">
        <v>46171</v>
      </c>
      <c r="V167" t="s">
        <v>98</v>
      </c>
      <c r="W167" t="s">
        <v>83</v>
      </c>
      <c r="X167" t="s">
        <v>84</v>
      </c>
      <c r="Y167" t="s">
        <v>14</v>
      </c>
      <c r="Z167" t="s">
        <v>185</v>
      </c>
      <c r="AA167" t="s">
        <v>86</v>
      </c>
      <c r="AB167" t="s">
        <v>87</v>
      </c>
      <c r="AD167" s="3">
        <v>1141000003</v>
      </c>
      <c r="AE167" t="s">
        <v>797</v>
      </c>
      <c r="AF167" t="s">
        <v>178</v>
      </c>
      <c r="AG167" t="s">
        <v>202</v>
      </c>
      <c r="AH167">
        <v>200</v>
      </c>
      <c r="AI167" s="2">
        <v>46171</v>
      </c>
      <c r="AX167" t="s">
        <v>175</v>
      </c>
      <c r="AZ167" s="2"/>
      <c r="BB167" s="4"/>
      <c r="BD167" s="2"/>
      <c r="BE167" s="2"/>
      <c r="BI167" s="2"/>
      <c r="BL167" s="2"/>
      <c r="BO167" t="s">
        <v>203</v>
      </c>
      <c r="BP167" s="5">
        <v>1</v>
      </c>
    </row>
    <row r="168" spans="2:68">
      <c r="B168" t="s">
        <v>685</v>
      </c>
      <c r="C168" t="s">
        <v>143</v>
      </c>
      <c r="D168" t="s">
        <v>70</v>
      </c>
      <c r="E168" t="s">
        <v>71</v>
      </c>
      <c r="F168" t="s">
        <v>72</v>
      </c>
      <c r="G168" t="s">
        <v>73</v>
      </c>
      <c r="H168" s="2">
        <v>46113</v>
      </c>
      <c r="I168" s="2">
        <v>46126</v>
      </c>
      <c r="J168" t="s">
        <v>74</v>
      </c>
      <c r="K168" s="2">
        <v>46119</v>
      </c>
      <c r="L168" t="s">
        <v>75</v>
      </c>
      <c r="M168" t="s">
        <v>76</v>
      </c>
      <c r="N168" t="s">
        <v>77</v>
      </c>
      <c r="O168" t="s">
        <v>688</v>
      </c>
      <c r="P168" t="s">
        <v>689</v>
      </c>
      <c r="Q168">
        <v>100</v>
      </c>
      <c r="R168" t="s">
        <v>115</v>
      </c>
      <c r="S168" t="s">
        <v>116</v>
      </c>
      <c r="T168" t="s">
        <v>200</v>
      </c>
      <c r="U168" s="2">
        <v>46171</v>
      </c>
      <c r="V168" t="s">
        <v>98</v>
      </c>
      <c r="W168" t="s">
        <v>83</v>
      </c>
      <c r="X168" t="s">
        <v>84</v>
      </c>
      <c r="Y168" t="s">
        <v>14</v>
      </c>
      <c r="Z168" t="s">
        <v>185</v>
      </c>
      <c r="AA168" t="s">
        <v>86</v>
      </c>
      <c r="AB168" t="s">
        <v>87</v>
      </c>
      <c r="AD168" s="3">
        <v>1141000003</v>
      </c>
      <c r="AE168" t="s">
        <v>797</v>
      </c>
      <c r="AF168" t="s">
        <v>143</v>
      </c>
      <c r="AG168" t="s">
        <v>202</v>
      </c>
      <c r="AH168">
        <v>100</v>
      </c>
      <c r="AI168" s="2">
        <v>46171</v>
      </c>
      <c r="AX168" t="s">
        <v>175</v>
      </c>
      <c r="AZ168" s="2"/>
      <c r="BB168" s="4"/>
      <c r="BD168" s="2"/>
      <c r="BE168" s="2"/>
      <c r="BI168" s="2"/>
      <c r="BL168" s="2"/>
      <c r="BO168" t="s">
        <v>203</v>
      </c>
      <c r="BP168" s="5">
        <v>1</v>
      </c>
    </row>
    <row r="169" spans="2:68">
      <c r="B169" t="s">
        <v>685</v>
      </c>
      <c r="C169" t="s">
        <v>69</v>
      </c>
      <c r="D169" t="s">
        <v>70</v>
      </c>
      <c r="E169" t="s">
        <v>71</v>
      </c>
      <c r="F169" t="s">
        <v>72</v>
      </c>
      <c r="G169" t="s">
        <v>73</v>
      </c>
      <c r="H169" s="2">
        <v>46113</v>
      </c>
      <c r="I169" s="2">
        <v>46126</v>
      </c>
      <c r="J169" t="s">
        <v>74</v>
      </c>
      <c r="K169" s="2">
        <v>46119</v>
      </c>
      <c r="L169" t="s">
        <v>75</v>
      </c>
      <c r="M169" t="s">
        <v>76</v>
      </c>
      <c r="N169" t="s">
        <v>77</v>
      </c>
      <c r="O169" t="s">
        <v>690</v>
      </c>
      <c r="P169" t="s">
        <v>691</v>
      </c>
      <c r="Q169">
        <v>100</v>
      </c>
      <c r="R169" t="s">
        <v>115</v>
      </c>
      <c r="S169" t="s">
        <v>116</v>
      </c>
      <c r="T169" t="s">
        <v>200</v>
      </c>
      <c r="U169" s="2">
        <v>46171</v>
      </c>
      <c r="V169" t="s">
        <v>98</v>
      </c>
      <c r="W169" t="s">
        <v>83</v>
      </c>
      <c r="X169" t="s">
        <v>84</v>
      </c>
      <c r="Y169" t="s">
        <v>14</v>
      </c>
      <c r="Z169" t="s">
        <v>185</v>
      </c>
      <c r="AA169" t="s">
        <v>86</v>
      </c>
      <c r="AB169" t="s">
        <v>87</v>
      </c>
      <c r="AD169" s="3">
        <v>1141000003</v>
      </c>
      <c r="AE169" t="s">
        <v>797</v>
      </c>
      <c r="AF169" t="s">
        <v>69</v>
      </c>
      <c r="AG169" t="s">
        <v>202</v>
      </c>
      <c r="AH169">
        <v>100</v>
      </c>
      <c r="AI169">
        <v>46171</v>
      </c>
      <c r="AN169" s="2"/>
      <c r="AX169" t="s">
        <v>175</v>
      </c>
      <c r="AZ169" s="2"/>
      <c r="BB169" s="4"/>
      <c r="BD169" s="2"/>
      <c r="BE169" s="2"/>
      <c r="BI169" s="2"/>
      <c r="BL169" s="2"/>
      <c r="BO169" t="s">
        <v>203</v>
      </c>
      <c r="BP169" s="5">
        <v>1</v>
      </c>
    </row>
    <row r="170" spans="2:68">
      <c r="B170" t="s">
        <v>785</v>
      </c>
      <c r="C170" t="s">
        <v>109</v>
      </c>
      <c r="D170" t="s">
        <v>70</v>
      </c>
      <c r="E170" t="s">
        <v>71</v>
      </c>
      <c r="F170" t="s">
        <v>72</v>
      </c>
      <c r="G170" t="s">
        <v>762</v>
      </c>
      <c r="H170" s="2">
        <v>46168</v>
      </c>
      <c r="I170" s="2">
        <v>46168</v>
      </c>
      <c r="J170" t="s">
        <v>74</v>
      </c>
      <c r="K170" s="2">
        <v>46169</v>
      </c>
      <c r="L170" t="s">
        <v>75</v>
      </c>
      <c r="M170" t="s">
        <v>76</v>
      </c>
      <c r="N170" t="s">
        <v>77</v>
      </c>
      <c r="O170" t="s">
        <v>786</v>
      </c>
      <c r="P170" t="s">
        <v>787</v>
      </c>
      <c r="Q170">
        <v>10</v>
      </c>
      <c r="R170" t="s">
        <v>80</v>
      </c>
      <c r="S170" t="s">
        <v>116</v>
      </c>
      <c r="U170" s="2"/>
      <c r="V170" t="s">
        <v>98</v>
      </c>
      <c r="W170" t="s">
        <v>83</v>
      </c>
      <c r="X170" t="s">
        <v>84</v>
      </c>
      <c r="Y170" t="s">
        <v>14</v>
      </c>
      <c r="Z170" t="s">
        <v>148</v>
      </c>
      <c r="AA170" t="s">
        <v>86</v>
      </c>
      <c r="AB170" t="s">
        <v>87</v>
      </c>
      <c r="AD170" s="3">
        <v>1141000003</v>
      </c>
      <c r="AI170" s="2"/>
      <c r="AX170" t="s">
        <v>175</v>
      </c>
      <c r="AZ170" s="2"/>
      <c r="BB170" s="4"/>
      <c r="BD170" s="2"/>
      <c r="BE170" s="2"/>
      <c r="BI170" s="2"/>
      <c r="BL170" s="2"/>
      <c r="BO170" t="s">
        <v>180</v>
      </c>
      <c r="BP170" s="5">
        <v>1</v>
      </c>
    </row>
    <row r="171" spans="2:68">
      <c r="B171" t="s">
        <v>172</v>
      </c>
      <c r="C171" t="s">
        <v>109</v>
      </c>
      <c r="D171" t="s">
        <v>70</v>
      </c>
      <c r="E171" t="s">
        <v>71</v>
      </c>
      <c r="F171" t="s">
        <v>72</v>
      </c>
      <c r="G171" t="s">
        <v>73</v>
      </c>
      <c r="H171" s="2">
        <v>45855</v>
      </c>
      <c r="I171" s="2">
        <v>45855</v>
      </c>
      <c r="J171" t="s">
        <v>74</v>
      </c>
      <c r="K171" s="2">
        <v>45856</v>
      </c>
      <c r="L171" t="s">
        <v>75</v>
      </c>
      <c r="M171" t="s">
        <v>76</v>
      </c>
      <c r="N171" t="s">
        <v>77</v>
      </c>
      <c r="O171" t="s">
        <v>173</v>
      </c>
      <c r="P171" t="s">
        <v>174</v>
      </c>
      <c r="Q171">
        <v>10</v>
      </c>
      <c r="R171" t="s">
        <v>115</v>
      </c>
      <c r="S171" t="s">
        <v>116</v>
      </c>
      <c r="U171" s="2"/>
      <c r="V171" t="s">
        <v>98</v>
      </c>
      <c r="W171" t="s">
        <v>83</v>
      </c>
      <c r="X171" t="s">
        <v>84</v>
      </c>
      <c r="Y171" t="s">
        <v>14</v>
      </c>
      <c r="Z171" t="s">
        <v>117</v>
      </c>
      <c r="AA171" t="s">
        <v>86</v>
      </c>
      <c r="AB171" t="s">
        <v>87</v>
      </c>
      <c r="AD171" s="3">
        <v>1141000001</v>
      </c>
      <c r="AI171" s="2"/>
      <c r="AX171" t="s">
        <v>175</v>
      </c>
      <c r="AZ171" s="2"/>
      <c r="BB171" s="4"/>
      <c r="BD171" s="2"/>
      <c r="BE171" s="2"/>
      <c r="BI171" s="2"/>
      <c r="BL171" s="2"/>
      <c r="BO171" t="s">
        <v>176</v>
      </c>
      <c r="BP171" s="5">
        <v>1</v>
      </c>
    </row>
    <row r="172" spans="2:68">
      <c r="B172" t="s">
        <v>177</v>
      </c>
      <c r="C172" t="s">
        <v>178</v>
      </c>
      <c r="D172" t="s">
        <v>70</v>
      </c>
      <c r="E172" t="s">
        <v>71</v>
      </c>
      <c r="F172" t="s">
        <v>72</v>
      </c>
      <c r="G172" t="s">
        <v>179</v>
      </c>
      <c r="H172">
        <v>46090</v>
      </c>
      <c r="I172">
        <v>46128</v>
      </c>
      <c r="J172" t="s">
        <v>74</v>
      </c>
      <c r="K172">
        <v>46104</v>
      </c>
      <c r="L172" t="s">
        <v>75</v>
      </c>
      <c r="M172" t="s">
        <v>76</v>
      </c>
      <c r="N172" t="s">
        <v>77</v>
      </c>
      <c r="O172" t="s">
        <v>173</v>
      </c>
      <c r="P172" t="s">
        <v>174</v>
      </c>
      <c r="Q172">
        <v>10</v>
      </c>
      <c r="R172" t="s">
        <v>115</v>
      </c>
      <c r="S172" t="s">
        <v>116</v>
      </c>
      <c r="T172" t="s">
        <v>716</v>
      </c>
      <c r="U172">
        <v>46178</v>
      </c>
      <c r="V172" t="s">
        <v>98</v>
      </c>
      <c r="W172" t="s">
        <v>83</v>
      </c>
      <c r="X172" t="s">
        <v>84</v>
      </c>
      <c r="Y172" t="s">
        <v>14</v>
      </c>
      <c r="Z172" t="s">
        <v>117</v>
      </c>
      <c r="AA172" t="s">
        <v>86</v>
      </c>
      <c r="AB172" t="s">
        <v>87</v>
      </c>
      <c r="AD172">
        <v>1141000003</v>
      </c>
      <c r="AE172" t="s">
        <v>827</v>
      </c>
      <c r="AF172" t="s">
        <v>109</v>
      </c>
      <c r="AG172" t="s">
        <v>718</v>
      </c>
      <c r="AH172">
        <v>10</v>
      </c>
      <c r="AI172">
        <v>46178</v>
      </c>
      <c r="AX172" t="s">
        <v>175</v>
      </c>
      <c r="BO172" t="s">
        <v>203</v>
      </c>
      <c r="BP172">
        <v>1</v>
      </c>
    </row>
    <row r="173" spans="2:68">
      <c r="B173" t="s">
        <v>112</v>
      </c>
      <c r="C173" t="s">
        <v>69</v>
      </c>
      <c r="D173" t="s">
        <v>70</v>
      </c>
      <c r="E173" t="s">
        <v>71</v>
      </c>
      <c r="F173" t="s">
        <v>72</v>
      </c>
      <c r="G173" t="s">
        <v>73</v>
      </c>
      <c r="H173">
        <v>45961</v>
      </c>
      <c r="I173">
        <v>45999</v>
      </c>
      <c r="J173" t="s">
        <v>74</v>
      </c>
      <c r="K173">
        <v>45964</v>
      </c>
      <c r="L173" t="s">
        <v>75</v>
      </c>
      <c r="M173" t="s">
        <v>76</v>
      </c>
      <c r="N173" t="s">
        <v>77</v>
      </c>
      <c r="O173" t="s">
        <v>163</v>
      </c>
      <c r="P173" t="s">
        <v>164</v>
      </c>
      <c r="Q173">
        <v>20</v>
      </c>
      <c r="R173" t="s">
        <v>115</v>
      </c>
      <c r="S173" t="s">
        <v>13</v>
      </c>
      <c r="T173" t="s">
        <v>102</v>
      </c>
      <c r="U173">
        <v>45897</v>
      </c>
      <c r="V173" t="s">
        <v>82</v>
      </c>
      <c r="W173" t="s">
        <v>35</v>
      </c>
      <c r="X173" t="s">
        <v>84</v>
      </c>
      <c r="Y173" t="s">
        <v>14</v>
      </c>
      <c r="Z173" t="s">
        <v>165</v>
      </c>
      <c r="AA173" t="s">
        <v>86</v>
      </c>
      <c r="AB173" t="s">
        <v>87</v>
      </c>
      <c r="AD173">
        <v>1141000003</v>
      </c>
      <c r="AJ173" t="s">
        <v>166</v>
      </c>
      <c r="AK173" t="s">
        <v>167</v>
      </c>
      <c r="AL173" t="s">
        <v>105</v>
      </c>
      <c r="AM173">
        <v>0</v>
      </c>
      <c r="AN173">
        <v>45897</v>
      </c>
      <c r="AO173" t="s">
        <v>99</v>
      </c>
      <c r="AQ173" t="s">
        <v>168</v>
      </c>
      <c r="AR173" t="s">
        <v>169</v>
      </c>
      <c r="AS173" t="s">
        <v>122</v>
      </c>
      <c r="AT173" t="s">
        <v>123</v>
      </c>
      <c r="AU173" t="s">
        <v>124</v>
      </c>
      <c r="AV173" t="s">
        <v>170</v>
      </c>
      <c r="AW173" t="s">
        <v>109</v>
      </c>
      <c r="AX173" t="s">
        <v>82</v>
      </c>
      <c r="AY173" t="s">
        <v>171</v>
      </c>
      <c r="AZ173">
        <v>45964</v>
      </c>
      <c r="BA173" t="s">
        <v>99</v>
      </c>
      <c r="BB173">
        <v>45972.373981481483</v>
      </c>
      <c r="BE173">
        <v>46007</v>
      </c>
      <c r="BF173">
        <v>20</v>
      </c>
      <c r="BG173">
        <v>20</v>
      </c>
      <c r="BH173">
        <v>0</v>
      </c>
      <c r="BI173">
        <v>45995</v>
      </c>
      <c r="BJ173">
        <v>20</v>
      </c>
      <c r="BK173">
        <v>0</v>
      </c>
      <c r="BL173">
        <v>45995</v>
      </c>
      <c r="BO173" t="s">
        <v>100</v>
      </c>
      <c r="BP173">
        <v>1</v>
      </c>
    </row>
    <row r="174" spans="2:68">
      <c r="B174" t="s">
        <v>153</v>
      </c>
      <c r="C174" t="s">
        <v>109</v>
      </c>
      <c r="D174" t="s">
        <v>70</v>
      </c>
      <c r="E174" t="s">
        <v>71</v>
      </c>
      <c r="F174" t="s">
        <v>72</v>
      </c>
      <c r="G174" t="s">
        <v>73</v>
      </c>
      <c r="H174">
        <v>45754</v>
      </c>
      <c r="I174">
        <v>45754</v>
      </c>
      <c r="J174" t="s">
        <v>74</v>
      </c>
      <c r="K174">
        <v>45785</v>
      </c>
      <c r="L174" t="s">
        <v>75</v>
      </c>
      <c r="M174" t="s">
        <v>76</v>
      </c>
      <c r="N174" t="s">
        <v>77</v>
      </c>
      <c r="O174" t="s">
        <v>154</v>
      </c>
      <c r="P174" t="s">
        <v>155</v>
      </c>
      <c r="Q174">
        <v>4</v>
      </c>
      <c r="R174" t="s">
        <v>80</v>
      </c>
      <c r="S174" t="s">
        <v>116</v>
      </c>
      <c r="T174" t="s">
        <v>156</v>
      </c>
      <c r="U174">
        <v>45789</v>
      </c>
      <c r="V174" t="s">
        <v>98</v>
      </c>
      <c r="W174" t="s">
        <v>83</v>
      </c>
      <c r="X174" t="s">
        <v>84</v>
      </c>
      <c r="Y174" t="s">
        <v>14</v>
      </c>
      <c r="Z174" t="s">
        <v>157</v>
      </c>
      <c r="AA174" t="s">
        <v>86</v>
      </c>
      <c r="AB174" t="s">
        <v>87</v>
      </c>
      <c r="AD174">
        <v>1141000003</v>
      </c>
      <c r="AE174" t="s">
        <v>158</v>
      </c>
      <c r="AF174" t="s">
        <v>109</v>
      </c>
      <c r="AG174" t="s">
        <v>159</v>
      </c>
      <c r="AH174">
        <v>4</v>
      </c>
      <c r="AI174">
        <v>45789</v>
      </c>
      <c r="AK174" t="s">
        <v>91</v>
      </c>
      <c r="AQ174" t="s">
        <v>160</v>
      </c>
      <c r="AR174" t="s">
        <v>161</v>
      </c>
      <c r="AS174" t="s">
        <v>94</v>
      </c>
      <c r="AT174" t="s">
        <v>95</v>
      </c>
      <c r="AU174" t="s">
        <v>96</v>
      </c>
      <c r="AV174" t="s">
        <v>162</v>
      </c>
      <c r="AW174" t="s">
        <v>109</v>
      </c>
      <c r="AX174" t="s">
        <v>82</v>
      </c>
      <c r="AY174" t="s">
        <v>159</v>
      </c>
      <c r="AZ174">
        <v>45793</v>
      </c>
      <c r="BA174" t="s">
        <v>110</v>
      </c>
      <c r="BF174">
        <v>4</v>
      </c>
      <c r="BH174">
        <v>4</v>
      </c>
      <c r="BK174">
        <v>4</v>
      </c>
      <c r="BO174" t="s">
        <v>111</v>
      </c>
      <c r="BP174">
        <v>1</v>
      </c>
    </row>
    <row r="175" spans="2:68">
      <c r="B175" t="s">
        <v>144</v>
      </c>
      <c r="C175" t="s">
        <v>145</v>
      </c>
      <c r="D175" t="s">
        <v>70</v>
      </c>
      <c r="E175" t="s">
        <v>71</v>
      </c>
      <c r="F175" t="s">
        <v>72</v>
      </c>
      <c r="G175" t="s">
        <v>73</v>
      </c>
      <c r="H175">
        <v>45922</v>
      </c>
      <c r="I175">
        <v>45929</v>
      </c>
      <c r="J175" t="s">
        <v>74</v>
      </c>
      <c r="K175">
        <v>45922</v>
      </c>
      <c r="L175" t="s">
        <v>75</v>
      </c>
      <c r="M175" t="s">
        <v>76</v>
      </c>
      <c r="N175" t="s">
        <v>77</v>
      </c>
      <c r="O175" t="s">
        <v>146</v>
      </c>
      <c r="P175" t="s">
        <v>147</v>
      </c>
      <c r="Q175">
        <v>10</v>
      </c>
      <c r="R175" t="s">
        <v>115</v>
      </c>
      <c r="S175" t="s">
        <v>116</v>
      </c>
      <c r="T175" t="s">
        <v>132</v>
      </c>
      <c r="U175">
        <v>45925</v>
      </c>
      <c r="V175" t="s">
        <v>98</v>
      </c>
      <c r="W175" t="s">
        <v>83</v>
      </c>
      <c r="X175" t="s">
        <v>84</v>
      </c>
      <c r="Y175" t="s">
        <v>14</v>
      </c>
      <c r="Z175" t="s">
        <v>148</v>
      </c>
      <c r="AA175" t="s">
        <v>86</v>
      </c>
      <c r="AB175" t="s">
        <v>87</v>
      </c>
      <c r="AD175">
        <v>1141000001</v>
      </c>
      <c r="AE175" t="s">
        <v>149</v>
      </c>
      <c r="AF175" t="s">
        <v>104</v>
      </c>
      <c r="AG175" t="s">
        <v>136</v>
      </c>
      <c r="AH175">
        <v>10</v>
      </c>
      <c r="AI175">
        <v>45925</v>
      </c>
      <c r="AK175" t="s">
        <v>91</v>
      </c>
      <c r="AQ175" t="s">
        <v>150</v>
      </c>
      <c r="AR175" t="s">
        <v>151</v>
      </c>
      <c r="AS175" t="s">
        <v>94</v>
      </c>
      <c r="AT175" t="s">
        <v>95</v>
      </c>
      <c r="AU175" t="s">
        <v>96</v>
      </c>
      <c r="AV175" t="s">
        <v>152</v>
      </c>
      <c r="AW175" t="s">
        <v>109</v>
      </c>
      <c r="AX175" t="s">
        <v>82</v>
      </c>
      <c r="AY175" t="s">
        <v>136</v>
      </c>
      <c r="AZ175">
        <v>45932</v>
      </c>
      <c r="BA175" t="s">
        <v>99</v>
      </c>
      <c r="BB175">
        <v>45932.353900462964</v>
      </c>
      <c r="BD175">
        <v>45953</v>
      </c>
      <c r="BF175">
        <v>10</v>
      </c>
      <c r="BG175">
        <v>10</v>
      </c>
      <c r="BH175">
        <v>0</v>
      </c>
      <c r="BI175">
        <v>45996</v>
      </c>
      <c r="BJ175">
        <v>10</v>
      </c>
      <c r="BK175">
        <v>0</v>
      </c>
      <c r="BL175">
        <v>45996</v>
      </c>
      <c r="BO175" t="s">
        <v>100</v>
      </c>
      <c r="BP175">
        <v>1</v>
      </c>
    </row>
    <row r="176" spans="2:68">
      <c r="B176" t="s">
        <v>127</v>
      </c>
      <c r="C176" t="s">
        <v>128</v>
      </c>
      <c r="D176" t="s">
        <v>70</v>
      </c>
      <c r="E176" t="s">
        <v>71</v>
      </c>
      <c r="F176" t="s">
        <v>72</v>
      </c>
      <c r="G176" t="s">
        <v>129</v>
      </c>
      <c r="H176">
        <v>45659</v>
      </c>
      <c r="I176">
        <v>45713</v>
      </c>
      <c r="J176" t="s">
        <v>74</v>
      </c>
      <c r="K176">
        <v>45663</v>
      </c>
      <c r="L176" t="s">
        <v>75</v>
      </c>
      <c r="M176" t="s">
        <v>76</v>
      </c>
      <c r="N176" t="s">
        <v>77</v>
      </c>
      <c r="O176" t="s">
        <v>130</v>
      </c>
      <c r="P176" t="s">
        <v>131</v>
      </c>
      <c r="Q176">
        <v>2</v>
      </c>
      <c r="R176" t="s">
        <v>115</v>
      </c>
      <c r="S176" t="s">
        <v>116</v>
      </c>
      <c r="T176" t="s">
        <v>132</v>
      </c>
      <c r="U176">
        <v>45686</v>
      </c>
      <c r="V176" t="s">
        <v>98</v>
      </c>
      <c r="W176" t="s">
        <v>83</v>
      </c>
      <c r="X176" t="s">
        <v>84</v>
      </c>
      <c r="Y176" t="s">
        <v>14</v>
      </c>
      <c r="Z176" t="s">
        <v>133</v>
      </c>
      <c r="AA176" t="s">
        <v>86</v>
      </c>
      <c r="AB176" t="s">
        <v>87</v>
      </c>
      <c r="AD176">
        <v>1141000003</v>
      </c>
      <c r="AE176" t="s">
        <v>134</v>
      </c>
      <c r="AF176" t="s">
        <v>135</v>
      </c>
      <c r="AG176" t="s">
        <v>136</v>
      </c>
      <c r="AH176">
        <v>2</v>
      </c>
      <c r="AI176">
        <v>45686</v>
      </c>
      <c r="AK176" t="s">
        <v>91</v>
      </c>
      <c r="AQ176" t="s">
        <v>137</v>
      </c>
      <c r="AR176" t="s">
        <v>138</v>
      </c>
      <c r="AS176" t="s">
        <v>94</v>
      </c>
      <c r="AT176" t="s">
        <v>95</v>
      </c>
      <c r="AU176" t="s">
        <v>96</v>
      </c>
      <c r="AV176" t="s">
        <v>139</v>
      </c>
      <c r="AW176" t="s">
        <v>140</v>
      </c>
      <c r="AX176" t="s">
        <v>82</v>
      </c>
      <c r="AY176" t="s">
        <v>136</v>
      </c>
      <c r="AZ176">
        <v>45699</v>
      </c>
      <c r="BA176" t="s">
        <v>99</v>
      </c>
      <c r="BB176">
        <v>45700.952997685185</v>
      </c>
      <c r="BD176">
        <v>45716</v>
      </c>
      <c r="BE176">
        <v>45716</v>
      </c>
      <c r="BF176">
        <v>2</v>
      </c>
      <c r="BG176">
        <v>2</v>
      </c>
      <c r="BH176">
        <v>0</v>
      </c>
      <c r="BI176">
        <v>45783</v>
      </c>
      <c r="BJ176">
        <v>2</v>
      </c>
      <c r="BK176">
        <v>0</v>
      </c>
      <c r="BL176">
        <v>45783</v>
      </c>
      <c r="BO176" t="s">
        <v>100</v>
      </c>
      <c r="BP176">
        <v>1</v>
      </c>
    </row>
    <row r="177" spans="2:68">
      <c r="B177" t="s">
        <v>127</v>
      </c>
      <c r="C177" t="s">
        <v>141</v>
      </c>
      <c r="D177" t="s">
        <v>70</v>
      </c>
      <c r="E177" t="s">
        <v>71</v>
      </c>
      <c r="F177" t="s">
        <v>72</v>
      </c>
      <c r="G177" t="s">
        <v>129</v>
      </c>
      <c r="H177">
        <v>45659</v>
      </c>
      <c r="I177">
        <v>45682</v>
      </c>
      <c r="J177" t="s">
        <v>74</v>
      </c>
      <c r="K177">
        <v>45663</v>
      </c>
      <c r="L177" t="s">
        <v>75</v>
      </c>
      <c r="M177" t="s">
        <v>76</v>
      </c>
      <c r="N177" t="s">
        <v>77</v>
      </c>
      <c r="O177" t="s">
        <v>130</v>
      </c>
      <c r="P177" t="s">
        <v>131</v>
      </c>
      <c r="Q177">
        <v>2</v>
      </c>
      <c r="R177" t="s">
        <v>115</v>
      </c>
      <c r="S177" t="s">
        <v>116</v>
      </c>
      <c r="T177" t="s">
        <v>132</v>
      </c>
      <c r="U177">
        <v>45686</v>
      </c>
      <c r="V177" t="s">
        <v>98</v>
      </c>
      <c r="W177" t="s">
        <v>83</v>
      </c>
      <c r="X177" t="s">
        <v>84</v>
      </c>
      <c r="Y177" t="s">
        <v>14</v>
      </c>
      <c r="Z177" t="s">
        <v>133</v>
      </c>
      <c r="AA177" t="s">
        <v>86</v>
      </c>
      <c r="AB177" t="s">
        <v>87</v>
      </c>
      <c r="AD177">
        <v>1141000003</v>
      </c>
      <c r="AE177" t="s">
        <v>134</v>
      </c>
      <c r="AF177" t="s">
        <v>142</v>
      </c>
      <c r="AG177" t="s">
        <v>136</v>
      </c>
      <c r="AH177">
        <v>2</v>
      </c>
      <c r="AI177">
        <v>45686</v>
      </c>
      <c r="AK177" t="s">
        <v>91</v>
      </c>
      <c r="AQ177" t="s">
        <v>137</v>
      </c>
      <c r="AR177" t="s">
        <v>138</v>
      </c>
      <c r="AS177" t="s">
        <v>94</v>
      </c>
      <c r="AT177" t="s">
        <v>95</v>
      </c>
      <c r="AU177" t="s">
        <v>96</v>
      </c>
      <c r="AV177" t="s">
        <v>139</v>
      </c>
      <c r="AW177" t="s">
        <v>143</v>
      </c>
      <c r="AX177" t="s">
        <v>82</v>
      </c>
      <c r="AY177" t="s">
        <v>136</v>
      </c>
      <c r="AZ177">
        <v>45699</v>
      </c>
      <c r="BA177" t="s">
        <v>99</v>
      </c>
      <c r="BB177">
        <v>45700.952997685185</v>
      </c>
      <c r="BD177">
        <v>45716</v>
      </c>
      <c r="BE177">
        <v>45716</v>
      </c>
      <c r="BF177">
        <v>2</v>
      </c>
      <c r="BG177">
        <v>2</v>
      </c>
      <c r="BH177">
        <v>0</v>
      </c>
      <c r="BI177">
        <v>45783</v>
      </c>
      <c r="BJ177">
        <v>2</v>
      </c>
      <c r="BK177">
        <v>0</v>
      </c>
      <c r="BL177">
        <v>45783</v>
      </c>
      <c r="BO177" t="s">
        <v>100</v>
      </c>
      <c r="BP177">
        <v>1</v>
      </c>
    </row>
    <row r="178" spans="2:68">
      <c r="B178" t="s">
        <v>112</v>
      </c>
      <c r="C178" t="s">
        <v>109</v>
      </c>
      <c r="D178" t="s">
        <v>70</v>
      </c>
      <c r="E178" t="s">
        <v>71</v>
      </c>
      <c r="F178" t="s">
        <v>72</v>
      </c>
      <c r="G178" t="s">
        <v>73</v>
      </c>
      <c r="H178">
        <v>45961</v>
      </c>
      <c r="I178">
        <v>45999</v>
      </c>
      <c r="J178" t="s">
        <v>74</v>
      </c>
      <c r="K178">
        <v>45964</v>
      </c>
      <c r="L178" t="s">
        <v>75</v>
      </c>
      <c r="M178" t="s">
        <v>76</v>
      </c>
      <c r="N178" t="s">
        <v>77</v>
      </c>
      <c r="O178" t="s">
        <v>113</v>
      </c>
      <c r="P178" t="s">
        <v>114</v>
      </c>
      <c r="Q178">
        <v>7</v>
      </c>
      <c r="R178" t="s">
        <v>115</v>
      </c>
      <c r="S178" t="s">
        <v>13</v>
      </c>
      <c r="T178" t="s">
        <v>230</v>
      </c>
      <c r="U178">
        <v>45615</v>
      </c>
      <c r="V178" t="s">
        <v>98</v>
      </c>
      <c r="W178" t="s">
        <v>35</v>
      </c>
      <c r="X178" t="s">
        <v>84</v>
      </c>
      <c r="Y178" t="s">
        <v>14</v>
      </c>
      <c r="Z178" t="s">
        <v>117</v>
      </c>
      <c r="AA178" t="s">
        <v>86</v>
      </c>
      <c r="AB178" t="s">
        <v>87</v>
      </c>
      <c r="AD178">
        <v>1141000001</v>
      </c>
      <c r="AJ178" t="s">
        <v>118</v>
      </c>
      <c r="AK178" t="s">
        <v>119</v>
      </c>
      <c r="AL178" t="s">
        <v>232</v>
      </c>
      <c r="AM178">
        <v>0</v>
      </c>
      <c r="AN178">
        <v>45615</v>
      </c>
      <c r="AO178" t="s">
        <v>99</v>
      </c>
      <c r="AQ178" t="s">
        <v>120</v>
      </c>
      <c r="AR178" t="s">
        <v>121</v>
      </c>
      <c r="AS178" t="s">
        <v>122</v>
      </c>
      <c r="AT178" t="s">
        <v>123</v>
      </c>
      <c r="AU178" t="s">
        <v>124</v>
      </c>
      <c r="AV178" t="s">
        <v>125</v>
      </c>
      <c r="AW178" t="s">
        <v>109</v>
      </c>
      <c r="AX178" t="s">
        <v>82</v>
      </c>
      <c r="AY178" t="s">
        <v>126</v>
      </c>
      <c r="AZ178">
        <v>45964</v>
      </c>
      <c r="BA178" t="s">
        <v>99</v>
      </c>
      <c r="BB178">
        <v>45964.654710648145</v>
      </c>
      <c r="BE178">
        <v>46052</v>
      </c>
      <c r="BF178">
        <v>7</v>
      </c>
      <c r="BG178">
        <v>7</v>
      </c>
      <c r="BH178">
        <v>0</v>
      </c>
      <c r="BI178">
        <v>46023</v>
      </c>
      <c r="BJ178">
        <v>7</v>
      </c>
      <c r="BK178">
        <v>0</v>
      </c>
      <c r="BL178">
        <v>46023</v>
      </c>
      <c r="BO178" t="s">
        <v>100</v>
      </c>
      <c r="BP178">
        <v>1</v>
      </c>
    </row>
    <row r="179" spans="2:68">
      <c r="B179" t="s">
        <v>68</v>
      </c>
      <c r="C179" t="s">
        <v>69</v>
      </c>
      <c r="D179" t="s">
        <v>70</v>
      </c>
      <c r="E179" t="s">
        <v>71</v>
      </c>
      <c r="F179" t="s">
        <v>72</v>
      </c>
      <c r="G179" t="s">
        <v>73</v>
      </c>
      <c r="H179">
        <v>46024</v>
      </c>
      <c r="I179">
        <v>46038</v>
      </c>
      <c r="J179" t="s">
        <v>74</v>
      </c>
      <c r="K179">
        <v>46027</v>
      </c>
      <c r="L179" t="s">
        <v>75</v>
      </c>
      <c r="M179" t="s">
        <v>76</v>
      </c>
      <c r="N179" t="s">
        <v>77</v>
      </c>
      <c r="O179" t="s">
        <v>78</v>
      </c>
      <c r="P179" t="s">
        <v>79</v>
      </c>
      <c r="Q179">
        <v>10</v>
      </c>
      <c r="R179" t="s">
        <v>80</v>
      </c>
      <c r="S179" t="s">
        <v>13</v>
      </c>
      <c r="T179" t="s">
        <v>81</v>
      </c>
      <c r="U179">
        <v>46029</v>
      </c>
      <c r="V179" t="s">
        <v>82</v>
      </c>
      <c r="W179" t="s">
        <v>83</v>
      </c>
      <c r="X179" t="s">
        <v>84</v>
      </c>
      <c r="Y179" t="s">
        <v>14</v>
      </c>
      <c r="Z179" t="s">
        <v>85</v>
      </c>
      <c r="AA179" t="s">
        <v>86</v>
      </c>
      <c r="AB179" t="s">
        <v>87</v>
      </c>
      <c r="AD179">
        <v>1141000001</v>
      </c>
      <c r="AE179" t="s">
        <v>88</v>
      </c>
      <c r="AF179" t="s">
        <v>89</v>
      </c>
      <c r="AG179" t="s">
        <v>90</v>
      </c>
      <c r="AH179">
        <v>10</v>
      </c>
      <c r="AI179">
        <v>46029</v>
      </c>
      <c r="AK179" t="s">
        <v>91</v>
      </c>
      <c r="AQ179" t="s">
        <v>92</v>
      </c>
      <c r="AR179" t="s">
        <v>93</v>
      </c>
      <c r="AS179" t="s">
        <v>94</v>
      </c>
      <c r="AT179" t="s">
        <v>95</v>
      </c>
      <c r="AU179" t="s">
        <v>96</v>
      </c>
      <c r="AV179" t="s">
        <v>97</v>
      </c>
      <c r="AW179" t="s">
        <v>69</v>
      </c>
      <c r="AX179" t="s">
        <v>98</v>
      </c>
      <c r="AY179" t="s">
        <v>90</v>
      </c>
      <c r="AZ179">
        <v>46038</v>
      </c>
      <c r="BA179" t="s">
        <v>99</v>
      </c>
      <c r="BB179">
        <v>46041.315520833334</v>
      </c>
      <c r="BD179">
        <v>46073</v>
      </c>
      <c r="BE179">
        <v>46073</v>
      </c>
      <c r="BF179">
        <v>10</v>
      </c>
      <c r="BG179">
        <v>10</v>
      </c>
      <c r="BH179">
        <v>0</v>
      </c>
      <c r="BI179">
        <v>46044</v>
      </c>
      <c r="BJ179">
        <v>10</v>
      </c>
      <c r="BK179">
        <v>0</v>
      </c>
      <c r="BL179">
        <v>46044</v>
      </c>
      <c r="BO179" t="s">
        <v>100</v>
      </c>
      <c r="BP179">
        <v>1</v>
      </c>
    </row>
    <row r="180" spans="2:68">
      <c r="B180" t="s">
        <v>101</v>
      </c>
      <c r="C180" t="s">
        <v>69</v>
      </c>
      <c r="D180" t="s">
        <v>70</v>
      </c>
      <c r="E180" t="s">
        <v>71</v>
      </c>
      <c r="F180" t="s">
        <v>72</v>
      </c>
      <c r="G180" t="s">
        <v>73</v>
      </c>
      <c r="H180">
        <v>46073</v>
      </c>
      <c r="I180">
        <v>46134</v>
      </c>
      <c r="J180" t="s">
        <v>74</v>
      </c>
      <c r="K180">
        <v>46076</v>
      </c>
      <c r="L180" t="s">
        <v>75</v>
      </c>
      <c r="M180" t="s">
        <v>76</v>
      </c>
      <c r="N180" t="s">
        <v>77</v>
      </c>
      <c r="O180" t="s">
        <v>78</v>
      </c>
      <c r="P180" t="s">
        <v>79</v>
      </c>
      <c r="Q180">
        <v>10</v>
      </c>
      <c r="R180" t="s">
        <v>80</v>
      </c>
      <c r="S180" t="s">
        <v>13</v>
      </c>
      <c r="T180" t="s">
        <v>102</v>
      </c>
      <c r="U180">
        <v>46078</v>
      </c>
      <c r="V180" t="s">
        <v>82</v>
      </c>
      <c r="W180" t="s">
        <v>83</v>
      </c>
      <c r="X180" t="s">
        <v>84</v>
      </c>
      <c r="Y180" t="s">
        <v>14</v>
      </c>
      <c r="Z180" t="s">
        <v>85</v>
      </c>
      <c r="AA180" t="s">
        <v>86</v>
      </c>
      <c r="AB180" t="s">
        <v>87</v>
      </c>
      <c r="AD180">
        <v>1141000001</v>
      </c>
      <c r="AE180" t="s">
        <v>103</v>
      </c>
      <c r="AF180" t="s">
        <v>104</v>
      </c>
      <c r="AG180" t="s">
        <v>105</v>
      </c>
      <c r="AH180">
        <v>10</v>
      </c>
      <c r="AI180">
        <v>46078</v>
      </c>
      <c r="AK180" t="s">
        <v>91</v>
      </c>
      <c r="AQ180" t="s">
        <v>106</v>
      </c>
      <c r="AR180" t="s">
        <v>107</v>
      </c>
      <c r="AS180" t="s">
        <v>94</v>
      </c>
      <c r="AT180" t="s">
        <v>95</v>
      </c>
      <c r="AU180" t="s">
        <v>96</v>
      </c>
      <c r="AV180" t="s">
        <v>108</v>
      </c>
      <c r="AW180" t="s">
        <v>109</v>
      </c>
      <c r="AX180" t="s">
        <v>98</v>
      </c>
      <c r="AY180" t="s">
        <v>105</v>
      </c>
      <c r="AZ180">
        <v>46084</v>
      </c>
      <c r="BA180" t="s">
        <v>99</v>
      </c>
      <c r="BB180">
        <v>46119.404733796298</v>
      </c>
      <c r="BD180">
        <v>46140</v>
      </c>
      <c r="BE180">
        <v>46140</v>
      </c>
      <c r="BF180">
        <v>10</v>
      </c>
      <c r="BG180">
        <v>10</v>
      </c>
      <c r="BH180">
        <v>0</v>
      </c>
      <c r="BI180">
        <v>46128</v>
      </c>
      <c r="BJ180">
        <v>10</v>
      </c>
      <c r="BK180">
        <v>0</v>
      </c>
      <c r="BL180">
        <v>46128</v>
      </c>
      <c r="BO180" t="s">
        <v>100</v>
      </c>
      <c r="BP180">
        <v>1</v>
      </c>
    </row>
  </sheetData>
  <autoFilter ref="A1:BP180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02.07</vt:lpstr>
      <vt:lpstr>08.06</vt:lpstr>
      <vt:lpstr>27.04</vt:lpstr>
      <vt:lpstr>01.06</vt:lpstr>
      <vt:lpstr>Pedidos projetos</vt:lpstr>
      <vt:lpstr>Dash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Victor dos Santos</cp:lastModifiedBy>
  <dcterms:created xsi:type="dcterms:W3CDTF">2026-06-08T11:36:00Z</dcterms:created>
  <dcterms:modified xsi:type="dcterms:W3CDTF">2026-07-10T18:33:57Z</dcterms:modified>
</cp:coreProperties>
</file>