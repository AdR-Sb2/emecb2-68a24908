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codeName="EstaPastaDeTrabalho"/>
  <mc:AlternateContent xmlns:mc="http://schemas.openxmlformats.org/markup-compatibility/2006">
    <mc:Choice Requires="x15">
      <x15ac:absPath xmlns:x15ac="http://schemas.microsoft.com/office/spreadsheetml/2010/11/ac" url="https://aegeactl.sharepoint.com/sites/ELETROMECANICABXD2/Shared Documents/General/"/>
    </mc:Choice>
  </mc:AlternateContent>
  <xr:revisionPtr revIDLastSave="0" documentId="8_{6C8869C2-334D-4EE4-A7D4-619E2D4994AD}" xr6:coauthVersionLast="47" xr6:coauthVersionMax="47" xr10:uidLastSave="{00000000-0000-0000-0000-000000000000}"/>
  <bookViews>
    <workbookView xWindow="-110" yWindow="-110" windowWidth="19420" windowHeight="11500" firstSheet="2" activeTab="2" xr2:uid="{00000000-000D-0000-FFFF-FFFF00000000}"/>
  </bookViews>
  <sheets>
    <sheet name="COORDENADAS" sheetId="7" state="hidden" r:id="rId1"/>
    <sheet name="NOVAS ELEVATÓRIAS" sheetId="5" state="hidden" r:id="rId2"/>
    <sheet name="RELAÇÃO DE ELEVATÓRIAS" sheetId="1" r:id="rId3"/>
    <sheet name="Planilha1" sheetId="11" r:id="rId4"/>
    <sheet name="RELAÇÃO BOOSTERS" sheetId="10" r:id="rId5"/>
    <sheet name="INFORMATIVO" sheetId="4" state="hidden" r:id="rId6"/>
    <sheet name="INDICADORES" sheetId="6" state="hidden" r:id="rId7"/>
    <sheet name="RELAÇÃO ANTIGA" sheetId="3" state="hidden" r:id="rId8"/>
    <sheet name="Dados Elevatórias" sheetId="2" state="hidden" r:id="rId9"/>
    <sheet name="Automação" sheetId="8" r:id="rId10"/>
    <sheet name="Medições" sheetId="9" r:id="rId11"/>
  </sheets>
  <definedNames>
    <definedName name="_xlnm._FilterDatabase" localSheetId="9" hidden="1">Automação!$A$1:$N$120</definedName>
    <definedName name="_xlnm._FilterDatabase" localSheetId="0" hidden="1">COORDENADAS!$A$1:$C$1</definedName>
    <definedName name="_xlnm._FilterDatabase" localSheetId="8" hidden="1">'Dados Elevatórias'!$A$4:$K$330</definedName>
    <definedName name="_xlnm._FilterDatabase" localSheetId="3" hidden="1">Planilha1!$A$1:$C$1</definedName>
    <definedName name="_xlnm._FilterDatabase" localSheetId="7" hidden="1">'RELAÇÃO ANTIGA'!$A$5:$CP$130</definedName>
    <definedName name="_xlnm._FilterDatabase" localSheetId="2" hidden="1">'RELAÇÃO DE ELEVATÓRIAS'!$A$2:$CE$162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11" l="1"/>
  <c r="C51" i="11"/>
  <c r="C36" i="11"/>
  <c r="C64" i="11"/>
  <c r="C52" i="11"/>
  <c r="C33" i="11"/>
  <c r="C58" i="11"/>
  <c r="C109" i="11"/>
  <c r="C53" i="11"/>
  <c r="C48" i="11"/>
  <c r="C71" i="11"/>
  <c r="C15" i="11"/>
  <c r="C50" i="11"/>
  <c r="C20" i="11"/>
  <c r="C5" i="11"/>
  <c r="C96" i="11"/>
  <c r="C23" i="11"/>
  <c r="C93" i="11"/>
  <c r="C82" i="11"/>
  <c r="C81" i="11"/>
  <c r="C112" i="11"/>
  <c r="C43" i="11"/>
  <c r="C68" i="11"/>
  <c r="C91" i="11"/>
  <c r="C79" i="11"/>
  <c r="C94" i="11"/>
  <c r="C97" i="11"/>
  <c r="C30" i="11"/>
  <c r="C92" i="11"/>
  <c r="C75" i="11"/>
  <c r="C26" i="11"/>
  <c r="C56" i="11"/>
  <c r="C42" i="11"/>
  <c r="C47" i="11"/>
  <c r="C31" i="11"/>
  <c r="C28" i="11"/>
  <c r="C119" i="11"/>
  <c r="C27" i="11"/>
  <c r="C32" i="11"/>
  <c r="C45" i="11"/>
  <c r="C54" i="11"/>
  <c r="C70" i="11"/>
  <c r="C78" i="11"/>
  <c r="C110" i="11"/>
  <c r="C95" i="11"/>
  <c r="C35" i="11"/>
  <c r="C44" i="11"/>
  <c r="C88" i="11"/>
  <c r="C73" i="11"/>
  <c r="C22" i="11"/>
  <c r="C57" i="11"/>
  <c r="C114" i="11"/>
  <c r="C115" i="11"/>
  <c r="C19" i="11"/>
  <c r="C18" i="11"/>
  <c r="C16" i="11"/>
  <c r="C72" i="11"/>
  <c r="C14" i="11"/>
  <c r="C12" i="11"/>
  <c r="C11" i="11"/>
  <c r="C10" i="11"/>
  <c r="C34" i="11"/>
  <c r="C29" i="11"/>
  <c r="C111" i="11"/>
  <c r="C13" i="11"/>
  <c r="C66" i="11"/>
  <c r="C90" i="11"/>
  <c r="C85" i="11"/>
  <c r="C46" i="11"/>
  <c r="C9" i="11"/>
  <c r="C65" i="11"/>
  <c r="C49" i="11"/>
  <c r="C63" i="11"/>
  <c r="C8" i="11"/>
  <c r="C21" i="11"/>
  <c r="C17" i="11"/>
  <c r="C62" i="11"/>
  <c r="C83" i="11"/>
  <c r="C55" i="11"/>
  <c r="C59" i="11"/>
  <c r="C41" i="11"/>
  <c r="C40" i="11"/>
  <c r="C122" i="11"/>
  <c r="C121" i="11"/>
  <c r="C24" i="11"/>
  <c r="C7" i="11"/>
  <c r="C117" i="11"/>
  <c r="C6" i="11"/>
  <c r="C84" i="11"/>
  <c r="C120" i="11"/>
  <c r="C89" i="11"/>
  <c r="C74" i="11"/>
  <c r="C87" i="11"/>
  <c r="C67" i="11"/>
  <c r="C86" i="11"/>
  <c r="C25" i="11"/>
  <c r="C80" i="11"/>
  <c r="C39" i="11"/>
  <c r="C99" i="11"/>
  <c r="C100" i="11"/>
  <c r="C76" i="11"/>
  <c r="C113" i="11"/>
  <c r="C118" i="11"/>
  <c r="C116" i="11"/>
  <c r="C60" i="11"/>
  <c r="C106" i="11"/>
  <c r="C98" i="11"/>
  <c r="C69" i="11"/>
  <c r="C77" i="11"/>
  <c r="C61" i="11"/>
  <c r="C103" i="11"/>
  <c r="C101" i="11"/>
  <c r="C102" i="11"/>
  <c r="C104" i="11"/>
  <c r="C107" i="11"/>
  <c r="C105" i="11"/>
  <c r="C108" i="11"/>
  <c r="C37" i="11"/>
  <c r="B22" i="10"/>
  <c r="B21" i="10"/>
  <c r="B20" i="10"/>
  <c r="B19" i="10"/>
  <c r="B18" i="10"/>
  <c r="B17" i="10"/>
  <c r="B16" i="10"/>
  <c r="B15" i="10"/>
  <c r="B14" i="10"/>
  <c r="B13" i="10"/>
  <c r="B12" i="10"/>
  <c r="B11" i="10"/>
  <c r="B10" i="10"/>
  <c r="B9" i="10"/>
  <c r="B8" i="10"/>
  <c r="B7" i="10"/>
  <c r="B6" i="10"/>
  <c r="B5" i="10"/>
  <c r="B4" i="10"/>
  <c r="B3" i="10"/>
  <c r="B2" i="10"/>
  <c r="B113" i="1"/>
  <c r="B89" i="1"/>
  <c r="E103" i="1"/>
  <c r="B72" i="1"/>
  <c r="B9" i="1"/>
  <c r="I102" i="1"/>
  <c r="J102" i="1"/>
  <c r="I103" i="1"/>
  <c r="J103" i="1"/>
  <c r="I110" i="1"/>
  <c r="J110" i="1"/>
  <c r="I120" i="1"/>
  <c r="J120" i="1"/>
  <c r="I121" i="1"/>
  <c r="J121" i="1"/>
  <c r="I122" i="1"/>
  <c r="J122" i="1"/>
  <c r="I124" i="1"/>
  <c r="J124" i="1"/>
  <c r="I125" i="1"/>
  <c r="J125" i="1"/>
  <c r="I126" i="1"/>
  <c r="J126" i="1"/>
  <c r="I129" i="1"/>
  <c r="J129" i="1"/>
  <c r="I130" i="1"/>
  <c r="J130" i="1"/>
  <c r="I131" i="1"/>
  <c r="J131" i="1"/>
  <c r="J38" i="1"/>
  <c r="I38" i="1"/>
  <c r="B52" i="1"/>
  <c r="B87" i="1"/>
  <c r="B68" i="1"/>
  <c r="B104" i="1"/>
  <c r="B58" i="3"/>
  <c r="B112" i="3"/>
  <c r="L128" i="1"/>
  <c r="B128" i="1"/>
  <c r="H128" i="1" s="1"/>
  <c r="B36" i="1"/>
  <c r="J10" i="6"/>
  <c r="G10" i="6"/>
  <c r="C128" i="1" l="1"/>
  <c r="I36" i="1"/>
  <c r="J36" i="1"/>
  <c r="I128" i="1"/>
  <c r="J128" i="1"/>
  <c r="I104" i="1"/>
  <c r="J104" i="1"/>
  <c r="I68" i="1"/>
  <c r="J68" i="1"/>
  <c r="I87" i="1"/>
  <c r="J87" i="1"/>
  <c r="I52" i="1"/>
  <c r="J52" i="1"/>
  <c r="D1" i="6"/>
  <c r="C1" i="6"/>
  <c r="B1" i="6"/>
  <c r="A1" i="6"/>
  <c r="C120" i="1"/>
  <c r="E1" i="6" l="1"/>
  <c r="F10" i="6" s="1"/>
  <c r="AN3" i="1" l="1"/>
  <c r="B3" i="1"/>
  <c r="H3" i="1" l="1"/>
  <c r="J3" i="1"/>
  <c r="I3" i="1"/>
  <c r="C3" i="1"/>
  <c r="B10" i="1" l="1"/>
  <c r="B108" i="1"/>
  <c r="B130" i="3"/>
  <c r="B129" i="3"/>
  <c r="B128" i="3"/>
  <c r="B127" i="3"/>
  <c r="B126" i="3"/>
  <c r="B125" i="3"/>
  <c r="B124" i="3"/>
  <c r="B123" i="3"/>
  <c r="B122" i="3"/>
  <c r="B121" i="3"/>
  <c r="B120" i="3"/>
  <c r="B119" i="3"/>
  <c r="B118" i="3"/>
  <c r="B117" i="3"/>
  <c r="B116" i="3"/>
  <c r="B115" i="3"/>
  <c r="B114" i="3"/>
  <c r="B113" i="3"/>
  <c r="B110" i="3"/>
  <c r="B108" i="3"/>
  <c r="B107" i="3"/>
  <c r="B106" i="3"/>
  <c r="B105" i="3"/>
  <c r="B104" i="3"/>
  <c r="B103" i="3"/>
  <c r="B100" i="3"/>
  <c r="B96" i="3"/>
  <c r="B95" i="3"/>
  <c r="B78" i="3"/>
  <c r="B77" i="3"/>
  <c r="B76" i="3"/>
  <c r="B75" i="3"/>
  <c r="B74" i="3"/>
  <c r="B73" i="3"/>
  <c r="B70" i="3"/>
  <c r="B69" i="3"/>
  <c r="B68" i="3"/>
  <c r="B67" i="3"/>
  <c r="B66" i="3"/>
  <c r="B65" i="3"/>
  <c r="B64" i="3"/>
  <c r="B63" i="3"/>
  <c r="B62" i="3"/>
  <c r="B61" i="3"/>
  <c r="B60" i="3"/>
  <c r="B59" i="3"/>
  <c r="B57" i="3"/>
  <c r="B54" i="3"/>
  <c r="B53" i="3"/>
  <c r="B52" i="3"/>
  <c r="B49" i="3"/>
  <c r="B48" i="3"/>
  <c r="B47" i="3"/>
  <c r="B46" i="3"/>
  <c r="B45" i="3"/>
  <c r="B44" i="3"/>
  <c r="B43" i="3"/>
  <c r="B42" i="3"/>
  <c r="B40" i="3"/>
  <c r="B39" i="3"/>
  <c r="B38" i="3"/>
  <c r="B37" i="3"/>
  <c r="B36" i="3"/>
  <c r="B35" i="3"/>
  <c r="B34" i="3"/>
  <c r="B33" i="3"/>
  <c r="B32" i="3"/>
  <c r="B31" i="3"/>
  <c r="B30" i="3"/>
  <c r="B29" i="3"/>
  <c r="B28" i="3"/>
  <c r="B27" i="3"/>
  <c r="B26" i="3"/>
  <c r="B25" i="3"/>
  <c r="B24" i="3"/>
  <c r="B23" i="3"/>
  <c r="B22" i="3"/>
  <c r="B21" i="3"/>
  <c r="B20" i="3"/>
  <c r="B19" i="3"/>
  <c r="B18" i="3"/>
  <c r="B15" i="3"/>
  <c r="B14" i="3"/>
  <c r="B13" i="3"/>
  <c r="B12" i="3"/>
  <c r="B11" i="3"/>
  <c r="B10" i="3"/>
  <c r="B9" i="3"/>
  <c r="B8" i="3"/>
  <c r="B7" i="3"/>
  <c r="B6" i="3"/>
  <c r="L31" i="1"/>
  <c r="L29" i="1"/>
  <c r="L30" i="1"/>
  <c r="L33" i="1"/>
  <c r="L38" i="1"/>
  <c r="L39" i="1"/>
  <c r="L44" i="1"/>
  <c r="L47" i="1"/>
  <c r="L48" i="1"/>
  <c r="L49" i="1"/>
  <c r="L50" i="1"/>
  <c r="L51" i="1"/>
  <c r="L52" i="1"/>
  <c r="L54" i="1"/>
  <c r="L55" i="1"/>
  <c r="L56" i="1"/>
  <c r="L57" i="1"/>
  <c r="L58" i="1"/>
  <c r="L60" i="1"/>
  <c r="L62" i="1"/>
  <c r="L63" i="1"/>
  <c r="L66" i="1"/>
  <c r="L67" i="1"/>
  <c r="L70" i="1"/>
  <c r="L72" i="1"/>
  <c r="L73" i="1"/>
  <c r="L74" i="1"/>
  <c r="L75" i="1"/>
  <c r="L76" i="1"/>
  <c r="L77" i="1"/>
  <c r="L80" i="1"/>
  <c r="L90" i="1"/>
  <c r="L92" i="1"/>
  <c r="L93" i="1"/>
  <c r="L94" i="1"/>
  <c r="L95" i="1"/>
  <c r="L96" i="1"/>
  <c r="L101" i="1"/>
  <c r="L99" i="1"/>
  <c r="L100" i="1"/>
  <c r="L112" i="1"/>
  <c r="L115" i="1"/>
  <c r="L119" i="1"/>
  <c r="L64" i="1"/>
  <c r="L118" i="1"/>
  <c r="L41" i="1"/>
  <c r="L53" i="1"/>
  <c r="L9" i="1"/>
  <c r="AN97" i="1"/>
  <c r="AN114" i="1"/>
  <c r="AN117" i="1"/>
  <c r="AN113" i="1"/>
  <c r="AN108" i="1"/>
  <c r="AN77" i="1"/>
  <c r="AN76" i="1"/>
  <c r="AN75" i="1"/>
  <c r="AN74" i="1"/>
  <c r="AN73" i="1"/>
  <c r="AN72" i="1"/>
  <c r="AN70" i="1"/>
  <c r="AN67" i="1"/>
  <c r="AN66" i="1"/>
  <c r="AN50" i="1"/>
  <c r="AN51" i="1"/>
  <c r="AN52" i="1"/>
  <c r="AN54" i="1"/>
  <c r="AN55" i="1"/>
  <c r="AN56" i="1"/>
  <c r="AN57" i="1"/>
  <c r="AN62" i="1"/>
  <c r="AN63" i="1"/>
  <c r="AN5" i="1"/>
  <c r="AN7" i="1"/>
  <c r="AN9" i="1"/>
  <c r="AN31" i="1"/>
  <c r="AN29" i="1"/>
  <c r="AN80" i="1"/>
  <c r="AN82" i="1"/>
  <c r="AN83" i="1"/>
  <c r="AN90" i="1"/>
  <c r="AN92" i="1"/>
  <c r="AN93" i="1"/>
  <c r="AN94" i="1"/>
  <c r="AN95" i="1"/>
  <c r="AN96" i="1"/>
  <c r="AN101" i="1"/>
  <c r="AN99" i="1"/>
  <c r="AN100" i="1"/>
  <c r="AN112" i="1"/>
  <c r="AN115" i="1"/>
  <c r="AN119" i="1"/>
  <c r="AN116" i="1"/>
  <c r="AN84" i="1"/>
  <c r="AN35" i="1"/>
  <c r="AN42" i="1"/>
  <c r="AN61" i="1"/>
  <c r="AN85" i="1"/>
  <c r="AN109" i="1"/>
  <c r="AN13" i="1"/>
  <c r="AN14" i="1"/>
  <c r="AN15" i="1"/>
  <c r="AN43" i="1"/>
  <c r="AN45" i="1"/>
  <c r="AN34" i="1"/>
  <c r="AN4" i="1"/>
  <c r="B4" i="1"/>
  <c r="B5" i="1"/>
  <c r="B6" i="1"/>
  <c r="B13" i="1"/>
  <c r="B14" i="1"/>
  <c r="B37" i="1"/>
  <c r="B81" i="1"/>
  <c r="B42" i="1"/>
  <c r="B61" i="1"/>
  <c r="B85" i="1"/>
  <c r="B109" i="1"/>
  <c r="B97" i="1"/>
  <c r="B32" i="1"/>
  <c r="B15" i="1"/>
  <c r="B43" i="1"/>
  <c r="B45" i="1"/>
  <c r="B34" i="1"/>
  <c r="B40" i="1"/>
  <c r="B7" i="1"/>
  <c r="B98" i="1"/>
  <c r="B8" i="1"/>
  <c r="B31" i="1"/>
  <c r="B29" i="1"/>
  <c r="B16" i="1"/>
  <c r="B17" i="1"/>
  <c r="B18" i="1"/>
  <c r="B30" i="1"/>
  <c r="B33" i="1"/>
  <c r="B39" i="1"/>
  <c r="B44" i="1"/>
  <c r="B47" i="1"/>
  <c r="B48" i="1"/>
  <c r="B49" i="1"/>
  <c r="B50" i="1"/>
  <c r="B51" i="1"/>
  <c r="C52" i="1"/>
  <c r="B54" i="1"/>
  <c r="B55" i="1"/>
  <c r="B56" i="1"/>
  <c r="B57" i="1"/>
  <c r="B58" i="1"/>
  <c r="B60" i="1"/>
  <c r="B62" i="1"/>
  <c r="B63" i="1"/>
  <c r="B65" i="1"/>
  <c r="B66" i="1"/>
  <c r="B67" i="1"/>
  <c r="B70" i="1"/>
  <c r="B73" i="1"/>
  <c r="B74" i="1"/>
  <c r="B75" i="1"/>
  <c r="B76" i="1"/>
  <c r="B77" i="1"/>
  <c r="B78" i="1"/>
  <c r="B79" i="1"/>
  <c r="B80" i="1"/>
  <c r="B82" i="1"/>
  <c r="B83" i="1"/>
  <c r="B91" i="1"/>
  <c r="B90" i="1"/>
  <c r="B92" i="1"/>
  <c r="B93" i="1"/>
  <c r="B94" i="1"/>
  <c r="B95" i="1"/>
  <c r="B96" i="1"/>
  <c r="B101" i="1"/>
  <c r="B99" i="1"/>
  <c r="B100" i="1"/>
  <c r="C104" i="1"/>
  <c r="B105" i="1"/>
  <c r="B112" i="1"/>
  <c r="B115" i="1"/>
  <c r="B117" i="1"/>
  <c r="B119" i="1"/>
  <c r="B86" i="1"/>
  <c r="C87" i="1"/>
  <c r="B88" i="1"/>
  <c r="B21" i="1"/>
  <c r="B22" i="1"/>
  <c r="B23" i="1"/>
  <c r="B24" i="1"/>
  <c r="B25" i="1"/>
  <c r="B26" i="1"/>
  <c r="B27" i="1"/>
  <c r="B28" i="1"/>
  <c r="B11" i="1"/>
  <c r="B12" i="1"/>
  <c r="B19" i="1"/>
  <c r="B20" i="1"/>
  <c r="B111" i="1"/>
  <c r="C68" i="1"/>
  <c r="B69" i="1"/>
  <c r="B53" i="1"/>
  <c r="B106" i="1"/>
  <c r="B107" i="1"/>
  <c r="B116" i="1"/>
  <c r="B114" i="1"/>
  <c r="B64" i="1"/>
  <c r="B84" i="1"/>
  <c r="B118" i="1"/>
  <c r="B41" i="1"/>
  <c r="B35" i="1"/>
  <c r="B46" i="1"/>
  <c r="B59" i="1"/>
  <c r="B71" i="1"/>
  <c r="C71" i="1" l="1"/>
  <c r="I71" i="1"/>
  <c r="J71" i="1"/>
  <c r="C59" i="1"/>
  <c r="I59" i="1"/>
  <c r="J59" i="1"/>
  <c r="C46" i="1"/>
  <c r="I46" i="1"/>
  <c r="J46" i="1"/>
  <c r="C35" i="1"/>
  <c r="I35" i="1"/>
  <c r="J35" i="1"/>
  <c r="C41" i="1"/>
  <c r="I41" i="1"/>
  <c r="J41" i="1"/>
  <c r="C118" i="1"/>
  <c r="I118" i="1"/>
  <c r="J118" i="1"/>
  <c r="C84" i="1"/>
  <c r="I84" i="1"/>
  <c r="J84" i="1"/>
  <c r="C64" i="1"/>
  <c r="I64" i="1"/>
  <c r="J64" i="1"/>
  <c r="C114" i="1"/>
  <c r="I114" i="1"/>
  <c r="J114" i="1"/>
  <c r="C116" i="1"/>
  <c r="I116" i="1"/>
  <c r="J116" i="1"/>
  <c r="C107" i="1"/>
  <c r="I107" i="1"/>
  <c r="J107" i="1"/>
  <c r="C106" i="1"/>
  <c r="I106" i="1"/>
  <c r="J106" i="1"/>
  <c r="C53" i="1"/>
  <c r="I53" i="1"/>
  <c r="J53" i="1"/>
  <c r="C69" i="1"/>
  <c r="I69" i="1"/>
  <c r="J69" i="1"/>
  <c r="C111" i="1"/>
  <c r="I111" i="1"/>
  <c r="J111" i="1"/>
  <c r="C20" i="1"/>
  <c r="I20" i="1"/>
  <c r="J20" i="1"/>
  <c r="C19" i="1"/>
  <c r="I19" i="1"/>
  <c r="J19" i="1"/>
  <c r="C12" i="1"/>
  <c r="I12" i="1"/>
  <c r="J12" i="1"/>
  <c r="C11" i="1"/>
  <c r="I11" i="1"/>
  <c r="J11" i="1"/>
  <c r="C28" i="1"/>
  <c r="I28" i="1"/>
  <c r="J28" i="1"/>
  <c r="C27" i="1"/>
  <c r="I27" i="1"/>
  <c r="J27" i="1"/>
  <c r="C26" i="1"/>
  <c r="I26" i="1"/>
  <c r="J26" i="1"/>
  <c r="C25" i="1"/>
  <c r="I25" i="1"/>
  <c r="J25" i="1"/>
  <c r="C24" i="1"/>
  <c r="I24" i="1"/>
  <c r="J24" i="1"/>
  <c r="C23" i="1"/>
  <c r="I23" i="1"/>
  <c r="J23" i="1"/>
  <c r="C22" i="1"/>
  <c r="I22" i="1"/>
  <c r="J22" i="1"/>
  <c r="C21" i="1"/>
  <c r="I21" i="1"/>
  <c r="J21" i="1"/>
  <c r="C88" i="1"/>
  <c r="I88" i="1"/>
  <c r="J88" i="1"/>
  <c r="C86" i="1"/>
  <c r="I86" i="1"/>
  <c r="J86" i="1"/>
  <c r="C119" i="1"/>
  <c r="I119" i="1"/>
  <c r="J119" i="1"/>
  <c r="C117" i="1"/>
  <c r="I117" i="1"/>
  <c r="J117" i="1"/>
  <c r="C115" i="1"/>
  <c r="I115" i="1"/>
  <c r="J115" i="1"/>
  <c r="C113" i="1"/>
  <c r="I113" i="1"/>
  <c r="J113" i="1"/>
  <c r="I112" i="1"/>
  <c r="J112" i="1"/>
  <c r="C105" i="1"/>
  <c r="I105" i="1"/>
  <c r="J105" i="1"/>
  <c r="C100" i="1"/>
  <c r="I100" i="1"/>
  <c r="J100" i="1"/>
  <c r="C99" i="1"/>
  <c r="I99" i="1"/>
  <c r="J99" i="1"/>
  <c r="C101" i="1"/>
  <c r="I101" i="1"/>
  <c r="J101" i="1"/>
  <c r="C96" i="1"/>
  <c r="I96" i="1"/>
  <c r="J96" i="1"/>
  <c r="C95" i="1"/>
  <c r="I95" i="1"/>
  <c r="J95" i="1"/>
  <c r="C94" i="1"/>
  <c r="I94" i="1"/>
  <c r="J94" i="1"/>
  <c r="C93" i="1"/>
  <c r="I93" i="1"/>
  <c r="J93" i="1"/>
  <c r="C92" i="1"/>
  <c r="I92" i="1"/>
  <c r="J92" i="1"/>
  <c r="C90" i="1"/>
  <c r="I90" i="1"/>
  <c r="J90" i="1"/>
  <c r="C91" i="1"/>
  <c r="I91" i="1"/>
  <c r="J91" i="1"/>
  <c r="C89" i="1"/>
  <c r="I89" i="1"/>
  <c r="J89" i="1"/>
  <c r="C83" i="1"/>
  <c r="I83" i="1"/>
  <c r="J83" i="1"/>
  <c r="C82" i="1"/>
  <c r="I82" i="1"/>
  <c r="J82" i="1"/>
  <c r="C80" i="1"/>
  <c r="I80" i="1"/>
  <c r="J80" i="1"/>
  <c r="C79" i="1"/>
  <c r="I79" i="1"/>
  <c r="J79" i="1"/>
  <c r="C78" i="1"/>
  <c r="I78" i="1"/>
  <c r="J78" i="1"/>
  <c r="C77" i="1"/>
  <c r="I77" i="1"/>
  <c r="J77" i="1"/>
  <c r="C76" i="1"/>
  <c r="I76" i="1"/>
  <c r="J76" i="1"/>
  <c r="C75" i="1"/>
  <c r="I75" i="1"/>
  <c r="J75" i="1"/>
  <c r="C74" i="1"/>
  <c r="I74" i="1"/>
  <c r="J74" i="1"/>
  <c r="C73" i="1"/>
  <c r="I73" i="1"/>
  <c r="J73" i="1"/>
  <c r="C72" i="1"/>
  <c r="I72" i="1"/>
  <c r="J72" i="1"/>
  <c r="C70" i="1"/>
  <c r="I70" i="1"/>
  <c r="J70" i="1"/>
  <c r="C67" i="1"/>
  <c r="I67" i="1"/>
  <c r="J67" i="1"/>
  <c r="C66" i="1"/>
  <c r="I66" i="1"/>
  <c r="J66" i="1"/>
  <c r="C65" i="1"/>
  <c r="I65" i="1"/>
  <c r="J65" i="1"/>
  <c r="C63" i="1"/>
  <c r="I63" i="1"/>
  <c r="J63" i="1"/>
  <c r="C62" i="1"/>
  <c r="I62" i="1"/>
  <c r="J62" i="1"/>
  <c r="I60" i="1"/>
  <c r="J60" i="1"/>
  <c r="C58" i="1"/>
  <c r="I58" i="1"/>
  <c r="J58" i="1"/>
  <c r="C57" i="1"/>
  <c r="I57" i="1"/>
  <c r="J57" i="1"/>
  <c r="C56" i="1"/>
  <c r="I56" i="1"/>
  <c r="J56" i="1"/>
  <c r="C55" i="1"/>
  <c r="I55" i="1"/>
  <c r="J55" i="1"/>
  <c r="C54" i="1"/>
  <c r="I54" i="1"/>
  <c r="J54" i="1"/>
  <c r="C51" i="1"/>
  <c r="I51" i="1"/>
  <c r="J51" i="1"/>
  <c r="C50" i="1"/>
  <c r="I50" i="1"/>
  <c r="J50" i="1"/>
  <c r="C49" i="1"/>
  <c r="I49" i="1"/>
  <c r="J49" i="1"/>
  <c r="C48" i="1"/>
  <c r="I48" i="1"/>
  <c r="J48" i="1"/>
  <c r="C47" i="1"/>
  <c r="I47" i="1"/>
  <c r="J47" i="1"/>
  <c r="C44" i="1"/>
  <c r="I44" i="1"/>
  <c r="J44" i="1"/>
  <c r="C39" i="1"/>
  <c r="I39" i="1"/>
  <c r="J39" i="1"/>
  <c r="C33" i="1"/>
  <c r="I33" i="1"/>
  <c r="J33" i="1"/>
  <c r="C30" i="1"/>
  <c r="I30" i="1"/>
  <c r="J30" i="1"/>
  <c r="C18" i="1"/>
  <c r="I18" i="1"/>
  <c r="J18" i="1"/>
  <c r="C17" i="1"/>
  <c r="I17" i="1"/>
  <c r="J17" i="1"/>
  <c r="C16" i="1"/>
  <c r="I16" i="1"/>
  <c r="J16" i="1"/>
  <c r="C29" i="1"/>
  <c r="I29" i="1"/>
  <c r="J29" i="1"/>
  <c r="C31" i="1"/>
  <c r="I31" i="1"/>
  <c r="J31" i="1"/>
  <c r="C9" i="1"/>
  <c r="I9" i="1"/>
  <c r="J9" i="1"/>
  <c r="C8" i="1"/>
  <c r="I8" i="1"/>
  <c r="J8" i="1"/>
  <c r="C98" i="1"/>
  <c r="I98" i="1"/>
  <c r="J98" i="1"/>
  <c r="C7" i="1"/>
  <c r="I7" i="1"/>
  <c r="J7" i="1"/>
  <c r="C40" i="1"/>
  <c r="I40" i="1"/>
  <c r="J40" i="1"/>
  <c r="C34" i="1"/>
  <c r="I34" i="1"/>
  <c r="J34" i="1"/>
  <c r="C45" i="1"/>
  <c r="I45" i="1"/>
  <c r="J45" i="1"/>
  <c r="C43" i="1"/>
  <c r="I43" i="1"/>
  <c r="J43" i="1"/>
  <c r="C15" i="1"/>
  <c r="I15" i="1"/>
  <c r="J15" i="1"/>
  <c r="C32" i="1"/>
  <c r="I32" i="1"/>
  <c r="J32" i="1"/>
  <c r="C97" i="1"/>
  <c r="I97" i="1"/>
  <c r="J97" i="1"/>
  <c r="C109" i="1"/>
  <c r="I109" i="1"/>
  <c r="J109" i="1"/>
  <c r="C85" i="1"/>
  <c r="I85" i="1"/>
  <c r="J85" i="1"/>
  <c r="C61" i="1"/>
  <c r="I61" i="1"/>
  <c r="J61" i="1"/>
  <c r="C42" i="1"/>
  <c r="I42" i="1"/>
  <c r="J42" i="1"/>
  <c r="I81" i="1"/>
  <c r="J81" i="1"/>
  <c r="I37" i="1"/>
  <c r="J37" i="1"/>
  <c r="C14" i="1"/>
  <c r="I14" i="1"/>
  <c r="J14" i="1"/>
  <c r="C13" i="1"/>
  <c r="I13" i="1"/>
  <c r="J13" i="1"/>
  <c r="I6" i="1"/>
  <c r="J6" i="1"/>
  <c r="C5" i="1"/>
  <c r="I5" i="1"/>
  <c r="J5" i="1"/>
  <c r="C4" i="1"/>
  <c r="I4" i="1"/>
  <c r="J4" i="1"/>
  <c r="C108" i="1"/>
  <c r="I108" i="1"/>
  <c r="J108" i="1"/>
  <c r="C10" i="1"/>
  <c r="I10" i="1"/>
  <c r="J10" i="1"/>
  <c r="C60" i="1"/>
  <c r="H60" i="1"/>
  <c r="C112" i="1"/>
  <c r="H112" i="1"/>
  <c r="C36" i="1"/>
  <c r="H64" i="1"/>
  <c r="H66" i="1"/>
  <c r="H111" i="1"/>
  <c r="H57" i="1"/>
  <c r="H55" i="1"/>
  <c r="H87" i="1"/>
  <c r="H48" i="1"/>
  <c r="H105" i="1"/>
  <c r="H44" i="1"/>
  <c r="H4" i="1"/>
  <c r="H93" i="1"/>
  <c r="H17" i="1"/>
  <c r="H40" i="1"/>
  <c r="H79" i="1"/>
  <c r="H29" i="1"/>
  <c r="H45" i="1"/>
  <c r="H70" i="1"/>
  <c r="H6" i="1"/>
  <c r="H97" i="1"/>
  <c r="H34" i="1"/>
  <c r="H109" i="1"/>
  <c r="H71" i="1"/>
  <c r="H114" i="1"/>
  <c r="H86" i="1"/>
  <c r="H104" i="1"/>
  <c r="H92" i="1"/>
  <c r="H78" i="1"/>
  <c r="H67" i="1"/>
  <c r="H56" i="1"/>
  <c r="H47" i="1"/>
  <c r="H16" i="1"/>
  <c r="H5" i="1"/>
  <c r="H37" i="1"/>
  <c r="H59" i="1"/>
  <c r="H116" i="1"/>
  <c r="H20" i="1"/>
  <c r="H119" i="1"/>
  <c r="H100" i="1"/>
  <c r="H90" i="1"/>
  <c r="H77" i="1"/>
  <c r="H43" i="1"/>
  <c r="H61" i="1"/>
  <c r="H46" i="1"/>
  <c r="H107" i="1"/>
  <c r="H19" i="1"/>
  <c r="H24" i="1"/>
  <c r="H117" i="1"/>
  <c r="H99" i="1"/>
  <c r="H91" i="1"/>
  <c r="H76" i="1"/>
  <c r="H65" i="1"/>
  <c r="H54" i="1"/>
  <c r="H39" i="1"/>
  <c r="H15" i="1"/>
  <c r="H42" i="1"/>
  <c r="H35" i="1"/>
  <c r="H106" i="1"/>
  <c r="H23" i="1"/>
  <c r="H115" i="1"/>
  <c r="H101" i="1"/>
  <c r="H89" i="1"/>
  <c r="H75" i="1"/>
  <c r="H63" i="1"/>
  <c r="H52" i="1"/>
  <c r="H38" i="1"/>
  <c r="H9" i="1"/>
  <c r="H14" i="1"/>
  <c r="H41" i="1"/>
  <c r="H53" i="1"/>
  <c r="H22" i="1"/>
  <c r="H113" i="1"/>
  <c r="H96" i="1"/>
  <c r="H74" i="1"/>
  <c r="H62" i="1"/>
  <c r="H51" i="1"/>
  <c r="H33" i="1"/>
  <c r="H13" i="1"/>
  <c r="H36" i="1"/>
  <c r="H118" i="1"/>
  <c r="H69" i="1"/>
  <c r="H21" i="1"/>
  <c r="H95" i="1"/>
  <c r="H73" i="1"/>
  <c r="H50" i="1"/>
  <c r="H30" i="1"/>
  <c r="H98" i="1"/>
  <c r="H32" i="1"/>
  <c r="H81" i="1"/>
  <c r="H84" i="1"/>
  <c r="H68" i="1"/>
  <c r="H88" i="1"/>
  <c r="H94" i="1"/>
  <c r="H80" i="1"/>
  <c r="H72" i="1"/>
  <c r="H58" i="1"/>
  <c r="H18" i="1"/>
  <c r="H7" i="1"/>
  <c r="C37" i="1"/>
  <c r="C6" i="1"/>
  <c r="C81" i="1"/>
</calcChain>
</file>

<file path=xl/sharedStrings.xml><?xml version="1.0" encoding="utf-8"?>
<sst xmlns="http://schemas.openxmlformats.org/spreadsheetml/2006/main" count="11355" uniqueCount="3499">
  <si>
    <t>COD_PLANTA</t>
  </si>
  <si>
    <t>COD_LATITUDE</t>
  </si>
  <si>
    <t>COD_LONGITUDE</t>
  </si>
  <si>
    <t>PL-RJB-CTE0002</t>
  </si>
  <si>
    <t>PL-RJB-CTE0003</t>
  </si>
  <si>
    <t>PL-RJB-ECT0201</t>
  </si>
  <si>
    <t>PL-RJB-ECT0202</t>
  </si>
  <si>
    <t>PL-RJB-ECT0203</t>
  </si>
  <si>
    <t>PL-RJB-ECT0204</t>
  </si>
  <si>
    <t>PL-RJB-ECT0207</t>
  </si>
  <si>
    <t>PL-RJB-ECT0212</t>
  </si>
  <si>
    <t>PL-RJB-ECT0216</t>
  </si>
  <si>
    <t>PL-RJB-ECT0227</t>
  </si>
  <si>
    <t>PL-RJB-ECT0228</t>
  </si>
  <si>
    <t>PL-RJB-ECT0230</t>
  </si>
  <si>
    <t>PL-RJB-ECT0231</t>
  </si>
  <si>
    <t>PL-RJB-ECT0233</t>
  </si>
  <si>
    <t>PL-RJB-ECT0234</t>
  </si>
  <si>
    <t>PL-RJB-ECT0235</t>
  </si>
  <si>
    <t>PL-RJB-ECT0236</t>
  </si>
  <si>
    <t>PL-RJB-ECT0237</t>
  </si>
  <si>
    <t>PL-RJB-ECT0240</t>
  </si>
  <si>
    <t>PL-RJB-ECT0241</t>
  </si>
  <si>
    <t>PL-RJB-ECT0260</t>
  </si>
  <si>
    <t>PL-RJB-ECT0261</t>
  </si>
  <si>
    <t>PL-RJB-ECT0262</t>
  </si>
  <si>
    <t>PL-RJB-ECT0263</t>
  </si>
  <si>
    <t>PL-RJB-ECT0264</t>
  </si>
  <si>
    <t>PL-RJB-ECT0265</t>
  </si>
  <si>
    <t>PL-RJB-ECT0266</t>
  </si>
  <si>
    <t>PL-RJB-ECT0267</t>
  </si>
  <si>
    <t>PL-RJB-ECT0273</t>
  </si>
  <si>
    <t>PL-RJB-ECT0274</t>
  </si>
  <si>
    <t>PL-RJB-ECT0275</t>
  </si>
  <si>
    <t>PL-RJB-ECT0276</t>
  </si>
  <si>
    <t>PL-RJB-ECT0277</t>
  </si>
  <si>
    <t>PL-RJB-ECT0278</t>
  </si>
  <si>
    <t>PL-RJB-ECT0279</t>
  </si>
  <si>
    <t>PL-RJB-ECT0280</t>
  </si>
  <si>
    <t>PL-RJB-ECT0281</t>
  </si>
  <si>
    <t>PL-RJB-ECT0282</t>
  </si>
  <si>
    <t>PL-RJB-ECT0284</t>
  </si>
  <si>
    <t>PL-RJB-ECT0288</t>
  </si>
  <si>
    <t>PL-RJB-ECT0289</t>
  </si>
  <si>
    <t>PL-RJB-ECT0290</t>
  </si>
  <si>
    <t>PL-RJB-ECT0291</t>
  </si>
  <si>
    <t>PL-RJB-ECT0336</t>
  </si>
  <si>
    <t>PL-RJB-ECT0337</t>
  </si>
  <si>
    <t>PL-RJB-ECT0343</t>
  </si>
  <si>
    <t>PL-RJB-ECT0345</t>
  </si>
  <si>
    <t>PL-RJB-ECT0348</t>
  </si>
  <si>
    <t>PL-RJB-ECT0349</t>
  </si>
  <si>
    <t>PL-RJB-ECT0381</t>
  </si>
  <si>
    <t>PL-RJB-ECT0383</t>
  </si>
  <si>
    <t>PL-RJB-ECT0392</t>
  </si>
  <si>
    <t>PL-RJB-ECT1006</t>
  </si>
  <si>
    <t>PL-RJB-ECT0158</t>
  </si>
  <si>
    <t>PL-RJB-ECT0159</t>
  </si>
  <si>
    <t>PL-RJB-ECT0172</t>
  </si>
  <si>
    <t>PL-RJB-ECT0187</t>
  </si>
  <si>
    <t>PL-RJB-ECT0189</t>
  </si>
  <si>
    <t>PL-RJB-ECT0195</t>
  </si>
  <si>
    <t>PL-RJB-ECT0196</t>
  </si>
  <si>
    <t>PL-RJB-ECT0197</t>
  </si>
  <si>
    <t>PL-RJB-ECT0346</t>
  </si>
  <si>
    <t>PL-RJB-ECT0379</t>
  </si>
  <si>
    <t>PL-RJB-ECT0040</t>
  </si>
  <si>
    <t>PL-RJB-ECT0051</t>
  </si>
  <si>
    <t>PL-RJB-ECT0052</t>
  </si>
  <si>
    <t>PL-RJB-ECT0059</t>
  </si>
  <si>
    <t>PL-RJB-ECT0098</t>
  </si>
  <si>
    <t>PL-RJB-EPH0001</t>
  </si>
  <si>
    <t>PL-RJB-RES1022</t>
  </si>
  <si>
    <t>PL-RJB-RES0103</t>
  </si>
  <si>
    <t>PL-RJB-RES0104</t>
  </si>
  <si>
    <t>PL-RJB-RES0105</t>
  </si>
  <si>
    <t>PL-RJB-RES0106</t>
  </si>
  <si>
    <t>PL-RJB-RES0107</t>
  </si>
  <si>
    <t>PL-RJB-RES0108</t>
  </si>
  <si>
    <t>PL-RJB-RES0109</t>
  </si>
  <si>
    <t>PL-RJB-RES0110</t>
  </si>
  <si>
    <t>PL-RJB-RES0111</t>
  </si>
  <si>
    <t>PL-RJB-RES0113</t>
  </si>
  <si>
    <t>PL-RJB-RES0116</t>
  </si>
  <si>
    <t>PL-RJB-RES0117</t>
  </si>
  <si>
    <t>PL-RJB-RES0118</t>
  </si>
  <si>
    <t>PL-RJB-RES0172</t>
  </si>
  <si>
    <t>PL-RJB-RES0175</t>
  </si>
  <si>
    <t>PL-RJB-RES0177</t>
  </si>
  <si>
    <t>PL-RJB-RES1107</t>
  </si>
  <si>
    <t>PL-RJB-ETE1003</t>
  </si>
  <si>
    <t>PL-RJB-ETE1004</t>
  </si>
  <si>
    <t>PL-RJB-ETE1005</t>
  </si>
  <si>
    <t>PL-RJB-ETE1007</t>
  </si>
  <si>
    <t>PL-RJB-ETE1011</t>
  </si>
  <si>
    <t>PL-RJB-ETE1014</t>
  </si>
  <si>
    <t>PL-RJB-ETE1015</t>
  </si>
  <si>
    <t>PL-RJB-ETE1021</t>
  </si>
  <si>
    <t>PL-RJB-ETE1022</t>
  </si>
  <si>
    <t>PL-RJB-ETE0012</t>
  </si>
  <si>
    <t>PL-RJB-ETE0002</t>
  </si>
  <si>
    <t>PL-RJB-ETE0034</t>
  </si>
  <si>
    <t>PL-RJB-ETE0035</t>
  </si>
  <si>
    <t>PL-RJB-ETE0036</t>
  </si>
  <si>
    <t>PL-RJB-ETE0037</t>
  </si>
  <si>
    <t>PL-RJB-ETE0038</t>
  </si>
  <si>
    <t>PL-RJB-ETE0004</t>
  </si>
  <si>
    <t>PL-RJB-ETE0040</t>
  </si>
  <si>
    <t>PL-RJB-ETE0041</t>
  </si>
  <si>
    <t>PL-RJB-ETE0042</t>
  </si>
  <si>
    <t>PL-RJB-ETE0043</t>
  </si>
  <si>
    <t>PL-RJB-EAT0723</t>
  </si>
  <si>
    <t>PL-RJB-EAT0724</t>
  </si>
  <si>
    <t>PL-RJB-EAT0774</t>
  </si>
  <si>
    <t>PL-RJB-EAT0775</t>
  </si>
  <si>
    <t>PL-RJB-EAT0821</t>
  </si>
  <si>
    <t>PL-RJB-EAT0823</t>
  </si>
  <si>
    <t>PL-RJB-EAT0824</t>
  </si>
  <si>
    <t>PL-RJB-EAT0825</t>
  </si>
  <si>
    <t>PL-RJB-EAT0828</t>
  </si>
  <si>
    <t>PL-RJB-EAT0829</t>
  </si>
  <si>
    <t>PL-RJB-EAT0830</t>
  </si>
  <si>
    <t>PL-RJB-EAT0832</t>
  </si>
  <si>
    <t>PL-RJB-EAT0833</t>
  </si>
  <si>
    <t>PL-RJB-EAT0834</t>
  </si>
  <si>
    <t>PL-RJB-EAT0835</t>
  </si>
  <si>
    <t>PL-RJB-EAT0836</t>
  </si>
  <si>
    <t>PL-RJB-EAT0837</t>
  </si>
  <si>
    <t>PL-RJB-EAT0847</t>
  </si>
  <si>
    <t>PL-RJB-EAT0848</t>
  </si>
  <si>
    <t>PL-RJB-EAT0849</t>
  </si>
  <si>
    <t>PL-RJB-EAT1005</t>
  </si>
  <si>
    <t>PL-RJB-EAT1013</t>
  </si>
  <si>
    <t>PL-RJB-EAT1014</t>
  </si>
  <si>
    <t>PL-RJB-EAT1016</t>
  </si>
  <si>
    <t>PL-RJB-EAT0102</t>
  </si>
  <si>
    <t>PL-RJB-EAT0104</t>
  </si>
  <si>
    <t>PL-RJB-EAT0108</t>
  </si>
  <si>
    <t>PL-RJB-EAT0109</t>
  </si>
  <si>
    <t>PL-RJB-EAT0011</t>
  </si>
  <si>
    <t>PL-RJB-EAT0110</t>
  </si>
  <si>
    <t>PL-RJB-EAT0113</t>
  </si>
  <si>
    <t>PL-RJB-EAT0117</t>
  </si>
  <si>
    <t>PL-RJB-EAT0122</t>
  </si>
  <si>
    <t>PL-RJB-EAT0124</t>
  </si>
  <si>
    <t>PL-RJB-EAT0014</t>
  </si>
  <si>
    <t>PL-RJB-EAT0017</t>
  </si>
  <si>
    <t>PL-RJB-EAT0022</t>
  </si>
  <si>
    <t>PL-RJB-EAT0024</t>
  </si>
  <si>
    <t>PL-RJB-EAT0030</t>
  </si>
  <si>
    <t>PL-RJB-EAT0031</t>
  </si>
  <si>
    <t>PL-RJB-EAT0032</t>
  </si>
  <si>
    <t>PL-RJB-EAT0039</t>
  </si>
  <si>
    <t>PL-RJB-EAT0040</t>
  </si>
  <si>
    <t>PL-RJB-EAT0042</t>
  </si>
  <si>
    <t>PL-RJB-EAT0043</t>
  </si>
  <si>
    <t>PL-RJB-EAT0044</t>
  </si>
  <si>
    <t>PL-RJB-EAT0045</t>
  </si>
  <si>
    <t>PL-RJB-EAT0046</t>
  </si>
  <si>
    <t>PL-RJB-EAT0048</t>
  </si>
  <si>
    <t>PL-RJB-EAT0050</t>
  </si>
  <si>
    <t>PL-RJB-EAT0053</t>
  </si>
  <si>
    <t>PL-RJB-EAT0056</t>
  </si>
  <si>
    <t>PL-RJB-EAT0059</t>
  </si>
  <si>
    <t>PL-RJB-EAT0061</t>
  </si>
  <si>
    <t>PL-RJB-EAT0062</t>
  </si>
  <si>
    <t>PL-RJB-EAT0065</t>
  </si>
  <si>
    <t>PL-RJB-EAT0651</t>
  </si>
  <si>
    <t>PL-RJB-EAT0652</t>
  </si>
  <si>
    <t>PL-RJB-EAT0658</t>
  </si>
  <si>
    <t>PL-RJB-EAT0066</t>
  </si>
  <si>
    <t>PL-RJB-EAT0667</t>
  </si>
  <si>
    <t>PL-RJB-EAT0675</t>
  </si>
  <si>
    <t>PL-RJB-EAT0676</t>
  </si>
  <si>
    <t>PL-RJB-EAT0677</t>
  </si>
  <si>
    <t>PL-RJB-EAT0068</t>
  </si>
  <si>
    <t>PL-RJB-EAT0684</t>
  </si>
  <si>
    <t>PL-RJB-EAT0687</t>
  </si>
  <si>
    <t>PL-RJB-EAT0688</t>
  </si>
  <si>
    <t>PL-RJB-EAT0689</t>
  </si>
  <si>
    <t>PL-RJB-EAT0069</t>
  </si>
  <si>
    <t>PL-RJB-EAT0691</t>
  </si>
  <si>
    <t>PL-RJB-EAT0692</t>
  </si>
  <si>
    <t>PL-RJB-EAT0693</t>
  </si>
  <si>
    <t>PL-RJB-EAT0694</t>
  </si>
  <si>
    <t>PL-RJB-EAT0695</t>
  </si>
  <si>
    <t>PL-RJB-EAT0697</t>
  </si>
  <si>
    <t>PL-RJB-EAT0733</t>
  </si>
  <si>
    <t>PL-RJB-EAT0735</t>
  </si>
  <si>
    <t>PL-RJB-EAT0736</t>
  </si>
  <si>
    <t>PL-RJB-EAT0737</t>
  </si>
  <si>
    <t>PL-RJB-EAT0738</t>
  </si>
  <si>
    <t>PL-RJB-EAT0739</t>
  </si>
  <si>
    <t>PL-RJB-EAT0741</t>
  </si>
  <si>
    <t>PL-RJB-EAT0744</t>
  </si>
  <si>
    <t>PL-RJB-EAT0745</t>
  </si>
  <si>
    <t>PL-RJB-EAT0746</t>
  </si>
  <si>
    <t>PL-RJB-EAT0747</t>
  </si>
  <si>
    <t>PL-RJB-EAT0748</t>
  </si>
  <si>
    <t>PL-RJB-EAT0075</t>
  </si>
  <si>
    <t>PL-RJB-EAT0751</t>
  </si>
  <si>
    <t>PL-RJB-EAT0761</t>
  </si>
  <si>
    <t>PL-RJB-EAT0811</t>
  </si>
  <si>
    <t>PL-RJB-EAT0816</t>
  </si>
  <si>
    <t>PL-RJB-EAT0817</t>
  </si>
  <si>
    <t>PL-RJB-EAT0082</t>
  </si>
  <si>
    <t>PL-RJB-EAT0822</t>
  </si>
  <si>
    <t>PL-RJB-EAT0083</t>
  </si>
  <si>
    <t>PL-RJB-EAT0831</t>
  </si>
  <si>
    <t>PL-RJB-EAT0086</t>
  </si>
  <si>
    <t>PL-RJB-EAT0861</t>
  </si>
  <si>
    <t>PL-RJB-EAT0087</t>
  </si>
  <si>
    <t>PL-RJB-EAT0088</t>
  </si>
  <si>
    <t>PL-RJB-EAT0093</t>
  </si>
  <si>
    <t>PL-RJB-EAT0098</t>
  </si>
  <si>
    <t>PL-RJB-EAT0099</t>
  </si>
  <si>
    <t>PL-RJB-ETR0690</t>
  </si>
  <si>
    <t>PL-RJB-EEE0100</t>
  </si>
  <si>
    <t>PL-RJB-EEE1006</t>
  </si>
  <si>
    <t>PL-RJB-EEE1007</t>
  </si>
  <si>
    <t>PL-RJB-EEE1008</t>
  </si>
  <si>
    <t>PL-RJB-EEE1009</t>
  </si>
  <si>
    <t>PL-RJB-EEE1011</t>
  </si>
  <si>
    <t>PL-RJB-EEE1012</t>
  </si>
  <si>
    <t>PL-RJB-EEE1013</t>
  </si>
  <si>
    <t>PL-RJB-EEE1014</t>
  </si>
  <si>
    <t>PL-RJB-EEE1100</t>
  </si>
  <si>
    <t>PL-RJB-EEE0073</t>
  </si>
  <si>
    <t>PL-RJB-EEE0080</t>
  </si>
  <si>
    <t>PL-RJB-EEE0081</t>
  </si>
  <si>
    <t>PL-RJB-EEE0082</t>
  </si>
  <si>
    <t>PL-RJB-EEE0083</t>
  </si>
  <si>
    <t>PL-RJB-LJA0003</t>
  </si>
  <si>
    <t>PL-RJB-LJA0005</t>
  </si>
  <si>
    <t>PL-RJB-LJA0006</t>
  </si>
  <si>
    <t>PL-RJB-LJA0007</t>
  </si>
  <si>
    <t>PL-RJB-SDA1003</t>
  </si>
  <si>
    <t>Tipo EEAT</t>
  </si>
  <si>
    <t>Segmento</t>
  </si>
  <si>
    <t>EEAT</t>
  </si>
  <si>
    <t>Cidade</t>
  </si>
  <si>
    <t>População</t>
  </si>
  <si>
    <t>Status</t>
  </si>
  <si>
    <t>Fase Atual</t>
  </si>
  <si>
    <t>Etapas restantes</t>
  </si>
  <si>
    <t>Observações / Inconformidades</t>
  </si>
  <si>
    <t>Água</t>
  </si>
  <si>
    <t>Baixo Pedreira</t>
  </si>
  <si>
    <t>Nova Iguaçu</t>
  </si>
  <si>
    <t>Elevatória</t>
  </si>
  <si>
    <t>Camburi</t>
  </si>
  <si>
    <t>Queimados</t>
  </si>
  <si>
    <t>Nélio Chambarelli</t>
  </si>
  <si>
    <t>Messias</t>
  </si>
  <si>
    <t>Japeri</t>
  </si>
  <si>
    <t>Booster</t>
  </si>
  <si>
    <t>Boa Esperança</t>
  </si>
  <si>
    <t>Tinguazinho</t>
  </si>
  <si>
    <t>Bela Vista</t>
  </si>
  <si>
    <t>Comendador Soares</t>
  </si>
  <si>
    <t>Chacrinha</t>
  </si>
  <si>
    <t>Manoel Dias</t>
  </si>
  <si>
    <t>Morro do Tinguazinho</t>
  </si>
  <si>
    <t>Iara</t>
  </si>
  <si>
    <t>São Joaquim</t>
  </si>
  <si>
    <t>Bento Rubião</t>
  </si>
  <si>
    <t>Santa Rita / Corumbá</t>
  </si>
  <si>
    <t>JÁ INSTALADA</t>
  </si>
  <si>
    <t>Ambaí</t>
  </si>
  <si>
    <t>Nova Cidade</t>
  </si>
  <si>
    <t>Container</t>
  </si>
  <si>
    <t>Liberdade</t>
  </si>
  <si>
    <t>Beira Linha</t>
  </si>
  <si>
    <t xml:space="preserve">BNH </t>
  </si>
  <si>
    <t xml:space="preserve">Jaqueira </t>
  </si>
  <si>
    <t>Morro da Paz</t>
  </si>
  <si>
    <t>Colombo</t>
  </si>
  <si>
    <t>Beira Rio</t>
  </si>
  <si>
    <t>Dona Afra</t>
  </si>
  <si>
    <t>Carlos Monsante</t>
  </si>
  <si>
    <t>Biquinha</t>
  </si>
  <si>
    <t>São Simão</t>
  </si>
  <si>
    <t>Adibe Saad</t>
  </si>
  <si>
    <t>DADOS INFORMATIVOS</t>
  </si>
  <si>
    <t>DADOS DO EQUIPAMENTO INSTALADO</t>
  </si>
  <si>
    <t>ALIMENTAÇÃO</t>
  </si>
  <si>
    <t>DADOS DA CONCESSIONÁRIA DE ENERGIA</t>
  </si>
  <si>
    <t>DIAMETRO DA TUBULACAO</t>
  </si>
  <si>
    <t>DADOS GEOGRÁFICOS</t>
  </si>
  <si>
    <t>PAINÉIS</t>
  </si>
  <si>
    <t>AUTOMAÇÃO</t>
  </si>
  <si>
    <t>SETPOINT</t>
  </si>
  <si>
    <t>TOMADA DE  RETAGUARDA</t>
  </si>
  <si>
    <t>TOMADA DE RECALQUE</t>
  </si>
  <si>
    <t>ELETRODO SUPERIOR</t>
  </si>
  <si>
    <t>ELETRODO INFERIOR</t>
  </si>
  <si>
    <t>TIPO DE RECALQUE</t>
  </si>
  <si>
    <t>COTA NA ELEVATORIA</t>
  </si>
  <si>
    <t>COTA MAXIMA</t>
  </si>
  <si>
    <t>DISTANCIA DA ELEV. A COORDENACAO</t>
  </si>
  <si>
    <t>COMUNIDADES / HOSPITAIS / LOCALIDADES IMPORTANTES ABASTECIDAS</t>
  </si>
  <si>
    <t>AREA DE INFLUENCIA</t>
  </si>
  <si>
    <t>ELEVATORIAS</t>
  </si>
  <si>
    <t>PLANTA</t>
  </si>
  <si>
    <t>TIPO</t>
  </si>
  <si>
    <t>SUPERINTENDÊNCIA</t>
  </si>
  <si>
    <t>ENDEREÇO</t>
  </si>
  <si>
    <t>BAIRRO</t>
  </si>
  <si>
    <t>MUNICIPIO</t>
  </si>
  <si>
    <t>CEP</t>
  </si>
  <si>
    <t>LATITUDE</t>
  </si>
  <si>
    <t>LONGITUDE</t>
  </si>
  <si>
    <t>Inicio de Operação</t>
  </si>
  <si>
    <t xml:space="preserve">CARACTERÍSTICAS DA ÁREA </t>
  </si>
  <si>
    <t>GRUPO</t>
  </si>
  <si>
    <t>FUNÇÃO</t>
  </si>
  <si>
    <t xml:space="preserve">POTÊNCIA DO MOTOR (CV)	</t>
  </si>
  <si>
    <t>RPM</t>
  </si>
  <si>
    <t xml:space="preserve">MARCA DO MOTOR	</t>
  </si>
  <si>
    <t>CARCAÇA DO MOTOR</t>
  </si>
  <si>
    <t xml:space="preserve">TAG DO MOTOR	</t>
  </si>
  <si>
    <t>TENSÃO (V)</t>
  </si>
  <si>
    <t>CORRENTE (A)</t>
  </si>
  <si>
    <t>MANCAIS (LA)</t>
  </si>
  <si>
    <t>MANCAIS (LOA)</t>
  </si>
  <si>
    <t xml:space="preserve">MODELO DA BOMBA	</t>
  </si>
  <si>
    <t xml:space="preserve">TAG DA BOMBA	</t>
  </si>
  <si>
    <t xml:space="preserve">MARCA DA BOMBA	</t>
  </si>
  <si>
    <t>Ø ROTOR (pol)</t>
  </si>
  <si>
    <t xml:space="preserve">Ø ROTOR (mm)	</t>
  </si>
  <si>
    <t>TIPO CONSTRUTIVO DA ELEVATORIA</t>
  </si>
  <si>
    <t xml:space="preserve">BOMBA DRENO (SIM/NÃO)	</t>
  </si>
  <si>
    <t>PONTA DO EIXO DO MOTOR</t>
  </si>
  <si>
    <t>SENTIDO DE MONTAGEM DO MOTOR</t>
  </si>
  <si>
    <t>FLANGE</t>
  </si>
  <si>
    <t>FORMA CONSTRUTIVA DA BOMBA</t>
  </si>
  <si>
    <t>VAZÃO APROXIMADA (M³/H)</t>
  </si>
  <si>
    <t>AMT APROXIMADA</t>
  </si>
  <si>
    <t>Capacidade de tratamento</t>
  </si>
  <si>
    <t>Procedência do MCA</t>
  </si>
  <si>
    <t>CÓD SAP</t>
  </si>
  <si>
    <t>BT/MT</t>
  </si>
  <si>
    <t>TRAFO (KVA)</t>
  </si>
  <si>
    <t xml:space="preserve">N° CLIENTE </t>
  </si>
  <si>
    <t>MEDIDOR</t>
  </si>
  <si>
    <t>MEDIDOR APURADO + DATA</t>
  </si>
  <si>
    <t>UNIDADE DE CONSUMO</t>
  </si>
  <si>
    <t xml:space="preserve">SUCCAO </t>
  </si>
  <si>
    <t>RECALQUE</t>
  </si>
  <si>
    <t>TRONCO</t>
  </si>
  <si>
    <t>DISTACIA ATE A ELEV.</t>
  </si>
  <si>
    <t>POPULAÇÃO BENEFICIADA EM HABITANTES</t>
  </si>
  <si>
    <t>DOMICILIOS</t>
  </si>
  <si>
    <t xml:space="preserve">FUSÍVEL (PC)	</t>
  </si>
  <si>
    <t xml:space="preserve">DISJUNTOR (PC)	</t>
  </si>
  <si>
    <t>REGULAGEM DO RELE TÉRMICO BIMETÁLICO</t>
  </si>
  <si>
    <t>RELÉ DE TEMPO ΔY</t>
  </si>
  <si>
    <t>RELÉ DE ELETRODO (NÍVEL)</t>
  </si>
  <si>
    <t>MONITOR DE CORRENTE</t>
  </si>
  <si>
    <t>TAMANHO DO FUSÍVEL NH</t>
  </si>
  <si>
    <t>CORRENTE DO FUSÍVEL NH</t>
  </si>
  <si>
    <t>CORRENTE DO FUSÍVEL DZ</t>
  </si>
  <si>
    <t>TAG PAINEL</t>
  </si>
  <si>
    <t>TIPO DE ACIONAMENTO</t>
  </si>
  <si>
    <t>FABRICANTE DO ACIONAMENTO</t>
  </si>
  <si>
    <t>MODELO DE ACIONAMENTO</t>
  </si>
  <si>
    <t>Corrente (A)</t>
  </si>
  <si>
    <t>TAG DO ACIONAMENTO</t>
  </si>
  <si>
    <t>CLP</t>
  </si>
  <si>
    <t>PCP</t>
  </si>
  <si>
    <t>RETAGUARDA LIGA</t>
  </si>
  <si>
    <t>RETAGUARDA DESLIGA</t>
  </si>
  <si>
    <t>ADOLFO BERGAMINI / ALTO MILITÂO</t>
  </si>
  <si>
    <t>BAIXADA 2</t>
  </si>
  <si>
    <t>Estr. Gen. Mena Barreto, 821 - Novo Horizonte, Nilópolis - RJ, 26535-330</t>
  </si>
  <si>
    <t>Novo Horizonte</t>
  </si>
  <si>
    <t>NILÓPOLIS</t>
  </si>
  <si>
    <t>FORMAL</t>
  </si>
  <si>
    <t>OPERACIONAL</t>
  </si>
  <si>
    <t>25CV</t>
  </si>
  <si>
    <t>3480rpm</t>
  </si>
  <si>
    <t>HAR25195B1</t>
  </si>
  <si>
    <t>RJB-21219</t>
  </si>
  <si>
    <t>HELBOMBAS</t>
  </si>
  <si>
    <t>142mm</t>
  </si>
  <si>
    <t>TUBULÂO</t>
  </si>
  <si>
    <t>NÃO</t>
  </si>
  <si>
    <t>100m³/h</t>
  </si>
  <si>
    <t>AGUA - BOOSTER - ADOLFO BERGAMINI</t>
  </si>
  <si>
    <t>R JOAO RODRIGUES DA CUNHA SN PX1195</t>
  </si>
  <si>
    <t>RJB-14411</t>
  </si>
  <si>
    <t>INVERSOR DE FREQUÊNCIA</t>
  </si>
  <si>
    <t>DANFOSS</t>
  </si>
  <si>
    <t>VLT Aqua Drive</t>
  </si>
  <si>
    <t>88A</t>
  </si>
  <si>
    <t>RJA-03553</t>
  </si>
  <si>
    <t>SIM</t>
  </si>
  <si>
    <t>1 MCA</t>
  </si>
  <si>
    <t>&lt; 1 MCA</t>
  </si>
  <si>
    <t>22 MCA</t>
  </si>
  <si>
    <t>1\2º</t>
  </si>
  <si>
    <t>EM MARCHA</t>
  </si>
  <si>
    <t>Area 1: Rua Adolfo Bergamin (Trecho Rua Mena Barreto A Rua JoAo da Mata Peixoto), Rua Natividade (Trecho Rua Adolfo Bergamin A Rua MArio Valadares), Rua Romilda Alves, Rua Embaixador Von Spritt, Rua Aurea P. Farjado, Rua GenEsio de Barros e pequenas Vilas desse trecho. Area 2: Rua JoAo da Mata Peixoto (Trecho do nº 182 A Rua MArio Valadares), Rua Adolfo Bergamin (Trecho Rua JoAo da Mata Peixoto A Rua Antonio J. Bittencourt), Rua JoAo F. da Silva, Rua Maria InEs QueirOs, Rua AmErico Diamantino Lopes, Rua JosE da Silva Braga (Trecho Rua MArio Valadares A Rua AntOnio J. Bittencourt), Rua Francisco M. da Silva. Area 3: Rua JoAo da Mata Peixoto (Trecho Rua Otacilio Pessoa), Rua JoAo da Cruz Saldanha, Rua Lauro Machado e pequenas Vilas desse trecho.</t>
  </si>
  <si>
    <t>3550rpm</t>
  </si>
  <si>
    <t>WEG</t>
  </si>
  <si>
    <t>160M</t>
  </si>
  <si>
    <t>RJB-21217</t>
  </si>
  <si>
    <t>220V / 380V / 440V</t>
  </si>
  <si>
    <t>60.8 / 35.2 / 30.4A</t>
  </si>
  <si>
    <t>RJB-25854</t>
  </si>
  <si>
    <t>CONTAINER</t>
  </si>
  <si>
    <t>HORIZONTAL</t>
  </si>
  <si>
    <t>CONVENSIONAL</t>
  </si>
  <si>
    <t>RJB-26852</t>
  </si>
  <si>
    <t>SIEMENS</t>
  </si>
  <si>
    <t>PM240-2</t>
  </si>
  <si>
    <t>68A</t>
  </si>
  <si>
    <t>RJB-30606</t>
  </si>
  <si>
    <t>AMAURI GUIMARAES</t>
  </si>
  <si>
    <t>R. Ângela Maria, 2 - Posse, Nova Iguaçu - RJ, 26089-175</t>
  </si>
  <si>
    <t>Floresta</t>
  </si>
  <si>
    <t>NOVA IGUAÇU</t>
  </si>
  <si>
    <t>7.5cv</t>
  </si>
  <si>
    <t>ANFÍBIA</t>
  </si>
  <si>
    <t>SUBMERSIVEL</t>
  </si>
  <si>
    <t>AGUA - ELEV - AMAURI GUIMARÃES</t>
  </si>
  <si>
    <t>RUA GENI SARAIVA E/F 1998</t>
  </si>
  <si>
    <t>SOFT STARTER</t>
  </si>
  <si>
    <t>ÂNGELA MARIA</t>
  </si>
  <si>
    <t>R. Oliveiros Rodrigues Alves, 130 - Jardim da Posse, Nova Iguaçu - RJ, 26030-010</t>
  </si>
  <si>
    <t>Jardim da Posse</t>
  </si>
  <si>
    <t>3vc</t>
  </si>
  <si>
    <t>CASINHA</t>
  </si>
  <si>
    <t>220V</t>
  </si>
  <si>
    <t>AGUA - ELEV - ANGELA MARIA</t>
  </si>
  <si>
    <t>R ANGELA MARIA SN EF127</t>
  </si>
  <si>
    <t>DN 50 / 2 POL</t>
  </si>
  <si>
    <t>PARTIDA DIRETA</t>
  </si>
  <si>
    <t xml:space="preserve">  -  </t>
  </si>
  <si>
    <t xml:space="preserve"> -  </t>
  </si>
  <si>
    <t>ANTONIO VALDIGEM</t>
  </si>
  <si>
    <t>R. Antonio Valdigem, 51 - Queimados, RJ, 26385-300</t>
  </si>
  <si>
    <t>Vila das porteiras</t>
  </si>
  <si>
    <t>QUEIMADOS</t>
  </si>
  <si>
    <t>INFORMAL</t>
  </si>
  <si>
    <t>20cv</t>
  </si>
  <si>
    <t>3535rpm</t>
  </si>
  <si>
    <t>Weg</t>
  </si>
  <si>
    <t>160m</t>
  </si>
  <si>
    <t>RJB-21457</t>
  </si>
  <si>
    <t>49.8 / 28.8 / 24.9</t>
  </si>
  <si>
    <t>GSD-32/200 20.0</t>
  </si>
  <si>
    <t>RJB-21458</t>
  </si>
  <si>
    <t>Ebara</t>
  </si>
  <si>
    <t>197mm</t>
  </si>
  <si>
    <t>ABRIGADA</t>
  </si>
  <si>
    <t>40M3/h</t>
  </si>
  <si>
    <t>54mca</t>
  </si>
  <si>
    <t>AGUA - BVOLANTE - ANTONIO WEINSCHENK</t>
  </si>
  <si>
    <t>R ANTONIO VALDIGEM SN CA1 EF25</t>
  </si>
  <si>
    <t>1.1/4</t>
  </si>
  <si>
    <t>RJB-23520</t>
  </si>
  <si>
    <t>ABB</t>
  </si>
  <si>
    <t>ACO580-01-089A-2</t>
  </si>
  <si>
    <t>89/74,8 A</t>
  </si>
  <si>
    <t>RJB-23544</t>
  </si>
  <si>
    <t>0,2 MCA</t>
  </si>
  <si>
    <t>43 MCA</t>
  </si>
  <si>
    <t>MORRO AZUL</t>
  </si>
  <si>
    <t>BEIRA LINHA</t>
  </si>
  <si>
    <t>Av Beira Linha 275 - Miguel Couto - Nova Iguaçu</t>
  </si>
  <si>
    <t>Miguel Couto</t>
  </si>
  <si>
    <t>26070-320</t>
  </si>
  <si>
    <t>25cv</t>
  </si>
  <si>
    <t>RJB-26491</t>
  </si>
  <si>
    <t>60.9/35/2/30.4</t>
  </si>
  <si>
    <t>6209-ZZ-C3</t>
  </si>
  <si>
    <t>RJB-26976</t>
  </si>
  <si>
    <t>BELO HORIZONTE</t>
  </si>
  <si>
    <t>R. Jequitia, 300 - Nova América, Nova Iguaçu - RJ, 26021-630</t>
  </si>
  <si>
    <t>Nova América</t>
  </si>
  <si>
    <t>3500rpm</t>
  </si>
  <si>
    <t>RJB-05419</t>
  </si>
  <si>
    <t>RJB-05571</t>
  </si>
  <si>
    <t>WORTHINGTON</t>
  </si>
  <si>
    <t>VERTICAL</t>
  </si>
  <si>
    <t>INLINE</t>
  </si>
  <si>
    <t>AGUA - BOOSTER - BELO HORIZONTE</t>
  </si>
  <si>
    <t>AV BELO HORIZONTE SN FT840</t>
  </si>
  <si>
    <t>100MM</t>
  </si>
  <si>
    <t>50MM</t>
  </si>
  <si>
    <t xml:space="preserve">1 MCA </t>
  </si>
  <si>
    <t xml:space="preserve">&lt;1MCA </t>
  </si>
  <si>
    <t>Rua Angico - Rua Belo Horizonte - Rua Brasil - Rua Francisco Alves - Rua General Canraberi - Rua GonCalo Alves - Rua Iris - Rua JequitibA - Rua Leopoldo Machado - Rua Passos - Rua Saudade (parte)</t>
  </si>
  <si>
    <t>BOOSTER AUSTIN</t>
  </si>
  <si>
    <t>R. Araicas, 27 - Austin, Nova Iguaçu - RJ, 26086-320</t>
  </si>
  <si>
    <t>Largo dos peixes</t>
  </si>
  <si>
    <t>26086-320</t>
  </si>
  <si>
    <t>400cv</t>
  </si>
  <si>
    <t>1190rpm</t>
  </si>
  <si>
    <t>315S/M</t>
  </si>
  <si>
    <t>RJB-12396</t>
  </si>
  <si>
    <t>ZW</t>
  </si>
  <si>
    <t xml:space="preserve"> RJB-26840</t>
  </si>
  <si>
    <t>RP</t>
  </si>
  <si>
    <t>505mm</t>
  </si>
  <si>
    <t>FF</t>
  </si>
  <si>
    <t>1908,6 m³/h</t>
  </si>
  <si>
    <t>47,46 m</t>
  </si>
  <si>
    <t xml:space="preserve"> </t>
  </si>
  <si>
    <t>13.8KV</t>
  </si>
  <si>
    <t>1000kvar</t>
  </si>
  <si>
    <t>800A</t>
  </si>
  <si>
    <t>RJB-08633</t>
  </si>
  <si>
    <t>CFW11</t>
  </si>
  <si>
    <t>630A</t>
  </si>
  <si>
    <t>15 MCA</t>
  </si>
  <si>
    <t>10 MCA</t>
  </si>
  <si>
    <t>45 MCA</t>
  </si>
  <si>
    <t>RJB-12370</t>
  </si>
  <si>
    <t>RJB-12362</t>
  </si>
  <si>
    <t>RJB-12356</t>
  </si>
  <si>
    <t>RJB-12392</t>
  </si>
  <si>
    <t>RJB-12376</t>
  </si>
  <si>
    <t>RJB-08630</t>
  </si>
  <si>
    <t>RJB-30634</t>
  </si>
  <si>
    <t>BOOSTER BRASÍLIA</t>
  </si>
  <si>
    <t>R. Prof. Venina Correa Torres, 23 - Centro, Nova Iguaçu - RJ, 26220-100</t>
  </si>
  <si>
    <t>Centro</t>
  </si>
  <si>
    <t>100cv</t>
  </si>
  <si>
    <t>1783 rpm</t>
  </si>
  <si>
    <t>WEG PREMIUM W22</t>
  </si>
  <si>
    <t>250S/M</t>
  </si>
  <si>
    <t>RJB-23564</t>
  </si>
  <si>
    <t>246A / 142A / 123A</t>
  </si>
  <si>
    <t>6314-C3</t>
  </si>
  <si>
    <t>OMEGA 150-290A</t>
  </si>
  <si>
    <t>RJB-23599</t>
  </si>
  <si>
    <t>KSB</t>
  </si>
  <si>
    <t>1780mm</t>
  </si>
  <si>
    <t>504,0M³/H</t>
  </si>
  <si>
    <t>33,0MCA</t>
  </si>
  <si>
    <t>6 mca</t>
  </si>
  <si>
    <t>4 mca</t>
  </si>
  <si>
    <t>100 MCA</t>
  </si>
  <si>
    <t>RJB-23528</t>
  </si>
  <si>
    <t>RJB-23577</t>
  </si>
  <si>
    <t>RJB-23592</t>
  </si>
  <si>
    <t>RJB-23551</t>
  </si>
  <si>
    <t>BOOSTER CABUÇU ALTO</t>
  </si>
  <si>
    <t>R. José Cabral, 448 - Cabuçu, Nova Iguaçu - RJ, 26290-048</t>
  </si>
  <si>
    <t>Cabuçu</t>
  </si>
  <si>
    <t>50CV</t>
  </si>
  <si>
    <t>1770rpm</t>
  </si>
  <si>
    <t>200L</t>
  </si>
  <si>
    <t>RJB-06856</t>
  </si>
  <si>
    <t>122/70.6/61.0</t>
  </si>
  <si>
    <t>6312-C3</t>
  </si>
  <si>
    <t>6212-Z-C3</t>
  </si>
  <si>
    <t>RJB-06880</t>
  </si>
  <si>
    <t>247mm</t>
  </si>
  <si>
    <t>360m³/h</t>
  </si>
  <si>
    <t>26.1MCA</t>
  </si>
  <si>
    <t>440V</t>
  </si>
  <si>
    <t>AGUA - ELEV - CABUCU ALTO G1</t>
  </si>
  <si>
    <t>RUA JOSE CABRAL S/NJOSE CABRAL S/N</t>
  </si>
  <si>
    <t>16 MCA</t>
  </si>
  <si>
    <t>14 MCA</t>
  </si>
  <si>
    <t>RJB-06865</t>
  </si>
  <si>
    <t>SEM INFRA</t>
  </si>
  <si>
    <t>RESERVA</t>
  </si>
  <si>
    <t>RJB-06888</t>
  </si>
  <si>
    <t>RJB-06864</t>
  </si>
  <si>
    <t>BOOSTER ENGENHEIRO PEDREIRA</t>
  </si>
  <si>
    <t>Cidade Jardim Marajoara, Japeri - RJ, 26420-243</t>
  </si>
  <si>
    <t>Jardim Marajoara</t>
  </si>
  <si>
    <t>JAPERI</t>
  </si>
  <si>
    <t>200cv</t>
  </si>
  <si>
    <t>1790rpm</t>
  </si>
  <si>
    <t>W22 PREMIUM</t>
  </si>
  <si>
    <t>RJB-20410</t>
  </si>
  <si>
    <t>476 / 278 / 238A</t>
  </si>
  <si>
    <t>6319-C3</t>
  </si>
  <si>
    <t>6316-C3</t>
  </si>
  <si>
    <t xml:space="preserve">OMEGA 150-460B </t>
  </si>
  <si>
    <t>RJB-20411</t>
  </si>
  <si>
    <t>360 m³/h</t>
  </si>
  <si>
    <t>110MCA</t>
  </si>
  <si>
    <t>placa</t>
  </si>
  <si>
    <t>POWER ELETRONICS</t>
  </si>
  <si>
    <t>SD750</t>
  </si>
  <si>
    <t>250KW</t>
  </si>
  <si>
    <t>RJB-18851</t>
  </si>
  <si>
    <t>7 MCA</t>
  </si>
  <si>
    <t>5 MCA</t>
  </si>
  <si>
    <t>RJB-20459</t>
  </si>
  <si>
    <t>476 / 276 / 238A</t>
  </si>
  <si>
    <t>6318-C3</t>
  </si>
  <si>
    <t>OMEGA 150-460 B</t>
  </si>
  <si>
    <t>RJB-20499</t>
  </si>
  <si>
    <t>400KW</t>
  </si>
  <si>
    <t>RJB-26831</t>
  </si>
  <si>
    <t>BOOSTER JK</t>
  </si>
  <si>
    <t>R. da Cascata, 60 - Pres. Juscelino, Mesquita - RJ, 26557-700</t>
  </si>
  <si>
    <t>Pres. Juscelino</t>
  </si>
  <si>
    <t>MESQUITA</t>
  </si>
  <si>
    <t>450CV</t>
  </si>
  <si>
    <t>1793rpm</t>
  </si>
  <si>
    <t>355.4L</t>
  </si>
  <si>
    <t>RJB-02539</t>
  </si>
  <si>
    <t>RDL 250-400 A</t>
  </si>
  <si>
    <t>RJB-07474</t>
  </si>
  <si>
    <t>1070M3/H</t>
  </si>
  <si>
    <t>85MCA</t>
  </si>
  <si>
    <t>355M</t>
  </si>
  <si>
    <t>RJB-07405</t>
  </si>
  <si>
    <t>RJB-07403</t>
  </si>
  <si>
    <t>250CV</t>
  </si>
  <si>
    <t>RJB-03614</t>
  </si>
  <si>
    <t>220 / 380 / 440</t>
  </si>
  <si>
    <t>584 / 338 / 292</t>
  </si>
  <si>
    <t>RJB-26813</t>
  </si>
  <si>
    <t>WHORTHINGTON</t>
  </si>
  <si>
    <t>SD75070055</t>
  </si>
  <si>
    <t>315kW</t>
  </si>
  <si>
    <t>RJB-20155</t>
  </si>
  <si>
    <t>1793 a 1850 rpm</t>
  </si>
  <si>
    <t>RJB-18296</t>
  </si>
  <si>
    <t>RJB-07453</t>
  </si>
  <si>
    <t>RJA-08472</t>
  </si>
  <si>
    <t>SD75032055</t>
  </si>
  <si>
    <t>320A</t>
  </si>
  <si>
    <t>RJB-22128</t>
  </si>
  <si>
    <t>BOOSTER POSSE</t>
  </si>
  <si>
    <t>Estrada velha de Iguaçu, 812 - Miguel Couto , Belford Roxo - RJ</t>
  </si>
  <si>
    <t>26145-420</t>
  </si>
  <si>
    <t>175cv</t>
  </si>
  <si>
    <t>1791rpm</t>
  </si>
  <si>
    <t>VERIFICAR</t>
  </si>
  <si>
    <t>424 / 245 / 212</t>
  </si>
  <si>
    <t>Sem Dados</t>
  </si>
  <si>
    <t>450 M³/H</t>
  </si>
  <si>
    <t>82MCA</t>
  </si>
  <si>
    <t>750kva</t>
  </si>
  <si>
    <t>ACQ580-430A</t>
  </si>
  <si>
    <t>430A</t>
  </si>
  <si>
    <t xml:space="preserve">4 mca </t>
  </si>
  <si>
    <t>3mca</t>
  </si>
  <si>
    <t>80MCA</t>
  </si>
  <si>
    <t>RJB-23844</t>
  </si>
  <si>
    <t>RJB-23847</t>
  </si>
  <si>
    <t>RJB-23834</t>
  </si>
  <si>
    <t>RJB-26816</t>
  </si>
  <si>
    <t>RJB-23424</t>
  </si>
  <si>
    <t>SD 750</t>
  </si>
  <si>
    <t>8 mca</t>
  </si>
  <si>
    <t>MANUTENÇÃO</t>
  </si>
  <si>
    <t>BURITI</t>
  </si>
  <si>
    <t>R. Freitas De Aguiar, 13 - Eucalipto, Japeri - RJ, 26453-325</t>
  </si>
  <si>
    <t>Eucalipto</t>
  </si>
  <si>
    <t>7.5 cv</t>
  </si>
  <si>
    <t>RJB-17524</t>
  </si>
  <si>
    <t>/</t>
  </si>
  <si>
    <t>050-032-160</t>
  </si>
  <si>
    <t>RJB-17563</t>
  </si>
  <si>
    <t>SCHNEIDER</t>
  </si>
  <si>
    <t>150mm</t>
  </si>
  <si>
    <t>41m3/h</t>
  </si>
  <si>
    <t>46mca</t>
  </si>
  <si>
    <t>2POL</t>
  </si>
  <si>
    <t>RJB-01927</t>
  </si>
  <si>
    <t>X</t>
  </si>
  <si>
    <t>CAIÇARA</t>
  </si>
  <si>
    <t>Tv. Benjamim Chanbarelli, 30 - Caonze, Nova Iguaçu - RJ, 26250-120</t>
  </si>
  <si>
    <t>RJB-05451</t>
  </si>
  <si>
    <t>220 / 380</t>
  </si>
  <si>
    <t>50.3 / 29.1</t>
  </si>
  <si>
    <t>MONOBLOCO</t>
  </si>
  <si>
    <t>RJB-05513</t>
  </si>
  <si>
    <t>Ingersoll-Dresser Pumps</t>
  </si>
  <si>
    <t>165,1 mm</t>
  </si>
  <si>
    <t>AGUA - BOOSTER - CAICARA</t>
  </si>
  <si>
    <t>PCA OITICICA SN FT52</t>
  </si>
  <si>
    <t>75MMM</t>
  </si>
  <si>
    <t>RJB-18806</t>
  </si>
  <si>
    <t>FC-101</t>
  </si>
  <si>
    <t>22KW/30HP</t>
  </si>
  <si>
    <t>RJB-18807</t>
  </si>
  <si>
    <t>Rua AnambA - Rua Angelina - Rua Bacuri - Rua Eucalipto - Rua GoiAs - Rua Jaras - Rua JatobA - Rua JequitibA Rosa - Rua JequitibA - Rua Leopoldo Machado - Rua Massaranduba - Rua Ocabu - Rua Oiti - Rua Pequim</t>
  </si>
  <si>
    <t>CAIXA VELHA</t>
  </si>
  <si>
    <t>R. Tab. Murilo Costa, 140 - Centro</t>
  </si>
  <si>
    <t>26255-130</t>
  </si>
  <si>
    <t>40cv</t>
  </si>
  <si>
    <t>RJB-12016</t>
  </si>
  <si>
    <t>97.6 / 56.5</t>
  </si>
  <si>
    <t>RJB-04532</t>
  </si>
  <si>
    <t>AGUA - ELEV - BRASILIA</t>
  </si>
  <si>
    <t>R TABE MURILO COSTA 141</t>
  </si>
  <si>
    <t>150MM</t>
  </si>
  <si>
    <t>RJB-00159</t>
  </si>
  <si>
    <t>RJB-16854</t>
  </si>
  <si>
    <t>Rua 15 de Agosto - Rua 1º de Maio - Rua 23 de Abril - Rua 25 de Dezembro - Rua AntOnio de Almeida - Rua da Liberdade - Rua das Mangueiras - Rua do GDRM-11tAo - Rua Dona Rita - Rua Dr. Tibau - Rua Juiz Antonio Belot de Souza - Rua Rangel Pestana - Rua Rejane Pedro Equi - Rua SebastiAo dos Reis - Rua SebastiAo Herculano de Matos  (parte) - Rua TabeliAo Murilo Costa (parte) - Rua Zilda - Travessa Dr. Tibau - Travessa Maria JosE - Travessa Shirley - Travessa Soares</t>
  </si>
  <si>
    <t>CABUÇU BAIXO</t>
  </si>
  <si>
    <t>Av. Abílio Augusto Távora, 5157 - Vl Valverde, Nova Iguaçu - RJ, 26290-717</t>
  </si>
  <si>
    <t>Vl Valverde</t>
  </si>
  <si>
    <t>75CV</t>
  </si>
  <si>
    <t>HELIBOMBAS</t>
  </si>
  <si>
    <t>220V / 380V</t>
  </si>
  <si>
    <t>187,1A/108,3A</t>
  </si>
  <si>
    <t>HAM-75/305-1</t>
  </si>
  <si>
    <t>HELIBOMAS</t>
  </si>
  <si>
    <t>750M³/H</t>
  </si>
  <si>
    <t>16,5MCA</t>
  </si>
  <si>
    <t>380V</t>
  </si>
  <si>
    <t>RJB-23752</t>
  </si>
  <si>
    <t xml:space="preserve">145/124 A </t>
  </si>
  <si>
    <t>RJB-24088</t>
  </si>
  <si>
    <t>CANADENSE</t>
  </si>
  <si>
    <t>Rua Gen. Olímpio da Fonseca, 917 - Paiol de Pólvora, Nilópolis - RJ, 26545-470</t>
  </si>
  <si>
    <t>Paiol de Pólvora</t>
  </si>
  <si>
    <t>4,5CV</t>
  </si>
  <si>
    <t>3450RPM</t>
  </si>
  <si>
    <t>VANBRO</t>
  </si>
  <si>
    <t>VMSP</t>
  </si>
  <si>
    <t>13.8/8.0</t>
  </si>
  <si>
    <t>VBSP.67X.02.045.Y</t>
  </si>
  <si>
    <t>140mm</t>
  </si>
  <si>
    <t>SUBMERSA</t>
  </si>
  <si>
    <t>SUBMERSA VERTICAL</t>
  </si>
  <si>
    <t>24m³/h</t>
  </si>
  <si>
    <t>33,5mca</t>
  </si>
  <si>
    <t>RESERVA FRIA</t>
  </si>
  <si>
    <t>AGUA - BOOSTER - UNIVERSAL CANADENSE</t>
  </si>
  <si>
    <t>R JOAO DIEZ LIMA 97</t>
  </si>
  <si>
    <t>SSW07</t>
  </si>
  <si>
    <t>PAIOL</t>
  </si>
  <si>
    <t>Rua OlImpio da Fonseca (Trecho Rua Major Leite de Castro A Rua Canadense), Rua Dona Vicentina (Trecho Rua Carlos de S. Fernandes A Rua Manoel Pinto), Rua Canadense (Trecho Rua JosE Couto GuimarAes A Rua Manoel Pinto, Rua Jorge LOssio, Rua Carlos de S. Fernandes (Trecho Rua Dona Vicentina A Rua Canadense) e pequenas Vilas desse trecho.</t>
  </si>
  <si>
    <t>CARAMUJOS</t>
  </si>
  <si>
    <t>R. Cruz Alta, 2-8 - Parque do Ipanema, Queimados - RJ, 26320-330</t>
  </si>
  <si>
    <t>Parque do Ipanema</t>
  </si>
  <si>
    <t>12.5CV</t>
  </si>
  <si>
    <t>132M</t>
  </si>
  <si>
    <t>RJB-21905</t>
  </si>
  <si>
    <t>30.2 / 17.5 / 15.1</t>
  </si>
  <si>
    <t>RJB-21906</t>
  </si>
  <si>
    <t>W22 premium</t>
  </si>
  <si>
    <t>132mm</t>
  </si>
  <si>
    <t>CARLOS SAMPAIO</t>
  </si>
  <si>
    <t>R. Lúcia Maria Piper, 50 - Adrianópolis, Nova Iguaçu - RJ, 26053-075</t>
  </si>
  <si>
    <t>Adrianopolis</t>
  </si>
  <si>
    <t>100CV</t>
  </si>
  <si>
    <t>1785rpm</t>
  </si>
  <si>
    <t>SEW EURODRIVE</t>
  </si>
  <si>
    <t>RJB-20145</t>
  </si>
  <si>
    <t>220/380/440</t>
  </si>
  <si>
    <t>200 / 131 / 151</t>
  </si>
  <si>
    <t>6317-2Z-C4</t>
  </si>
  <si>
    <t>6315-2RS-C3</t>
  </si>
  <si>
    <t>CONJ.GS - 125/400</t>
  </si>
  <si>
    <t>RJB-23961</t>
  </si>
  <si>
    <t>EBARA</t>
  </si>
  <si>
    <t>275.0 m³/h</t>
  </si>
  <si>
    <t>55MCA</t>
  </si>
  <si>
    <t>Placa</t>
  </si>
  <si>
    <t>RJB-23645</t>
  </si>
  <si>
    <t>ACO580-01-145A-4</t>
  </si>
  <si>
    <t>145A</t>
  </si>
  <si>
    <t>RJB-23646</t>
  </si>
  <si>
    <t>8MCA</t>
  </si>
  <si>
    <t>70 MCA</t>
  </si>
  <si>
    <t>CAONZE</t>
  </si>
  <si>
    <t>R. Ver. Hélcio Chambarelli - Caonze, Nova Iguaçu - RJ, 26250-170</t>
  </si>
  <si>
    <t>Caonze</t>
  </si>
  <si>
    <t>15cv</t>
  </si>
  <si>
    <t>3530rpm</t>
  </si>
  <si>
    <t>RJB-18613</t>
  </si>
  <si>
    <t>CASA DE CUSTÓDIA COTRIN NETO</t>
  </si>
  <si>
    <t>R. Assul,  Jd Belo Horizonte, Japeri - RJ, 26480-400</t>
  </si>
  <si>
    <t>Jd Belo Horizonte</t>
  </si>
  <si>
    <t>3460rpm</t>
  </si>
  <si>
    <t>E56J</t>
  </si>
  <si>
    <t>RJB-30668</t>
  </si>
  <si>
    <t>7.81 / 4.52</t>
  </si>
  <si>
    <t>CEFET</t>
  </si>
  <si>
    <t>EAT</t>
  </si>
  <si>
    <t>R. Ademar Guimarães, 17 - Jardim Monte Castelo, Nova Iguaçu - RJ, 26041-600</t>
  </si>
  <si>
    <t>Santa Rita</t>
  </si>
  <si>
    <t>7,5cv</t>
  </si>
  <si>
    <t>3515rpm</t>
  </si>
  <si>
    <t>6617672-7</t>
  </si>
  <si>
    <t>AGUA - BOOSTER - CEFET</t>
  </si>
  <si>
    <t>EST ADRIANOPOLIS SN EF2174</t>
  </si>
  <si>
    <t>CHATUBA</t>
  </si>
  <si>
    <t>Rua Marques Canário, 667 - Chatuba - Mesquita - RJ, 26585-520</t>
  </si>
  <si>
    <t>Chatuba</t>
  </si>
  <si>
    <t>RJB-21052</t>
  </si>
  <si>
    <t>4x3x10</t>
  </si>
  <si>
    <t>RJB-30605</t>
  </si>
  <si>
    <t>254mm</t>
  </si>
  <si>
    <t>JM</t>
  </si>
  <si>
    <t>FC</t>
  </si>
  <si>
    <t>129,25 M³/H</t>
  </si>
  <si>
    <t>MT</t>
  </si>
  <si>
    <t>AGUA - BOOSTER - CHATUBA</t>
  </si>
  <si>
    <t>R MARQUES DE CANARIO SN LT8</t>
  </si>
  <si>
    <t>RJB-11687</t>
  </si>
  <si>
    <t>SSW 11</t>
  </si>
  <si>
    <t>89A</t>
  </si>
  <si>
    <t>RJB-11695</t>
  </si>
  <si>
    <t>Rua atendidas: Arizona, Plaza, AstOria, Toneleiros, AssU, Adolfo de Albuquerque, IcaraI, Aquidauana, Itaqui, AbaetE e Boatafogo. Comunidade da Chatuba</t>
  </si>
  <si>
    <t>CITROPOLIS</t>
  </si>
  <si>
    <t>R. Tóquio, 38 - Citrópolis, Japeri - RJ, 26425-340</t>
  </si>
  <si>
    <t>Citrópolis</t>
  </si>
  <si>
    <t>10CV</t>
  </si>
  <si>
    <t>3535 RPM</t>
  </si>
  <si>
    <t>132S</t>
  </si>
  <si>
    <t>RJB-21460</t>
  </si>
  <si>
    <t>25.0 / 14.5 / 12.5</t>
  </si>
  <si>
    <t>6309-Z-C3</t>
  </si>
  <si>
    <t>6207-ZZ</t>
  </si>
  <si>
    <t>THS-18 TRIF IP5</t>
  </si>
  <si>
    <t>RJB-21480</t>
  </si>
  <si>
    <t>179mm</t>
  </si>
  <si>
    <t>30m3/h</t>
  </si>
  <si>
    <t>55mca</t>
  </si>
  <si>
    <t>RJB-23511</t>
  </si>
  <si>
    <t>ACS310-03E-34A1-2</t>
  </si>
  <si>
    <t>7,5KW - 10HP</t>
  </si>
  <si>
    <t>RJB-23515</t>
  </si>
  <si>
    <t>DANON</t>
  </si>
  <si>
    <t>R. Luís Ferreira, 3 - Pioneiro, Nova Iguaçu - RJ, 26294-300</t>
  </si>
  <si>
    <t>Pioneiro</t>
  </si>
  <si>
    <t>112M</t>
  </si>
  <si>
    <t>RJB-21481</t>
  </si>
  <si>
    <t>19.4 / 11.3 / 9.72</t>
  </si>
  <si>
    <t xml:space="preserve"> PX-15/2</t>
  </si>
  <si>
    <t>RJB-21482</t>
  </si>
  <si>
    <t>THEBE</t>
  </si>
  <si>
    <t>138mm</t>
  </si>
  <si>
    <t>10,55M3/H</t>
  </si>
  <si>
    <t>50MCA</t>
  </si>
  <si>
    <t>1.1/2</t>
  </si>
  <si>
    <t>RJB-17683</t>
  </si>
  <si>
    <t>ACS8310-035E-26A8-2</t>
  </si>
  <si>
    <t>5.5 KW (7 1/2 HP)</t>
  </si>
  <si>
    <t>75 MCA</t>
  </si>
  <si>
    <t>DAS ROSAS</t>
  </si>
  <si>
    <t>Rancho Fundo, Nova Iguaçu - RJ, 26051-370</t>
  </si>
  <si>
    <t>Rancho Fundo</t>
  </si>
  <si>
    <t>RJB-21901</t>
  </si>
  <si>
    <t>36.8 / 21.3 / 18.4A</t>
  </si>
  <si>
    <t>Megablock</t>
  </si>
  <si>
    <t>RJB-21902</t>
  </si>
  <si>
    <t>33M3/h</t>
  </si>
  <si>
    <t>54MCA</t>
  </si>
  <si>
    <t>SAP</t>
  </si>
  <si>
    <t>2.1/2POL</t>
  </si>
  <si>
    <t>1.1/2POL</t>
  </si>
  <si>
    <t>DA SERRA</t>
  </si>
  <si>
    <t>R. Soares Couto, 361 - Santa Terezinha, Mesquita - RJ, 26554-220</t>
  </si>
  <si>
    <t>Santa Terezinha</t>
  </si>
  <si>
    <t>20CV</t>
  </si>
  <si>
    <t>RJB-22369</t>
  </si>
  <si>
    <t>60mca</t>
  </si>
  <si>
    <t>Preventiva</t>
  </si>
  <si>
    <t>RJB-23287</t>
  </si>
  <si>
    <t>Atv320</t>
  </si>
  <si>
    <t>15kW</t>
  </si>
  <si>
    <t>RJB-22284</t>
  </si>
  <si>
    <t>DINAMARCO REIS</t>
  </si>
  <si>
    <t>R. Dinamarco Réis, 48 - Joaquim De Almeida Flores, Nilópolis - RJ, 26545-230</t>
  </si>
  <si>
    <t>Joaquim De Almeida Flores</t>
  </si>
  <si>
    <t>RJB-22359</t>
  </si>
  <si>
    <t>6309-ZZ-C3</t>
  </si>
  <si>
    <t>VOLUTA</t>
  </si>
  <si>
    <t>165mm</t>
  </si>
  <si>
    <t>AGUA - BOOSTER - DINAMARCO REIS</t>
  </si>
  <si>
    <t>R DINAMARCO REIS SN</t>
  </si>
  <si>
    <t>RJB-20218</t>
  </si>
  <si>
    <t>FC-202P18KT2E20H2</t>
  </si>
  <si>
    <t>Rua Dinamarco Reis (Trecho Rua Carlos de Souza Fernandes ao Final da Rua), Rua JosE Couto GuimarAes (Trecho Rua Rodrigues Alves A Rua Cândida), Rua Maria Gama (Trecho Rua Carlos de Souza Fernandes A Rua Candida), Rua Amadeu Lara (Trecho Rua Carlos de souza Fernandes A Rua Candida) e pequenas Vilas desse Trecho.</t>
  </si>
  <si>
    <t>DIVINO</t>
  </si>
  <si>
    <t>Av. Luigi Giobi, 26 - Vila do Tinguá, Queimados - RJ, 26383-340</t>
  </si>
  <si>
    <t>Vila do Tinguá</t>
  </si>
  <si>
    <t>3545rpm</t>
  </si>
  <si>
    <t>RJB-21949</t>
  </si>
  <si>
    <t>49.8/28.8/24.9</t>
  </si>
  <si>
    <t>RJB-21913</t>
  </si>
  <si>
    <t>SEM SENSOR</t>
  </si>
  <si>
    <t>DORALICE</t>
  </si>
  <si>
    <t>Rua Doralice 235, Caixa DAgua - Queimados</t>
  </si>
  <si>
    <t>Caixa DAgua</t>
  </si>
  <si>
    <t>5CV</t>
  </si>
  <si>
    <t>3475rpm</t>
  </si>
  <si>
    <t>100L</t>
  </si>
  <si>
    <t>RJB-23738</t>
  </si>
  <si>
    <t>12.8 / 7.39 / 6.38</t>
  </si>
  <si>
    <t>RJB-20022</t>
  </si>
  <si>
    <t>DANCOR</t>
  </si>
  <si>
    <t>EDNA</t>
  </si>
  <si>
    <t>Av. Henrique Duque Estrada Meyer, 690-798 - Ponto Chic, Nova Iguaçu - RJ, 26041-061</t>
  </si>
  <si>
    <t>Ponto Chic</t>
  </si>
  <si>
    <t>HERCULES</t>
  </si>
  <si>
    <t>RJB-23803</t>
  </si>
  <si>
    <t>13.84 / 7.99 / 6.02A</t>
  </si>
  <si>
    <t>RJB-05478</t>
  </si>
  <si>
    <t>AGUA - BOOSTER - EDNA</t>
  </si>
  <si>
    <t>R EDNA SN EF16</t>
  </si>
  <si>
    <t>RJA-18531</t>
  </si>
  <si>
    <t>AC2310-03E-50A8-2</t>
  </si>
  <si>
    <t>11kW</t>
  </si>
  <si>
    <t>Rua Edna - Rua ParaguaCu - Rua ParanaguA - Rua Sueli</t>
  </si>
  <si>
    <t>EDUARDO CELIDÔNIO</t>
  </si>
  <si>
    <t>R. A, 1 - Vila Camarim, Queimados - RJ, 26383-522</t>
  </si>
  <si>
    <t>Vila Camarim</t>
  </si>
  <si>
    <t>3510rpm</t>
  </si>
  <si>
    <t>RJA-11604</t>
  </si>
  <si>
    <t>25.7 / 14.9</t>
  </si>
  <si>
    <t>RJB-07208</t>
  </si>
  <si>
    <t>EL SHADAY</t>
  </si>
  <si>
    <t>R. Márcio Vieira de Oliveira, 372 - Austin, Nova Iguaçu - RJ, 26086-215</t>
  </si>
  <si>
    <t>AUSTIN</t>
  </si>
  <si>
    <t>26086-215</t>
  </si>
  <si>
    <t>4,5cv</t>
  </si>
  <si>
    <t>3450 rpm</t>
  </si>
  <si>
    <t>LEÃO</t>
  </si>
  <si>
    <t>R28A</t>
  </si>
  <si>
    <t>RJB-21452</t>
  </si>
  <si>
    <t>20E8H</t>
  </si>
  <si>
    <t>98.5mm</t>
  </si>
  <si>
    <t>20 A 36M³/H</t>
  </si>
  <si>
    <t>37MCA</t>
  </si>
  <si>
    <t>AGUA - BOOSTER - ELSHADAI</t>
  </si>
  <si>
    <t>R MARCIO VIEIRA DE OLIVEIRA SN EF370</t>
  </si>
  <si>
    <t>Ladeira el Shaday, Rua Barroso, Rua Aristides, Rua Bela Vista e Rua Calma.</t>
  </si>
  <si>
    <t>ENGENHARIA</t>
  </si>
  <si>
    <t>Av. Henrique Duque Estrada Meyer, 395 - Alto da Posse, Nova Iguaçu - RJ, 26030-380</t>
  </si>
  <si>
    <t>Posse</t>
  </si>
  <si>
    <t>14CV</t>
  </si>
  <si>
    <t>3450rpm</t>
  </si>
  <si>
    <t>RJB-20955</t>
  </si>
  <si>
    <t>650-04</t>
  </si>
  <si>
    <t>50 m³/h</t>
  </si>
  <si>
    <t>AGUA - BOOSTER - ENGENHARIA</t>
  </si>
  <si>
    <t>AV HENRIQUE DUQUE ESTRADA MEYER SN EF407</t>
  </si>
  <si>
    <t>SSW05</t>
  </si>
  <si>
    <t>ESPLANADA</t>
  </si>
  <si>
    <t>Estr. da Fazenda, 2-264 - Jardim da Viga, Nova Iguaçu - RJ, 26013-470</t>
  </si>
  <si>
    <t>Jardim da Viga</t>
  </si>
  <si>
    <t>RJB-30617</t>
  </si>
  <si>
    <t>AGUA - ELEV - ESPLANADA  (CAIXA BAIXA) * E ANEXOS</t>
  </si>
  <si>
    <t>R FAZENDA 256</t>
  </si>
  <si>
    <t>&lt; 1MCA</t>
  </si>
  <si>
    <t>Av. Esplanada - Rua Araci - Rua Baltimore - Rua Canavieira - Rua da Conquista - Rua da Fazenda - Rua FiladElfia - Rua Iguape - Rua Itabuna - Rua JundiaI - Rua Pedro I - Rua Pedro II - Rua Pensilvânia - Rua Pontal do Sul - Rua Quieve - Rua UbatA - Rua Variante Barros JUnior (parte)</t>
  </si>
  <si>
    <t>EXPEDICIONARIOS</t>
  </si>
  <si>
    <t>Estrada dos Expedicionário, 1264, Paiol, Nilópolis - RJ, 26540-020</t>
  </si>
  <si>
    <t>Paiol</t>
  </si>
  <si>
    <t>12cv</t>
  </si>
  <si>
    <t>RJB-30616</t>
  </si>
  <si>
    <t>221 / 219</t>
  </si>
  <si>
    <t>AGUA - ELEV - EXPEDICIONARIOS</t>
  </si>
  <si>
    <t>EST EXPEDICIONARIOS SN EF1254</t>
  </si>
  <si>
    <t>CABUIS</t>
  </si>
  <si>
    <t>Rua dos ExpedicionArio (Trecho Rua JoAo Castro ao final da Rua), Rua Sargento Manoel Rodrigues (Trecho Rua Antonio P. de Carvalho A Rua Maestro D. do Carmo), Rua Maestro Djalma do Carmo (Trecho Rua Sargento Manoel Rodrigues ao final da Rua), Rua Trav. sargento Manoel Rodrigues, Trav. JosE das Chagas Barros, rua JoAo M. Santiago e pequenas Vilas desses trechos.</t>
  </si>
  <si>
    <t>ETE LAGOINHA</t>
  </si>
  <si>
    <t>R. Dez, 47 - Lagoinha, Nova Iguaçu - RJ, 26296-069</t>
  </si>
  <si>
    <t>Lagoinha</t>
  </si>
  <si>
    <t>RJB-12623</t>
  </si>
  <si>
    <t>RJA-15138</t>
  </si>
  <si>
    <t>11,7 L/S</t>
  </si>
  <si>
    <t>FLORESTA MIRANDA</t>
  </si>
  <si>
    <t>Rua Floresta Miranda, 257 - Centro, Nova Iguaçu - RJ, 26250-060</t>
  </si>
  <si>
    <t>RJB-00199</t>
  </si>
  <si>
    <t>220/380V</t>
  </si>
  <si>
    <t>12.8 / 7.39</t>
  </si>
  <si>
    <t>W22 Premium</t>
  </si>
  <si>
    <t>RJB-18145</t>
  </si>
  <si>
    <t xml:space="preserve">AGUA - BOOSTER - FLORESTA MIRANDA </t>
  </si>
  <si>
    <t>R FLORESTA MIRANDA 256</t>
  </si>
  <si>
    <t>CFW500</t>
  </si>
  <si>
    <t>Rua Anverino Floresta de Miranda (toda), Rua Darci Froes da Cruz (toda)</t>
  </si>
  <si>
    <t>FRANCISCO XAVIER</t>
  </si>
  <si>
    <t>Próximo a R. Francisco Xavier, 801 - São Gabriel, Nova Iguaçu - RJ, 26021-650</t>
  </si>
  <si>
    <t>São Gabriel</t>
  </si>
  <si>
    <t>7.5CV</t>
  </si>
  <si>
    <t>8268575-4</t>
  </si>
  <si>
    <t>AGUA - ELEV - MARACANA (VILA CAVA)</t>
  </si>
  <si>
    <t>R FRANCISCO XAVIER 810</t>
  </si>
  <si>
    <t>75MM</t>
  </si>
  <si>
    <t>Rua Fernanda - Rua Flexas - Rua Joaquim Soares Neto - Rua Planaltina</t>
  </si>
  <si>
    <t>GAMA</t>
  </si>
  <si>
    <t>Estr. da Gama, 721 - Cerâmica, Nova Iguaçu - RJ, 26035-220</t>
  </si>
  <si>
    <t>FICTÍCIA</t>
  </si>
  <si>
    <t>NÃO TEM</t>
  </si>
  <si>
    <t>AGUA - ELEV - GAMA</t>
  </si>
  <si>
    <t>R A SN SV BOMBA EQ R GAMA</t>
  </si>
  <si>
    <t>Condomínio sito à Rua Oliveiros Rodrigues Alves</t>
  </si>
  <si>
    <t>GOLDEN GATE</t>
  </si>
  <si>
    <t>R. Amazor Moreira Prisco, 154 - Centro, Nova Iguaçu - RJ, 26255-250</t>
  </si>
  <si>
    <t>1765rpm</t>
  </si>
  <si>
    <t>RJA-10229</t>
  </si>
  <si>
    <t>19.2 / 11.1 / 9.60</t>
  </si>
  <si>
    <t>Fc-184</t>
  </si>
  <si>
    <t>GRAMA</t>
  </si>
  <si>
    <t>Estr. da Grama, 1743 - Jardim Fonte Sao Miguel, Nova Iguaçu - RJ, 26060-015</t>
  </si>
  <si>
    <t>Jardim Fonte Sao Miguel</t>
  </si>
  <si>
    <t>3540rpm</t>
  </si>
  <si>
    <t>VOGES</t>
  </si>
  <si>
    <t>RJB-19111</t>
  </si>
  <si>
    <t>6309 ZZC3</t>
  </si>
  <si>
    <t>6309 ZZC</t>
  </si>
  <si>
    <t>RJB-30608</t>
  </si>
  <si>
    <t>AGUA - BOOSTER - GRAMA</t>
  </si>
  <si>
    <t>EST GRAMA 333</t>
  </si>
  <si>
    <t>Estrada da Grama - Estrada Piteira - Rua "A" - Rua "B" - Rua "G" - Rua Abreu Filho - Rua Arnaldo - Rua BelizArio Pena - Rua Benjamim Batista - Rua Daniel Almeida - Rua Diva - Rua Ednelson de Souza Brasiliano - Rua Eduardo Meireles - Rua EmIlia Mendes - Rua Esterlita Ling - Rua Gisela - Rua Lauro Carvalho Barros - Rua Minas Gerais - Rua ParA - Rua Paulo Cezar - Rua Presidente Leme - Rua Renilda Mayer - Rua Rocha Faria - Rua Santa BArbara - Rua SAo Paulo - Rua Torres Homem - Rua Zaida - Travessa 4 - Travessa 5</t>
  </si>
  <si>
    <t>GRANJA ROSALINA</t>
  </si>
  <si>
    <t>Rua José Alexandre esquina com a Estr. Campo Alegre</t>
  </si>
  <si>
    <t>Granja Rosalina</t>
  </si>
  <si>
    <t>7.5 (10cv)</t>
  </si>
  <si>
    <t>RJB-18367</t>
  </si>
  <si>
    <t>25.0/14.5/12.5</t>
  </si>
  <si>
    <t>PX-15/3 KN BR T</t>
  </si>
  <si>
    <t>RJB-18368</t>
  </si>
  <si>
    <t>FF-265</t>
  </si>
  <si>
    <t>HADDOCK LOBO</t>
  </si>
  <si>
    <t>R. Adoc Lôbo, 10 - Vila do Tinguá, Queimados - RJ, 26385-380</t>
  </si>
  <si>
    <t>IARA</t>
  </si>
  <si>
    <t>R. Manuel Rodrigues de Sá Panela, 214-302 - Cacuia, Nova Iguaçu - RJ, 26082-215</t>
  </si>
  <si>
    <t>Cacuia</t>
  </si>
  <si>
    <t>15CV</t>
  </si>
  <si>
    <t>RJB-21995</t>
  </si>
  <si>
    <t>36.8 / 21.3 / 18.4</t>
  </si>
  <si>
    <t>RJB-21996</t>
  </si>
  <si>
    <t>INDIA PORTUGUESA</t>
  </si>
  <si>
    <t>R. Antônio Pereira de Carvalho, 34 - Centro, Nilópolis - RJ, 26540-000</t>
  </si>
  <si>
    <t>AGUA - BOOSTER - INDIA PORTUGUESA (CONSUMO BASE 2013)</t>
  </si>
  <si>
    <t>ITAPEMIRIM</t>
  </si>
  <si>
    <t>R. Rio Douro, 79 - Itaipu, Belford Roxo - RJ, 26143-500</t>
  </si>
  <si>
    <t>Itaipu</t>
  </si>
  <si>
    <t>BELFORD ROXO</t>
  </si>
  <si>
    <t>RJB-04092</t>
  </si>
  <si>
    <t>220 / 380V</t>
  </si>
  <si>
    <t>49,8 / 28,8</t>
  </si>
  <si>
    <t>RJB-30641</t>
  </si>
  <si>
    <t>AGUA - BOOSTER - ITAPEMIRIM</t>
  </si>
  <si>
    <t>AV ITAPEMIRIM SN LD815</t>
  </si>
  <si>
    <t>RJB-20230</t>
  </si>
  <si>
    <t>18,5 KW / 25 HP</t>
  </si>
  <si>
    <t>RJB-20232</t>
  </si>
  <si>
    <t>BOA ESPERANÇA</t>
  </si>
  <si>
    <t>Rua Benjamim Ferreira _ Rua Boa EsperanCa - Rua Cedro Rosa - Rua George Sandi - Rua Ipe Roxo - Rua Itapemirim - Rua Jacaranda Branco - Rua Tacaronda - Rua Vinhatico</t>
  </si>
  <si>
    <t>ITAPAGE</t>
  </si>
  <si>
    <t>R. Itapage, 440, Queimados - RJ, 26381-429</t>
  </si>
  <si>
    <t>Laranjal</t>
  </si>
  <si>
    <t xml:space="preserve">5.5 (7.5cv) </t>
  </si>
  <si>
    <t>RJB-21476</t>
  </si>
  <si>
    <t>19.4/11.3/9.72</t>
  </si>
  <si>
    <t>PX-15/2</t>
  </si>
  <si>
    <t>RJB-21477</t>
  </si>
  <si>
    <t>112mm</t>
  </si>
  <si>
    <t>FF-215</t>
  </si>
  <si>
    <t>&lt;1 MCA</t>
  </si>
  <si>
    <t>ITORORÓ</t>
  </si>
  <si>
    <t>R. Itororó, 246 - Vila Guimaraes, Queimados - RJ, 26340-250</t>
  </si>
  <si>
    <t>Vila Guimaraes</t>
  </si>
  <si>
    <t>RJB-16937</t>
  </si>
  <si>
    <t>RJB-16049</t>
  </si>
  <si>
    <t>IVO MIRANDA</t>
  </si>
  <si>
    <t>Rua Ivo de Miranda Monte, 28, Banco de Areia, Mesquita - RJ, 26574-770</t>
  </si>
  <si>
    <t>Banco de Areia</t>
  </si>
  <si>
    <t>10 CV</t>
  </si>
  <si>
    <t>AGUA  - ELEV- IVO DE MIRANDA</t>
  </si>
  <si>
    <t>R IVO MIRANDA MONTES SN CN.CEDAE</t>
  </si>
  <si>
    <t>JOSE VIRGILIO DO PRADO</t>
  </si>
  <si>
    <t>R. das Crianças, 257 - Vila Nascente, Queimados - RJ, 26327-210</t>
  </si>
  <si>
    <t>Vila Nascente</t>
  </si>
  <si>
    <t>RJB-14880</t>
  </si>
  <si>
    <t>RJB-14837</t>
  </si>
  <si>
    <t>LAGOINHA</t>
  </si>
  <si>
    <t>R. Quarenta e Sete, 62 - Conj. Campo Belo, Nova Iguaçu - RJ, 26296-099</t>
  </si>
  <si>
    <t>Campo Belo</t>
  </si>
  <si>
    <t>1750rpm</t>
  </si>
  <si>
    <t>RGB 801T-EI</t>
  </si>
  <si>
    <t>RJB-30664</t>
  </si>
  <si>
    <t>66m³/h</t>
  </si>
  <si>
    <t>13.3mca</t>
  </si>
  <si>
    <t>LAGOINHA II</t>
  </si>
  <si>
    <t>R. Zero, 195 - Lagoinha, Nova Iguaçu - RJ, 26296-024</t>
  </si>
  <si>
    <t>2,0CV</t>
  </si>
  <si>
    <t>ABS</t>
  </si>
  <si>
    <t>RJB-22575</t>
  </si>
  <si>
    <t>10A</t>
  </si>
  <si>
    <t>ZULZER EJ20BX</t>
  </si>
  <si>
    <t>ZULZER</t>
  </si>
  <si>
    <t>18m³/h</t>
  </si>
  <si>
    <t>10mca</t>
  </si>
  <si>
    <t>LIBANEA</t>
  </si>
  <si>
    <t>R. Libânia, 2-144 - Vila Emil, Mesquita - RJ, 26551-200</t>
  </si>
  <si>
    <t>Vila Emil</t>
  </si>
  <si>
    <t>6 CV</t>
  </si>
  <si>
    <t>3330 RPM</t>
  </si>
  <si>
    <t>22A / 23A / 19A</t>
  </si>
  <si>
    <t>RJB-04936</t>
  </si>
  <si>
    <t>AGUA - ELEV - LIBANEA</t>
  </si>
  <si>
    <t>R LIBANIA SN EF15 EF15A</t>
  </si>
  <si>
    <t>LIBERDADE</t>
  </si>
  <si>
    <t>Rua Mario Pereira Lima, 140 - Lote 9 - Austin - Nova Iguaçu</t>
  </si>
  <si>
    <t>Austin</t>
  </si>
  <si>
    <t>7,5 cv</t>
  </si>
  <si>
    <t>RJB-00461</t>
  </si>
  <si>
    <t>RJB-00460</t>
  </si>
  <si>
    <t>LUCIO TAVARES</t>
  </si>
  <si>
    <t>R. Lúcio Tavares - Centro, Nilópolis - RJ, 26535-001</t>
  </si>
  <si>
    <t>AGUA - ELEV - LUCIO TAVARES</t>
  </si>
  <si>
    <t>R LUCIO TAVARES SN EF329</t>
  </si>
  <si>
    <t>Rua LUcio Tavares (Trecho Rua AntOnio JosE Bittencourt A Av. Oswaldo Cruz), Rua Orlando Bernardino Lopes (Trecho Rua  Carmela Dutra ao final da Rua), Rua Dr. Silvio, Rua AntOnio Cardoso Leal (Trecho Rua AntOnio Bittencourt A Av. Oswaldo Cruz), Rua Dr. Rufino GonCalves Ferreira (Trecho Rua AntOnio JosE Bitencourt A Av. Oswaldo Cruz) e pequenas Vilas desse trecho</t>
  </si>
  <si>
    <t>MACIEL</t>
  </si>
  <si>
    <t>R. Ver. José Virgílio do Prado, 79 - Vila Nascente, Queimados - RJ, 26325-050</t>
  </si>
  <si>
    <t>RJA-01036</t>
  </si>
  <si>
    <t>RJB-03110</t>
  </si>
  <si>
    <t>AGUA - BVOLANTE - MACIEL</t>
  </si>
  <si>
    <t>R MACIEL SN EF113</t>
  </si>
  <si>
    <t>MANOEL REIS</t>
  </si>
  <si>
    <t>R. Dr. Manoel Reis, 405 - Olinda, Nilópolis - RJ, 26510-182</t>
  </si>
  <si>
    <t>Olinda</t>
  </si>
  <si>
    <t>5cv</t>
  </si>
  <si>
    <t>18A / 18A / 18A</t>
  </si>
  <si>
    <t>VBSP67.1782 T</t>
  </si>
  <si>
    <t>RJB-19615</t>
  </si>
  <si>
    <t>VAMBRO</t>
  </si>
  <si>
    <t>27m³/h</t>
  </si>
  <si>
    <t>14mca</t>
  </si>
  <si>
    <t>AGUA - ELEV - MANOEL REIS</t>
  </si>
  <si>
    <t>EST DR MANOEL REIS SN EF395</t>
  </si>
  <si>
    <t>Area 1: Rua JosE do PatrocInio (trecho Rua Alberto Teixeira da Cunha A Av. Mirandela), Rua VirgIlio R. de Oliveira (trecho Rua Alberto Teixeira da Cunha A Av. Mirandela), Rua Jornalista Hungria (trecho Rua Alberto Teixeira da Cunha A Av. Mirandela, Rua Alberto Teixeira da Cunha (trecho Rua JoAo Pessoa A Rua wallace Paes Leme).     Area 2: Rua JosE do PatrocInio (trecho Rua AntOnio JoAo MendonCa A Rua Alberto Teixeira da Cunha), Rua VirgIlio R. de Oliveira (trecho Rua Antonio JoAo MendonCa A Rua Alberto Teixeira da Cunha), Rua Manoel Brigido Tinoco, Rua Cap. Manoel de Melo, Rua JoAo Pessoa (trecho Rua Antonio JoAo MendonCa A Rua Alberto Teixeira da Cunha), Rua Geovana Santana Drumond, Rua Antonio JoAo MendonCa (trecho Rua JoAo Pessoa A Rua Wallace Paes Leme). Area 3: Rua Feliciano SodrE, Rua FlorianOpolis, Rua Maria Teresa de Paula, Rua Maria Chambarele, Rua JoAo Evangelista de Carvalho (trecho Rua Dr. Manoel Reis A Rua Antonio JoAo MendonCa).</t>
  </si>
  <si>
    <t>MAURICIA BORGES</t>
  </si>
  <si>
    <t>Rua Maurícia Borges, 314 - Banco de Areia, Mesquita - RJ, 26564-021</t>
  </si>
  <si>
    <t>VBOP64 . 6097 T</t>
  </si>
  <si>
    <t>RJB-16423</t>
  </si>
  <si>
    <t>Bombas Vanbro LTDA</t>
  </si>
  <si>
    <t>13 a 17m³/h</t>
  </si>
  <si>
    <t>AGUA - ELEV - MAURICIA BORGES</t>
  </si>
  <si>
    <t>TR MAURICIA BORGES SN PX303</t>
  </si>
  <si>
    <t>MELVIN JONES</t>
  </si>
  <si>
    <t>R. Gov. Portela, 331 - Centro, Nova Iguaçu - RJ, 26221-030</t>
  </si>
  <si>
    <t>RJB-18602</t>
  </si>
  <si>
    <t>221A / 22A</t>
  </si>
  <si>
    <t>RJB-18603</t>
  </si>
  <si>
    <t>AGUA - BOOSTER - MELVIM JONES</t>
  </si>
  <si>
    <t>TR MELVIM JONES SN LD41</t>
  </si>
  <si>
    <t xml:space="preserve">Rua Melvin Jones </t>
  </si>
  <si>
    <t>MENA BARRETO</t>
  </si>
  <si>
    <t>R. Otaciano, 96 - Novo Horizonte, Nilópolis - RJ, 26535-430</t>
  </si>
  <si>
    <t>AGUA - BVOLANTE - MENA BARRETO</t>
  </si>
  <si>
    <t>EST GAL MENA BARRETO SN EF863</t>
  </si>
  <si>
    <t>Estrada Mena Barreto (trecho), Rua Nadir Trindade (trecho), Rua Natividade (trecho), Rua OtacIlio Pessoa (trecho).</t>
  </si>
  <si>
    <t>MESQUITA G1</t>
  </si>
  <si>
    <t>Rua Augusto Cardoso, 240 -  Coréia, Mesquita, RJ - 26556-030</t>
  </si>
  <si>
    <t>Coréia</t>
  </si>
  <si>
    <t>RJB-02885</t>
  </si>
  <si>
    <t>228 / 132 A</t>
  </si>
  <si>
    <t>RJB-11656</t>
  </si>
  <si>
    <t>220V/MT</t>
  </si>
  <si>
    <t>AGUA - BOOSTER - MESQUITA</t>
  </si>
  <si>
    <t>R AUGUSTO CARDOSO SN</t>
  </si>
  <si>
    <t>DN45X200</t>
  </si>
  <si>
    <t>CORÉIA</t>
  </si>
  <si>
    <t>Ruas Guararema, guaraUna, JapuIra, Itacy, Capivari, Patativa, Uruguai, Campestre, Siriema, PompIlio, Rua da Valam Quito, Canavial, Arrozal, Javali, Paraguai, JosE Dias GuimarAes, JardinOpolis, Pintassilgo, Araripe, GuaporE, Luanda, Capivara</t>
  </si>
  <si>
    <t>3560rpm</t>
  </si>
  <si>
    <t>RJB-13964</t>
  </si>
  <si>
    <t>RJB-11659</t>
  </si>
  <si>
    <t>MORRO DA COCADA</t>
  </si>
  <si>
    <t>R. Doná Orminda, 23 - Andrade Araujo, Nova Iguaçu - RJ, 26010-450</t>
  </si>
  <si>
    <t>Andrade Araujo</t>
  </si>
  <si>
    <t>4,5 CV</t>
  </si>
  <si>
    <t>3500 RPM</t>
  </si>
  <si>
    <t>AGUA - ELEV - MORRO DA COCADA</t>
  </si>
  <si>
    <t>R DONA ORMINDA SN PX25</t>
  </si>
  <si>
    <t>MORRO DA TORRE</t>
  </si>
  <si>
    <t>R. Mirante, 289-193 - Flesmam, Queimados - RJ, 26325-200</t>
  </si>
  <si>
    <t>Flesmam</t>
  </si>
  <si>
    <t>RJB-07199</t>
  </si>
  <si>
    <t>RJB-07185</t>
  </si>
  <si>
    <t>RJB-22285</t>
  </si>
  <si>
    <t xml:space="preserve">ACS355  </t>
  </si>
  <si>
    <t>41A</t>
  </si>
  <si>
    <t>RJB-23832</t>
  </si>
  <si>
    <t>1 mca</t>
  </si>
  <si>
    <t>MORRO DA MOENDA</t>
  </si>
  <si>
    <t>Rua Manuel Rodrigues de Sá Panela, 25 - Cacuia - Nova Iguaçu -RJ</t>
  </si>
  <si>
    <t>26082-250</t>
  </si>
  <si>
    <t>8 cv</t>
  </si>
  <si>
    <t>LEAO</t>
  </si>
  <si>
    <t>RJB-25663</t>
  </si>
  <si>
    <t>24.0 / 24.0 / 24.0</t>
  </si>
  <si>
    <t>RJB-26857</t>
  </si>
  <si>
    <t>AGUA - BOOSTER - MORRO DA MOENDA</t>
  </si>
  <si>
    <t>R C SN EF21</t>
  </si>
  <si>
    <t>MOENDA</t>
  </si>
  <si>
    <t>Rua Altinopolis, Rua Jeronimo de Ornelas, Rua Caninare, Rua Almirante Pestana, Rua Dante Santoro, Rua 7 Barras, Rua Wilde Lustosa, Rua Tambaquim.</t>
  </si>
  <si>
    <t>MORRO DO TEMPERO</t>
  </si>
  <si>
    <t>Estrada Carlos Sampaio ,78 - Austin - Nova Iguaçu</t>
  </si>
  <si>
    <t>26088-230</t>
  </si>
  <si>
    <t>15 CV</t>
  </si>
  <si>
    <t>3545RPM</t>
  </si>
  <si>
    <t>WEG W22 IR3 Premium</t>
  </si>
  <si>
    <t>132M/L</t>
  </si>
  <si>
    <t>6307-ZZ</t>
  </si>
  <si>
    <t>FN2F-T-T15,0CV</t>
  </si>
  <si>
    <t>FAMAC</t>
  </si>
  <si>
    <t>1,9</t>
  </si>
  <si>
    <t>172mm</t>
  </si>
  <si>
    <t>87 m³/h</t>
  </si>
  <si>
    <t>52mca</t>
  </si>
  <si>
    <t>MORRO DOS 40</t>
  </si>
  <si>
    <t>R. José Assis Ferreira, 91 - Centro de Japeri, Japeri - RJ, 26435-267</t>
  </si>
  <si>
    <t>3515 RPM</t>
  </si>
  <si>
    <t>0.5 MCA</t>
  </si>
  <si>
    <t>0.2 MCA</t>
  </si>
  <si>
    <t>NESTOR MARINHO</t>
  </si>
  <si>
    <t>R. Nestor Marinho, 14 - Jardim Nossa Sra. das Gracas, Nova Iguaçu - RJ, 26261-230</t>
  </si>
  <si>
    <t>Jardim Alvorada</t>
  </si>
  <si>
    <t>26261-230</t>
  </si>
  <si>
    <t>11 (15)CV</t>
  </si>
  <si>
    <t>1332M</t>
  </si>
  <si>
    <t>RJB-21944</t>
  </si>
  <si>
    <t>Av. Nazaré, 3076 - Olinda, Nilópolis - RJ, 21645-010</t>
  </si>
  <si>
    <t xml:space="preserve">200CV </t>
  </si>
  <si>
    <t>1351rpm</t>
  </si>
  <si>
    <t>RJB-01827</t>
  </si>
  <si>
    <t>10 LR 18 A</t>
  </si>
  <si>
    <t>RJB-01829</t>
  </si>
  <si>
    <t xml:space="preserve">Worthington </t>
  </si>
  <si>
    <t>420MM</t>
  </si>
  <si>
    <t>1080M³/H</t>
  </si>
  <si>
    <t>370A</t>
  </si>
  <si>
    <t>RJA-12938</t>
  </si>
  <si>
    <t>53.6 MCA</t>
  </si>
  <si>
    <t>1\2</t>
  </si>
  <si>
    <t>RJB-04066</t>
  </si>
  <si>
    <t>RJB-01387</t>
  </si>
  <si>
    <t>RJB-01893</t>
  </si>
  <si>
    <t>RJB-01391</t>
  </si>
  <si>
    <t xml:space="preserve">RJB-01879 </t>
  </si>
  <si>
    <t>Sd75032055</t>
  </si>
  <si>
    <t>160kW</t>
  </si>
  <si>
    <t>RJB-07856</t>
  </si>
  <si>
    <t>NILO PECANHA (CEMITERIO)</t>
  </si>
  <si>
    <t>R. Dep. Andrade Figueira, 826 - Cabuís, Nilópolis - RJ, 26545-191</t>
  </si>
  <si>
    <t>Cabuís</t>
  </si>
  <si>
    <t>AGUA - ELEV - NILO PECANHA</t>
  </si>
  <si>
    <t>AV NILO PECANHA SN EF826</t>
  </si>
  <si>
    <t>Rua Deputado andrade Figueira (trecho Rua Nilo PeCanha A Rua Cândido), Rua Cândida (trecho Rua amadeu Lara a Rua joAo de Castro), Rua Amadeu Lara (trecho de Rua Cândido atE a Rua Nilo PeCanaha), Rua Dulce (trecho Rua Cândido atE a Rua Nilo PeCanha), Rua CapitAo alfredo Antunes (trecho Rua JosE c. GuimarAes), Rua Fernando GonCalves de Almeida (Rua Nilo PeCanha a Rua JosE Couto GuimarAes) e pequenas vilas deste trecho</t>
  </si>
  <si>
    <t>ODILON BRAGA</t>
  </si>
  <si>
    <t>R. Odilon Braga, 119 - Queimados, RJ, 26310-190</t>
  </si>
  <si>
    <t>RJB-03134</t>
  </si>
  <si>
    <t>50.3 / 29.1 / 25.2</t>
  </si>
  <si>
    <t>NOÊMIA VIEIRA</t>
  </si>
  <si>
    <t>Av. Abílio Augusto Távora, 3715 - Jardim Alvorada, Nova Iguaçu - RJ, 26265-090</t>
  </si>
  <si>
    <t>22 (30)CV</t>
  </si>
  <si>
    <t>3555rpm</t>
  </si>
  <si>
    <t>180M</t>
  </si>
  <si>
    <t>RJB-21997</t>
  </si>
  <si>
    <t>RJB-23829</t>
  </si>
  <si>
    <t>AGUA - BOOSTER - NOEMIA VIEIRA</t>
  </si>
  <si>
    <t>R DONA NOEMIA VIEIRA SN FT171</t>
  </si>
  <si>
    <t>Rua GerOncio Pimenta - Rua JosE Augusto - Rua Maria GonCalves dos Anjos - Rua Ministro Afrânio Costa - Rua NoEmia Vieira</t>
  </si>
  <si>
    <t>OLIVIA MARIA MACHADO</t>
  </si>
  <si>
    <t>R. Olívia Maria Machado, 145 - Vila Santa Catarina, Queimados - RJ, 26323-400</t>
  </si>
  <si>
    <t>Vila Santa Catarina</t>
  </si>
  <si>
    <t>3520rpm</t>
  </si>
  <si>
    <t>RJA-00323</t>
  </si>
  <si>
    <t>RJB-07285</t>
  </si>
  <si>
    <t>AGUA - ELEV - OLIVIA MACHADO</t>
  </si>
  <si>
    <t>R OLIVIA MARIA MACHADO 1SN FT9</t>
  </si>
  <si>
    <t>PADRE VIEIRA</t>
  </si>
  <si>
    <t>Rua Nair Dias, 657 - Vila São Luís, Nova Iguaçu - RJ, 26012-451</t>
  </si>
  <si>
    <t>Vila São Luís</t>
  </si>
  <si>
    <t>6CV</t>
  </si>
  <si>
    <t>500/003/X</t>
  </si>
  <si>
    <t>RJB-23689</t>
  </si>
  <si>
    <t>13.8 / 8.0 A</t>
  </si>
  <si>
    <t>VBSP67.1781 T</t>
  </si>
  <si>
    <t>RJB-30626</t>
  </si>
  <si>
    <t>VILA OPERARIA</t>
  </si>
  <si>
    <t>10cv</t>
  </si>
  <si>
    <t>AGUA - ELEV - JOAO DIAS DE LIMA</t>
  </si>
  <si>
    <t>R JOAO DIEZ LIMA SN EF13</t>
  </si>
  <si>
    <t>Rua JoAo Diaz de Lima (Trecho Rua OlImpio da Fonseca A Rua JosE Couto GuimarAes), Rua Carlos de Souza Fernandes (Trecho Rua Cap. Alfredo Antunes A Rua Cap. Antunes Vasconcelos), Rua Maria Paris (Trecho Rua JosE Couto GuimarAes ao Final da Rua), Travessa Maria Paris, Rua JoAo Alves, Rua JoAo Alves, Rua Humberto Perlingeiro, Rua Ravelo, Rua Leonor Roque, Rua EugEnio Santana, Rua AntOnio M. da Costa, Rua Acacia Torres e pequenas Vilas desse trechos.</t>
  </si>
  <si>
    <t>PALHADA</t>
  </si>
  <si>
    <t>Estr. da Palhada, 2337 - Valverde, Nova Iguaçu - RJ, 26290-006</t>
  </si>
  <si>
    <t>Valverde</t>
  </si>
  <si>
    <t>RJB-18179</t>
  </si>
  <si>
    <t>36,8 A</t>
  </si>
  <si>
    <t>C-200</t>
  </si>
  <si>
    <t>AGUA - BOOSTER - PALHADA</t>
  </si>
  <si>
    <t>EST GOVR LEONEL BRIZOLA 2338 FT</t>
  </si>
  <si>
    <t>Rua Ana Paula - Rua Eliane Azevedo - Rua LUcia - Rua Maria Paula - Rua Mario Roberto - Rua Rafael Luiz</t>
  </si>
  <si>
    <t>PARQUE MARAVILHA</t>
  </si>
  <si>
    <t>Estrada da Gama, 815 - Oliveira - Nova Iguaçu</t>
  </si>
  <si>
    <t>Oliveira</t>
  </si>
  <si>
    <t>1750 RPM</t>
  </si>
  <si>
    <t>FLOWSERV</t>
  </si>
  <si>
    <t>7.10</t>
  </si>
  <si>
    <t>170m³/h</t>
  </si>
  <si>
    <t>43mca</t>
  </si>
  <si>
    <t>AGUA - BOOSTER - PARQUE MARAVILHA</t>
  </si>
  <si>
    <t>EST GAMA SN EF813</t>
  </si>
  <si>
    <t>PASTOR ANTONIO MARTINS</t>
  </si>
  <si>
    <t>R. Rui Chagas, 07 - q 17 loja 01 sala 04 - Flesmam, Queimados - RJ, 26383-320</t>
  </si>
  <si>
    <t>40CV</t>
  </si>
  <si>
    <t>3565 RPM</t>
  </si>
  <si>
    <t>200M</t>
  </si>
  <si>
    <t>RJB-21937</t>
  </si>
  <si>
    <t>101/58.7/50.7 AMP</t>
  </si>
  <si>
    <t>6312-ZZ-C3</t>
  </si>
  <si>
    <t>RJB-21938</t>
  </si>
  <si>
    <t>KSB MEGABLOC 100-65-160GG</t>
  </si>
  <si>
    <t>172MM</t>
  </si>
  <si>
    <t>170M³/H</t>
  </si>
  <si>
    <t>43MCA</t>
  </si>
  <si>
    <t>VLT 102</t>
  </si>
  <si>
    <t>104A</t>
  </si>
  <si>
    <t>PRAÇA DA BÍBLIA</t>
  </si>
  <si>
    <t>R. Olímpia Silva, 16 - Centro, Queimados - RJ, 26327-380</t>
  </si>
  <si>
    <t>Pacaembu</t>
  </si>
  <si>
    <t>12.5cv</t>
  </si>
  <si>
    <t>132m</t>
  </si>
  <si>
    <t>RJB-03133</t>
  </si>
  <si>
    <t>30.0 / 17.4 / 15</t>
  </si>
  <si>
    <t>BC-21</t>
  </si>
  <si>
    <t>RJB-03119</t>
  </si>
  <si>
    <t>RJB-22567</t>
  </si>
  <si>
    <t>VLT</t>
  </si>
  <si>
    <t>RJB-20226</t>
  </si>
  <si>
    <t>Estr. Carlos Sampaio, 176 - São Simao, Queimados - RJ, 26327-410</t>
  </si>
  <si>
    <t>São Simao</t>
  </si>
  <si>
    <t>220/380/440V</t>
  </si>
  <si>
    <t>RJB-07160</t>
  </si>
  <si>
    <t>extraIdo no consumo custo ano base 2015. Cadastrado como Agua - ReservatOrio - Morro da Caixa D Agua (GRB)</t>
  </si>
  <si>
    <t xml:space="preserve">&lt; 1 MCA </t>
  </si>
  <si>
    <t>SAO SIMAO</t>
  </si>
  <si>
    <t>QUISSUCO</t>
  </si>
  <si>
    <t>Estr. Padre José Anchieta, 76 - Laranjal Santo Antonio</t>
  </si>
  <si>
    <t>7.5</t>
  </si>
  <si>
    <t>3535RPM</t>
  </si>
  <si>
    <t>RJB-20209</t>
  </si>
  <si>
    <t>18.8 / 10.9 / 9.38</t>
  </si>
  <si>
    <t>6206-ZZ</t>
  </si>
  <si>
    <t>RJB-23833</t>
  </si>
  <si>
    <t>AGUA - BOOSTER - QUISSUCO</t>
  </si>
  <si>
    <t>R ITAPERAVA SN EF712</t>
  </si>
  <si>
    <t>PINDORAMA</t>
  </si>
  <si>
    <t>R. Itaparica, 16 - Banco de Areia, Mesquita - RJ, 26570-250</t>
  </si>
  <si>
    <t>RJB-21020</t>
  </si>
  <si>
    <t>D-1130</t>
  </si>
  <si>
    <t>RJB-21021</t>
  </si>
  <si>
    <t>FLOWSERVE</t>
  </si>
  <si>
    <t>157mm</t>
  </si>
  <si>
    <t>AGUA - BOOSTER - PINDORAMA</t>
  </si>
  <si>
    <t>PCA PINDORAMA SN</t>
  </si>
  <si>
    <t>RJB-22282</t>
  </si>
  <si>
    <t>Ruas Itapemirim, EugEnio Ferreira, PiaCava, Itaparica, Jequitinhonha, Ipanema, MastruCo, Trav. PiaCava, Bicuiba, Dona Amelia, Juraci, Guapo, Valtire, Jane, Mnaca, Herondina, Prof. JoAo Ribeiro Filho.</t>
  </si>
  <si>
    <t>RESERVATÓRIO CABUÇU ALTO</t>
  </si>
  <si>
    <t>RES</t>
  </si>
  <si>
    <t>Próximo Rua Passa Vinte, Nova Iguaçu - RJ  26290</t>
  </si>
  <si>
    <t>Campo Alegre</t>
  </si>
  <si>
    <t>26290-000</t>
  </si>
  <si>
    <t>RESERVAÇÃO</t>
  </si>
  <si>
    <t>RESERVATÓRIO NILÓPOLIS</t>
  </si>
  <si>
    <t>CENTRO</t>
  </si>
  <si>
    <t>7,5 CV</t>
  </si>
  <si>
    <t>3480 RPM</t>
  </si>
  <si>
    <t>RJB-00433</t>
  </si>
  <si>
    <t>RJB-10612</t>
  </si>
  <si>
    <t>RODILÂNDIA</t>
  </si>
  <si>
    <t>Rua Rodolfo Torres,67 - Rodilandia - Nova Iguaçu</t>
  </si>
  <si>
    <t>Rodilandia</t>
  </si>
  <si>
    <t>65CV</t>
  </si>
  <si>
    <t>RJB-19159</t>
  </si>
  <si>
    <t>56.5 / 107.5</t>
  </si>
  <si>
    <t>S140-4</t>
  </si>
  <si>
    <t>RJB-17273</t>
  </si>
  <si>
    <t>RANKLIN ELETRIC /LEÃO</t>
  </si>
  <si>
    <t>142.5mm</t>
  </si>
  <si>
    <t>100 a 190m³/h</t>
  </si>
  <si>
    <t>1075 a 565mca</t>
  </si>
  <si>
    <t>AGUA - ELEV - RODILANDIA</t>
  </si>
  <si>
    <t>R S FRANCISCO DE ASSIS SN CN.CEDAE</t>
  </si>
  <si>
    <t>200MM</t>
  </si>
  <si>
    <t>RODILANDIA</t>
  </si>
  <si>
    <t>ROLDAO GONCALVES</t>
  </si>
  <si>
    <t>R. João Rodrigues da Cunha, 1174 - Olinda, Nilópolis - RJ, 26510-049</t>
  </si>
  <si>
    <t>RJB-18742</t>
  </si>
  <si>
    <t>AGUA - BOOSTER - ROLDAO GONCALVES</t>
  </si>
  <si>
    <t>R JOAO RODRIGUES DA CUNHA SN</t>
  </si>
  <si>
    <t>Rua RoldAo GonCalves (Trecho Rua JoAo da Cunha A Rua Joaquim M. Soares), Rua FranCa Leite (Trecho Rua JoAo Rodrigues da Cunha A Rua Dr. Manoel Reis, rua Sem. Salgado Filho (|Trecho Rua JoAo E. de Carvalho ao final da Rua), Trav. BrasIlia, Rua SAo Judas Tadeu, Rua Nodge Barreto, Rua JoAo R.J. Pereira, Rua Luis do EspIrito Santo, Rua Francisco Alves Pimenta, Trav. Jardim, Rua Joaquim MAximo Soares (Trecho Rua RoldAo GonCalves ao final da Rua), Rua do Carteiro, Rua J.A. Batista. Obs. e pequenas Vilas desse trecho</t>
  </si>
  <si>
    <t>SANTO ELIAS</t>
  </si>
  <si>
    <t>R. Teresinha, 320 - Jacutinga, Mesquita - RJ, 26564-240</t>
  </si>
  <si>
    <t>Jacutinga</t>
  </si>
  <si>
    <t>30CV</t>
  </si>
  <si>
    <t>1772rpm</t>
  </si>
  <si>
    <t>RJB-20058</t>
  </si>
  <si>
    <t>76.2/44.1/38.1</t>
  </si>
  <si>
    <t>E10SM</t>
  </si>
  <si>
    <t>RJB-20064</t>
  </si>
  <si>
    <t>IMBIL</t>
  </si>
  <si>
    <t>375 mm</t>
  </si>
  <si>
    <t>ALTERNADA</t>
  </si>
  <si>
    <t>AUTOESCORVANTE</t>
  </si>
  <si>
    <t>216.00m³/h</t>
  </si>
  <si>
    <t>17.00mca</t>
  </si>
  <si>
    <t>250MM</t>
  </si>
  <si>
    <t>RJB-03339</t>
  </si>
  <si>
    <t>BRCFW110070T4SZ</t>
  </si>
  <si>
    <t>RJB-03363</t>
  </si>
  <si>
    <t>6.800 METROS</t>
  </si>
  <si>
    <t>4.500 METROS</t>
  </si>
  <si>
    <t>RJB-03225</t>
  </si>
  <si>
    <t>74.0/42.8/37.0</t>
  </si>
  <si>
    <t>LP10</t>
  </si>
  <si>
    <t>RJB-06100</t>
  </si>
  <si>
    <t>ESCO</t>
  </si>
  <si>
    <t>37485mm</t>
  </si>
  <si>
    <t>FC-228</t>
  </si>
  <si>
    <t>RJB-03389</t>
  </si>
  <si>
    <t>RJB-06125</t>
  </si>
  <si>
    <t>SANTO ANTÔNIO</t>
  </si>
  <si>
    <t>R. Santo Antônio, 9 - Califórnia, Nova Iguaçu - RJ, 26010-050</t>
  </si>
  <si>
    <t>Califórnia</t>
  </si>
  <si>
    <t>26010-050</t>
  </si>
  <si>
    <t>3,0 HP</t>
  </si>
  <si>
    <t>LOBMAS LEÃO</t>
  </si>
  <si>
    <t>RJB-19990</t>
  </si>
  <si>
    <t>AGUA - BOOSTER - SANTO ANTONIO</t>
  </si>
  <si>
    <t>R STO ANTONIO SN EF9</t>
  </si>
  <si>
    <t>CALIFORNIA</t>
  </si>
  <si>
    <t>SÃO JOAQUIM</t>
  </si>
  <si>
    <t>Estr. Manuel Resende, 568, Nova Iguaçu - RJ, 26083-530</t>
  </si>
  <si>
    <t xml:space="preserve">Rodilândia </t>
  </si>
  <si>
    <t>SÃO JORGE</t>
  </si>
  <si>
    <t>ETE</t>
  </si>
  <si>
    <t>Rua Gastão Costa, 56, São Jorge, Queimados - RJ, 26381-324</t>
  </si>
  <si>
    <t>São Jorge</t>
  </si>
  <si>
    <t>26381-324</t>
  </si>
  <si>
    <t>RJB-186128</t>
  </si>
  <si>
    <t>214 / 212 / 213</t>
  </si>
  <si>
    <t>15 / 16 / 15</t>
  </si>
  <si>
    <t>7,4 l/s</t>
  </si>
  <si>
    <t>SHEIK REJANE</t>
  </si>
  <si>
    <t>R. Cheik Rejane, 2-380 - São Jorge, Japeri - RJ, 26435-270</t>
  </si>
  <si>
    <t>3500RPM</t>
  </si>
  <si>
    <t>RJB-21483</t>
  </si>
  <si>
    <t>THS-18</t>
  </si>
  <si>
    <t>RJB-21484</t>
  </si>
  <si>
    <t>EBARA BOMBAS AMERICA DO SUL LTDA</t>
  </si>
  <si>
    <t>134mm</t>
  </si>
  <si>
    <t>180m³/h</t>
  </si>
  <si>
    <t>AGUA - BOOSTER - SHEIK REJANE</t>
  </si>
  <si>
    <t>R CEL EMIDIO LEMOS SN PX15</t>
  </si>
  <si>
    <t>RJB-23502</t>
  </si>
  <si>
    <t>ACS310-03E-19A4-2</t>
  </si>
  <si>
    <t>4KW - 5HP</t>
  </si>
  <si>
    <t>RJB-23503</t>
  </si>
  <si>
    <t>TABELIÃO MURILO COSTA</t>
  </si>
  <si>
    <t>R. Cel. Alfredo Soares, 101 - Centro, Nova Iguaçu - RJ, 26255-150</t>
  </si>
  <si>
    <t>3HP</t>
  </si>
  <si>
    <t>RJB-18708</t>
  </si>
  <si>
    <t>15 / 14</t>
  </si>
  <si>
    <t>RJB-18710</t>
  </si>
  <si>
    <t>14m³/h a 22m³/h</t>
  </si>
  <si>
    <t>28 / 17</t>
  </si>
  <si>
    <t>TACIANO MANACÁ</t>
  </si>
  <si>
    <t>R. Taciano Manacá, 101 - São Francisco, Queimados - RJ</t>
  </si>
  <si>
    <t>Sao Francisco</t>
  </si>
  <si>
    <t>RJB-21470</t>
  </si>
  <si>
    <t>RJB-21471</t>
  </si>
  <si>
    <t>Thebe</t>
  </si>
  <si>
    <t>TIMBO</t>
  </si>
  <si>
    <t>R. Timbó, 10 - Vila das Porteiras, Queimados - RJ, 26385-396</t>
  </si>
  <si>
    <t>Vila das Porteiras</t>
  </si>
  <si>
    <t>15.CV</t>
  </si>
  <si>
    <t>IEC132</t>
  </si>
  <si>
    <t>RJB-20011</t>
  </si>
  <si>
    <t>36,0 / 20,80 / 18,0</t>
  </si>
  <si>
    <t>IR3</t>
  </si>
  <si>
    <t>RJA-12644</t>
  </si>
  <si>
    <t>AGUA - ELEV - TIMBO</t>
  </si>
  <si>
    <t>RUA TIMBO</t>
  </si>
  <si>
    <t>VISTA ALEGRE</t>
  </si>
  <si>
    <t>R. Gurupi Ac R Padre Jose Anchietpa, 72 - Sao Francisco, Queimados - RJ, 26381-348</t>
  </si>
  <si>
    <t>RJB-21456</t>
  </si>
  <si>
    <t>25.0 / 14.5 / 12.5A</t>
  </si>
  <si>
    <t>RJB-21459</t>
  </si>
  <si>
    <t>thebe</t>
  </si>
  <si>
    <t>RJB-23421</t>
  </si>
  <si>
    <t>ACS310</t>
  </si>
  <si>
    <t>RJB-23425</t>
  </si>
  <si>
    <t>TRÊS CORAÇÕES</t>
  </si>
  <si>
    <t>R. Pindá, 20-66 - Posse, Nova Iguaçu - RJ, 26022-550</t>
  </si>
  <si>
    <t>132s</t>
  </si>
  <si>
    <t>RJB-16870</t>
  </si>
  <si>
    <t>RJB-16879</t>
  </si>
  <si>
    <t>SCHENEIDER</t>
  </si>
  <si>
    <t>171mm</t>
  </si>
  <si>
    <t>AGUA - BOOSTER - TRES CORACOES</t>
  </si>
  <si>
    <t>R ESTEVAO PEREIRA DE ANDRADE 526</t>
  </si>
  <si>
    <t>Ruas da Liberdade (trecho), da ConsolaCAo, Bela Vista, PaissandU e Cândido Lima</t>
  </si>
  <si>
    <t>YOLANDA</t>
  </si>
  <si>
    <t>Rua Caminho de Madureira, s/n - Iolanda, Nova Iguaçu - RJ, 26277-425</t>
  </si>
  <si>
    <t>Yolanda</t>
  </si>
  <si>
    <t>RJB-21453</t>
  </si>
  <si>
    <t>GSD 32/200</t>
  </si>
  <si>
    <t>RJB-21454</t>
  </si>
  <si>
    <t>219MM</t>
  </si>
  <si>
    <t>JP</t>
  </si>
  <si>
    <t>30,5 M³/H</t>
  </si>
  <si>
    <t>76MCA</t>
  </si>
  <si>
    <t>RJB-20440</t>
  </si>
  <si>
    <t>ACQ580-01-089A-2</t>
  </si>
  <si>
    <t>89/74.5 A</t>
  </si>
  <si>
    <t>RJB-20464</t>
  </si>
  <si>
    <t>2 MCA</t>
  </si>
  <si>
    <t>&lt; 2 MCA</t>
  </si>
  <si>
    <t>WALLACE PAES LEME</t>
  </si>
  <si>
    <t>Rua Pracinha Wallace Paes Leme, 523 - Olinda, Nilópolis - RJ, 26510-044</t>
  </si>
  <si>
    <t>3º LINHA PRETA</t>
  </si>
  <si>
    <t>Tv. Guaranis - Heliópolis, Belford Roxo</t>
  </si>
  <si>
    <t>Heliópolis</t>
  </si>
  <si>
    <t>Belford Roxo</t>
  </si>
  <si>
    <t>26140-014</t>
  </si>
  <si>
    <t>200CV</t>
  </si>
  <si>
    <t>440V / 760v</t>
  </si>
  <si>
    <t>241A / 140A</t>
  </si>
  <si>
    <t>HAR-200/390-1</t>
  </si>
  <si>
    <t>RJB-26826</t>
  </si>
  <si>
    <t>345mm</t>
  </si>
  <si>
    <t>792m³/h</t>
  </si>
  <si>
    <t>45m.c.a</t>
  </si>
  <si>
    <t>ACQ580-01-293A-4</t>
  </si>
  <si>
    <t>293A</t>
  </si>
  <si>
    <t>RJB-26820</t>
  </si>
  <si>
    <t>CLUBE 34</t>
  </si>
  <si>
    <t>R. Rio de Janeiro, 63 - Jardim Paraíso, Nova Iguaçu - RJ, 26086-005</t>
  </si>
  <si>
    <t>Jardim Paraíso</t>
  </si>
  <si>
    <t>26086-005</t>
  </si>
  <si>
    <t>6,0 CV</t>
  </si>
  <si>
    <t>RJB-21466</t>
  </si>
  <si>
    <t>15,3V/8,88V/7,67V</t>
  </si>
  <si>
    <t>6206ZZ</t>
  </si>
  <si>
    <t>R-16(R) IP</t>
  </si>
  <si>
    <t>154mm</t>
  </si>
  <si>
    <t>15m³/h</t>
  </si>
  <si>
    <t>44mca</t>
  </si>
  <si>
    <t>MONTE LIBANO</t>
  </si>
  <si>
    <t>RUA DAMAS BATISTA 872 - CENTRO - NOVA IGUAÇU</t>
  </si>
  <si>
    <t>26220-180</t>
  </si>
  <si>
    <t>20 CV</t>
  </si>
  <si>
    <t>RJB-24624</t>
  </si>
  <si>
    <t>220/380/440v</t>
  </si>
  <si>
    <t>RJB-24237</t>
  </si>
  <si>
    <t>160mm</t>
  </si>
  <si>
    <t xml:space="preserve">PL-RJB-EEE0073 </t>
  </si>
  <si>
    <t>EEE</t>
  </si>
  <si>
    <t>Rua Magno de Carvalho, 546 - Edson Passos, Mesquita - RJ, 26587-021</t>
  </si>
  <si>
    <t>Edson Passos</t>
  </si>
  <si>
    <t>26587-021</t>
  </si>
  <si>
    <t>SEW-EURODRIVE</t>
  </si>
  <si>
    <t>VILA NORMA</t>
  </si>
  <si>
    <t>Av. Laura Gonçalves Machado, 255 - Cosmorama, Mesquita - RJ, 26572-360</t>
  </si>
  <si>
    <t>Cosmorama</t>
  </si>
  <si>
    <t>26572-360</t>
  </si>
  <si>
    <t>BANCO DE AREIA</t>
  </si>
  <si>
    <t>R. Bicuíba, 399 - Banco de Areia</t>
  </si>
  <si>
    <t>26570-090</t>
  </si>
  <si>
    <t>DESATIVADO</t>
  </si>
  <si>
    <t>VILA RORAIMA</t>
  </si>
  <si>
    <t>Rua sagres 97</t>
  </si>
  <si>
    <t>VALVERDE</t>
  </si>
  <si>
    <t>RJA-19617</t>
  </si>
  <si>
    <t>RJB-30602</t>
  </si>
  <si>
    <t>VILA RORAIMA 2</t>
  </si>
  <si>
    <t>PL-RJB-EAT0971</t>
  </si>
  <si>
    <t>R. Dez, 87-1 - Lagoinha, Nova Iguaçu - RJ, 26296-069, Brasil</t>
  </si>
  <si>
    <t>1755rpm</t>
  </si>
  <si>
    <t>RJB-23687</t>
  </si>
  <si>
    <t>60.8 /35.2 / 30.4A</t>
  </si>
  <si>
    <t>AERADOR</t>
  </si>
  <si>
    <t>ESP</t>
  </si>
  <si>
    <t>SANTA TEREZINHA</t>
  </si>
  <si>
    <t>26554-220</t>
  </si>
  <si>
    <t>3543 RPM</t>
  </si>
  <si>
    <t>SANTA RITA</t>
  </si>
  <si>
    <t>Rua Coronel Alberto de Melo, 809 – Vila de Cava – Nova Iguaçu -  RJ, 26052-050</t>
  </si>
  <si>
    <t>Vila de Cava</t>
  </si>
  <si>
    <t>26052-050</t>
  </si>
  <si>
    <t>125,0 cv</t>
  </si>
  <si>
    <t>158A/ 91A</t>
  </si>
  <si>
    <t>425m³/h</t>
  </si>
  <si>
    <t>BOOSTER BNH</t>
  </si>
  <si>
    <t>Av. Pres. Kennedy, 630 - BNH, Mesquita - RJ, 26574-640</t>
  </si>
  <si>
    <t>BNH</t>
  </si>
  <si>
    <t>26574-640</t>
  </si>
  <si>
    <t>NOVO</t>
  </si>
  <si>
    <t>160L</t>
  </si>
  <si>
    <t>RJB-24403</t>
  </si>
  <si>
    <t>73.2 / 42.4 / 36.6A</t>
  </si>
  <si>
    <t>GSD-80/160</t>
  </si>
  <si>
    <t>RJB-23781</t>
  </si>
  <si>
    <t>FC-184</t>
  </si>
  <si>
    <t>RJB-24404</t>
  </si>
  <si>
    <t>80A</t>
  </si>
  <si>
    <t>RJB-25393</t>
  </si>
  <si>
    <t>BIQUINHA</t>
  </si>
  <si>
    <t>R do Comércio, 831-801</t>
  </si>
  <si>
    <t>TINGUÁ</t>
  </si>
  <si>
    <t>26062-000</t>
  </si>
  <si>
    <t>BAIXO PEDREIRA</t>
  </si>
  <si>
    <t>PL-RJB-EAT0933</t>
  </si>
  <si>
    <t>Rua Luizan 37 - Luz, Nova Iguaçu - Rj.</t>
  </si>
  <si>
    <t>Luz</t>
  </si>
  <si>
    <t>BENTO RUBIÃO</t>
  </si>
  <si>
    <t>PL-RJB-EAT0928</t>
  </si>
  <si>
    <t>R. Geni Saraíva, 942 - Ponto Chic, Nova Iguaçu - RJ, 26032-662</t>
  </si>
  <si>
    <t>60cv</t>
  </si>
  <si>
    <t>1780 rpm</t>
  </si>
  <si>
    <t>weg</t>
  </si>
  <si>
    <t>224S/M</t>
  </si>
  <si>
    <t>146/ 84.7 / 73.1</t>
  </si>
  <si>
    <t>AMBAÍ</t>
  </si>
  <si>
    <t>JAQUEIRA</t>
  </si>
  <si>
    <t>PL-RJB-EAT0929</t>
  </si>
  <si>
    <t>Estrada Padre José Anchieta, 477</t>
  </si>
  <si>
    <t>Jardim Tri-Campeao</t>
  </si>
  <si>
    <t>26330-000</t>
  </si>
  <si>
    <t>MORRO DA PAZ</t>
  </si>
  <si>
    <t>COLOMBO</t>
  </si>
  <si>
    <t>Estr. do Riachão, 753-671</t>
  </si>
  <si>
    <t>Incofindência</t>
  </si>
  <si>
    <t>26327-410</t>
  </si>
  <si>
    <t>DONA AFRA</t>
  </si>
  <si>
    <t>Verificar</t>
  </si>
  <si>
    <t>CARLOS MONSANTE</t>
  </si>
  <si>
    <t>CADASTRAR</t>
  </si>
  <si>
    <t>BEIRA RIO</t>
  </si>
  <si>
    <t>ADIBE SAAD</t>
  </si>
  <si>
    <t>PL-RJB-EAT0934</t>
  </si>
  <si>
    <t>SÃO SIMÃO</t>
  </si>
  <si>
    <t>Cadastrar</t>
  </si>
  <si>
    <t>30 (40) cv</t>
  </si>
  <si>
    <t>3565rpm</t>
  </si>
  <si>
    <t>101/58.7/50.7A</t>
  </si>
  <si>
    <t>251.00mm</t>
  </si>
  <si>
    <t>NÉLIO CHAMBARELLI</t>
  </si>
  <si>
    <t xml:space="preserve">MESSIAS </t>
  </si>
  <si>
    <t>CHACRINHA</t>
  </si>
  <si>
    <t>NOVA CIDADE</t>
  </si>
  <si>
    <t>TINGUAZINHO</t>
  </si>
  <si>
    <t>BELA VISTA</t>
  </si>
  <si>
    <t>COMENDADOR SOARES</t>
  </si>
  <si>
    <t>MANOEL DIAS</t>
  </si>
  <si>
    <t>CAMBURI</t>
  </si>
  <si>
    <t>MORRO DO TINGUAZINHO</t>
  </si>
  <si>
    <t>MORRO AGUDO</t>
  </si>
  <si>
    <t>AEROCLUBE</t>
  </si>
  <si>
    <t>BNH 2</t>
  </si>
  <si>
    <t>Morro do Cruzeiro</t>
  </si>
  <si>
    <t>PL-RJB-EAT0972</t>
  </si>
  <si>
    <t>Praça do Cabuçu</t>
  </si>
  <si>
    <t>Paulo Miranda</t>
  </si>
  <si>
    <t>DANON 2</t>
  </si>
  <si>
    <t>PL-RJB-EAT0970</t>
  </si>
  <si>
    <t>RUA GERALDO DANON, 70</t>
  </si>
  <si>
    <t>CIRILO</t>
  </si>
  <si>
    <t>PL-RJB-EAT0973</t>
  </si>
  <si>
    <t>Rua cirilo</t>
  </si>
  <si>
    <t>Presidente Juscelino</t>
  </si>
  <si>
    <t>ALTO MILITÂO</t>
  </si>
  <si>
    <t>ADOLFO BERGAMINI</t>
  </si>
  <si>
    <t>ELEVATÓRIA</t>
  </si>
  <si>
    <t>INFLUÊNCIA</t>
  </si>
  <si>
    <t>VAZÃO APROXIMADA (m³/h)</t>
  </si>
  <si>
    <t>AMT (MCA)</t>
  </si>
  <si>
    <t>PRESSÃO DE SUCÇÃO</t>
  </si>
  <si>
    <t>PRESSÃO DE RECALQUE</t>
  </si>
  <si>
    <t>DIÂMETRO DA TUBULAÇÃO</t>
  </si>
  <si>
    <t>TAG DO MOTOR</t>
  </si>
  <si>
    <t>POTÊNCIA DO MOTOR (CV)</t>
  </si>
  <si>
    <t>MANCAIS (LA / LOA)</t>
  </si>
  <si>
    <t>PONTA DO EIXO</t>
  </si>
  <si>
    <t>TAG DA BOMBA</t>
  </si>
  <si>
    <t>MODELO DA BOMBA</t>
  </si>
  <si>
    <t>MARCA DA BOMBA</t>
  </si>
  <si>
    <t>Ø ROTOR</t>
  </si>
  <si>
    <t>BOMBA DRENO (Sim/Não)</t>
  </si>
  <si>
    <t>MODELO ACIONAMENTO</t>
  </si>
  <si>
    <t>TABELAS</t>
  </si>
  <si>
    <t>NOVA</t>
  </si>
  <si>
    <t>ENT. TRIANGULO</t>
  </si>
  <si>
    <t>SIM OU NÃO</t>
  </si>
  <si>
    <t>Ponta de eixo</t>
  </si>
  <si>
    <t>JET PUMP</t>
  </si>
  <si>
    <t>Tipo construtivo Elev.</t>
  </si>
  <si>
    <t>DELTA</t>
  </si>
  <si>
    <t>TIPO DE MONTAGEM MOTOR</t>
  </si>
  <si>
    <t>FABRICANTE ACIONAMENTO</t>
  </si>
  <si>
    <t>TENSÃO</t>
  </si>
  <si>
    <t>380V / 440V</t>
  </si>
  <si>
    <t>220V / 440V</t>
  </si>
  <si>
    <t>Total de Elevatórias</t>
  </si>
  <si>
    <t>Elevatórias Novas</t>
  </si>
  <si>
    <t>Elevatórias de esgoto</t>
  </si>
  <si>
    <t>Com CLT</t>
  </si>
  <si>
    <t>Sem CLP</t>
  </si>
  <si>
    <t>SUPERITENDENCIA</t>
  </si>
  <si>
    <t xml:space="preserve">D A D O S   E   T E S T E S    A T U A L I Z A D O </t>
  </si>
  <si>
    <t xml:space="preserve">D A D O S   E   T E S T E S   A N T I G O   </t>
  </si>
  <si>
    <t>PAINEL</t>
  </si>
  <si>
    <t>TOMADA DE PRESSAO</t>
  </si>
  <si>
    <t>ELETRODOS</t>
  </si>
  <si>
    <t>MOTOR</t>
  </si>
  <si>
    <t>BOMBA</t>
  </si>
  <si>
    <r>
      <t>Ø</t>
    </r>
    <r>
      <rPr>
        <b/>
        <sz val="7"/>
        <rFont val="Arial"/>
        <family val="2"/>
      </rPr>
      <t xml:space="preserve"> ROTOR </t>
    </r>
  </si>
  <si>
    <t xml:space="preserve">BOMBA DRENO </t>
  </si>
  <si>
    <t>CO</t>
  </si>
  <si>
    <t>TIPO DE FIXAÇAO</t>
  </si>
  <si>
    <t>AMT</t>
  </si>
  <si>
    <t>N O R M A L</t>
  </si>
  <si>
    <t>S H U T T - O F F</t>
  </si>
  <si>
    <t>CONTATORA (K1)</t>
  </si>
  <si>
    <t>CONTATORA (K2)</t>
  </si>
  <si>
    <t>CONTATORA (K3)</t>
  </si>
  <si>
    <t>PC</t>
  </si>
  <si>
    <t>RELE TERMICO BIMET.</t>
  </si>
  <si>
    <r>
      <t>RELE DE TEMPO (</t>
    </r>
    <r>
      <rPr>
        <b/>
        <sz val="7"/>
        <rFont val="Calibri"/>
        <family val="2"/>
      </rPr>
      <t>Δ</t>
    </r>
    <r>
      <rPr>
        <b/>
        <sz val="7"/>
        <rFont val="Arial"/>
        <family val="2"/>
      </rPr>
      <t xml:space="preserve"> Y)</t>
    </r>
  </si>
  <si>
    <t>RELE DE ELETRODO (nIvel)</t>
  </si>
  <si>
    <t>FUSIVEIS NH</t>
  </si>
  <si>
    <t>FUSIVEIS DZ</t>
  </si>
  <si>
    <t>TIPO DE AUTOMATISMO</t>
  </si>
  <si>
    <t>APROXIMADA</t>
  </si>
  <si>
    <t>(CV)</t>
  </si>
  <si>
    <t>TAG</t>
  </si>
  <si>
    <t>MODELO</t>
  </si>
  <si>
    <t>MARCA</t>
  </si>
  <si>
    <t>POL</t>
  </si>
  <si>
    <t>MM</t>
  </si>
  <si>
    <t>(MCA)</t>
  </si>
  <si>
    <t>TENSAO</t>
  </si>
  <si>
    <t>SUCCAO</t>
  </si>
  <si>
    <t>CORRENTE</t>
  </si>
  <si>
    <t>DATA</t>
  </si>
  <si>
    <t xml:space="preserve">DATA </t>
  </si>
  <si>
    <t>FABRICANTE</t>
  </si>
  <si>
    <t>FUSIVEL</t>
  </si>
  <si>
    <t>DISJUNTOR</t>
  </si>
  <si>
    <t>REGULAGEM</t>
  </si>
  <si>
    <t>SIM / NÃO</t>
  </si>
  <si>
    <t>TAMANHO</t>
  </si>
  <si>
    <t>COMPENSADA (EST. TRIÂNGULO)</t>
  </si>
  <si>
    <t xml:space="preserve">CENTRAL DE ALARME </t>
  </si>
  <si>
    <t>SUPERIOR</t>
  </si>
  <si>
    <t>INFERIOR</t>
  </si>
  <si>
    <t>COMUM</t>
  </si>
  <si>
    <t>EEAT (93)</t>
  </si>
  <si>
    <t>BAIXADA II</t>
  </si>
  <si>
    <t>RUA ADOLFO BERGAMINI E/F Nº 16 ESQU. C/ RUA MENA BARRETO</t>
  </si>
  <si>
    <t>NOVO HORIZONTE - CENTRO</t>
  </si>
  <si>
    <t>NILOPOLIS</t>
  </si>
  <si>
    <t>26535-590</t>
  </si>
  <si>
    <t>TUBULAO</t>
  </si>
  <si>
    <t>?</t>
  </si>
  <si>
    <t>ANFIBIA</t>
  </si>
  <si>
    <t>215/216/215</t>
  </si>
  <si>
    <t>47/46/47</t>
  </si>
  <si>
    <t>14MCA</t>
  </si>
  <si>
    <t>37/36/37</t>
  </si>
  <si>
    <t>218/216/218</t>
  </si>
  <si>
    <t>50/49/51</t>
  </si>
  <si>
    <t>13MCA</t>
  </si>
  <si>
    <t>22MCA</t>
  </si>
  <si>
    <t>160A</t>
  </si>
  <si>
    <t>EEAT (687)</t>
  </si>
  <si>
    <t>FLORESTA</t>
  </si>
  <si>
    <t>NOVA IGUACU</t>
  </si>
  <si>
    <t>26031-200</t>
  </si>
  <si>
    <t>RJB-15668</t>
  </si>
  <si>
    <t>3x1 1/2x6</t>
  </si>
  <si>
    <t>RJB-15667</t>
  </si>
  <si>
    <t>208/209/208</t>
  </si>
  <si>
    <t>14.15.14</t>
  </si>
  <si>
    <t>6MCA</t>
  </si>
  <si>
    <t>30MCA</t>
  </si>
  <si>
    <t>208/209/209</t>
  </si>
  <si>
    <t>100A</t>
  </si>
  <si>
    <t>EEAT (88)</t>
  </si>
  <si>
    <t>RUA ÂNGELA S/N EF 127 ESQ RUA OLIVEIA RODRIGUES ALVES</t>
  </si>
  <si>
    <t>POSSE</t>
  </si>
  <si>
    <t>26013-500</t>
  </si>
  <si>
    <t>RJB-05581</t>
  </si>
  <si>
    <t>CAM W6</t>
  </si>
  <si>
    <t>RJB-05491</t>
  </si>
  <si>
    <t xml:space="preserve">           -  </t>
  </si>
  <si>
    <t>215/215/217</t>
  </si>
  <si>
    <t>05.06.05</t>
  </si>
  <si>
    <t>7MCA</t>
  </si>
  <si>
    <t>19MCA</t>
  </si>
  <si>
    <t>216/216/216</t>
  </si>
  <si>
    <t>3.3.4</t>
  </si>
  <si>
    <t>218X217X217</t>
  </si>
  <si>
    <t>3,6X3,6X3,6</t>
  </si>
  <si>
    <t>2,4X2,4X2,3</t>
  </si>
  <si>
    <t>Siemens Sirius</t>
  </si>
  <si>
    <t>BYU100626</t>
  </si>
  <si>
    <t>35A</t>
  </si>
  <si>
    <t>7A</t>
  </si>
  <si>
    <t>EEAT (736)</t>
  </si>
  <si>
    <t>PORTEIRA</t>
  </si>
  <si>
    <t>26385-300</t>
  </si>
  <si>
    <t>RJB-07290</t>
  </si>
  <si>
    <t>RJB-07246</t>
  </si>
  <si>
    <t>CONV.</t>
  </si>
  <si>
    <t>220/217/219</t>
  </si>
  <si>
    <t>26.24.27</t>
  </si>
  <si>
    <t>218/217/218</t>
  </si>
  <si>
    <t>EEAT (692)</t>
  </si>
  <si>
    <t>R ASSEMBLEIA 1SN - PRAÇA DA BÍBLIA</t>
  </si>
  <si>
    <t>213/213/212</t>
  </si>
  <si>
    <t>17.19.18</t>
  </si>
  <si>
    <t>31MCA</t>
  </si>
  <si>
    <t>215/215/215</t>
  </si>
  <si>
    <t>16.16.13</t>
  </si>
  <si>
    <t>39MCA</t>
  </si>
  <si>
    <t xml:space="preserve">DIL </t>
  </si>
  <si>
    <t>M50</t>
  </si>
  <si>
    <t>30A</t>
  </si>
  <si>
    <t>EEAT (688)</t>
  </si>
  <si>
    <t>AVENIDA BEIRA LINHA, sn EF275, ESQUINA COM ESTRADA VELHA DE IGUAÇU</t>
  </si>
  <si>
    <t>25045-366</t>
  </si>
  <si>
    <t>---</t>
  </si>
  <si>
    <t>S200R-03</t>
  </si>
  <si>
    <t>182x183x184</t>
  </si>
  <si>
    <t>126x127x128</t>
  </si>
  <si>
    <t>EEAT (83)</t>
  </si>
  <si>
    <t>RUA BELO HORIZONTE ESQ./ RUA JEQUITIA</t>
  </si>
  <si>
    <t>VILA SAO TEODORO</t>
  </si>
  <si>
    <t>26021-630</t>
  </si>
  <si>
    <t>3X11/2X8</t>
  </si>
  <si>
    <t>214/214/215</t>
  </si>
  <si>
    <t>48.46.49</t>
  </si>
  <si>
    <t>4MCA</t>
  </si>
  <si>
    <t>10MCA</t>
  </si>
  <si>
    <t>215/215/216</t>
  </si>
  <si>
    <t>35.37.35</t>
  </si>
  <si>
    <t>45MCA</t>
  </si>
  <si>
    <t>214X215X214X</t>
  </si>
  <si>
    <t>60X61X62</t>
  </si>
  <si>
    <t>219X219X219</t>
  </si>
  <si>
    <t>32X34X33</t>
  </si>
  <si>
    <t>125A</t>
  </si>
  <si>
    <t>EEAT (11)</t>
  </si>
  <si>
    <t>RUA TABELIAO MURILO COSTA E/F Nº 161</t>
  </si>
  <si>
    <t>JOANA D`ARC</t>
  </si>
  <si>
    <t>28255-130</t>
  </si>
  <si>
    <t>RJB-04948</t>
  </si>
  <si>
    <t>4X3X8</t>
  </si>
  <si>
    <t>205/206/208</t>
  </si>
  <si>
    <t>5MCA</t>
  </si>
  <si>
    <t>71.72.70</t>
  </si>
  <si>
    <t>101MCA</t>
  </si>
  <si>
    <t>206X206X207</t>
  </si>
  <si>
    <t>107X110X111</t>
  </si>
  <si>
    <t>EEAT (684)</t>
  </si>
  <si>
    <t>RUA DOS BURITIS S/N</t>
  </si>
  <si>
    <t>JD. TRANSMONTANO</t>
  </si>
  <si>
    <t>26453-365</t>
  </si>
  <si>
    <t>RJB-00441</t>
  </si>
  <si>
    <t>210/210/210</t>
  </si>
  <si>
    <t>22.24.22</t>
  </si>
  <si>
    <t>10.08.12</t>
  </si>
  <si>
    <t xml:space="preserve">Siemens </t>
  </si>
  <si>
    <t>3TS34</t>
  </si>
  <si>
    <t>32A</t>
  </si>
  <si>
    <t>20A</t>
  </si>
  <si>
    <t>5A</t>
  </si>
  <si>
    <t>EEAT (689)</t>
  </si>
  <si>
    <t xml:space="preserve">RUA JOSE CABRAL, SN </t>
  </si>
  <si>
    <t>26290-048</t>
  </si>
  <si>
    <t>KSB-OMEGA</t>
  </si>
  <si>
    <t>437/432/435</t>
  </si>
  <si>
    <t>reserva</t>
  </si>
  <si>
    <t>AGUA - ELEV - CABUCU ALTO G2</t>
  </si>
  <si>
    <t>437/432/436</t>
  </si>
  <si>
    <t>39.37.40</t>
  </si>
  <si>
    <t>2.4KGF</t>
  </si>
  <si>
    <t>5.1KGF</t>
  </si>
  <si>
    <t>RJB-06887</t>
  </si>
  <si>
    <t>437/432/437</t>
  </si>
  <si>
    <t>122.70.66</t>
  </si>
  <si>
    <t>BOOSTER/RES CABUCU BAIXO</t>
  </si>
  <si>
    <t>EEAT (690)</t>
  </si>
  <si>
    <t>RUA OZORIO, 200</t>
  </si>
  <si>
    <t>26290-369</t>
  </si>
  <si>
    <t>-</t>
  </si>
  <si>
    <t>AUGA-ELEV-CABUCU BAIXO</t>
  </si>
  <si>
    <t>RUA COLORADO LOTE 29</t>
  </si>
  <si>
    <t>150DN</t>
  </si>
  <si>
    <t>218/218/217</t>
  </si>
  <si>
    <t>36.34.36</t>
  </si>
  <si>
    <t>EEAT (48)</t>
  </si>
  <si>
    <t>RUA JOAO VENANCIO DE FIGUEIREDO EF AO Nº 52  OITICICA</t>
  </si>
  <si>
    <t>KENNEDY</t>
  </si>
  <si>
    <t>26020-001</t>
  </si>
  <si>
    <t>3X2X6</t>
  </si>
  <si>
    <t>55,27</t>
  </si>
  <si>
    <t>220/220/219</t>
  </si>
  <si>
    <t>23.25.25</t>
  </si>
  <si>
    <t>219/219/219</t>
  </si>
  <si>
    <t>27.23.25</t>
  </si>
  <si>
    <t>56MCA</t>
  </si>
  <si>
    <t>210X206X208</t>
  </si>
  <si>
    <t>36X38X35</t>
  </si>
  <si>
    <t>213X210X209</t>
  </si>
  <si>
    <t>32X33X30</t>
  </si>
  <si>
    <t>63A</t>
  </si>
  <si>
    <t>em marcha</t>
  </si>
  <si>
    <t>EEAT (56)</t>
  </si>
  <si>
    <t>RUA GENERAL OLIMPIO DA FONSECA E/F A COMLURB</t>
  </si>
  <si>
    <t>26545-470</t>
  </si>
  <si>
    <t>S6S-30-02-04</t>
  </si>
  <si>
    <t>CRI</t>
  </si>
  <si>
    <t xml:space="preserve">-   </t>
  </si>
  <si>
    <t>VERTICAL SUB</t>
  </si>
  <si>
    <t>213/209/211</t>
  </si>
  <si>
    <t>16.15.15</t>
  </si>
  <si>
    <t>40MCA</t>
  </si>
  <si>
    <t>213/214/216</t>
  </si>
  <si>
    <t>10.11.13</t>
  </si>
  <si>
    <t>53MCA</t>
  </si>
  <si>
    <t>211X212X214</t>
  </si>
  <si>
    <t>17X18X18</t>
  </si>
  <si>
    <t>24A</t>
  </si>
  <si>
    <t>EEAT (108)</t>
  </si>
  <si>
    <t>ESTRADA DE ANDREANOPOLIS S/N E/F CEFET</t>
  </si>
  <si>
    <t>26050-000</t>
  </si>
  <si>
    <t>--</t>
  </si>
  <si>
    <t>RJB-15643</t>
  </si>
  <si>
    <t>S30-02</t>
  </si>
  <si>
    <t>RJB-15646</t>
  </si>
  <si>
    <t>27,20</t>
  </si>
  <si>
    <t>219/220/218</t>
  </si>
  <si>
    <t>11.13.10</t>
  </si>
  <si>
    <t>35MCA</t>
  </si>
  <si>
    <t>218/218/219</t>
  </si>
  <si>
    <t>10.10.9</t>
  </si>
  <si>
    <t>2MCA</t>
  </si>
  <si>
    <t>207X206X205</t>
  </si>
  <si>
    <t>10X10X11</t>
  </si>
  <si>
    <t>SM</t>
  </si>
  <si>
    <t>EEAT (741)</t>
  </si>
  <si>
    <t xml:space="preserve">RUA MARQUES DE CANARIO, AO LADO DO Nº 458 </t>
  </si>
  <si>
    <t>26587-650</t>
  </si>
  <si>
    <t>129,25</t>
  </si>
  <si>
    <t>218/219/216</t>
  </si>
  <si>
    <t>167X170X175</t>
  </si>
  <si>
    <t>125X130X138</t>
  </si>
  <si>
    <t>220X219X220</t>
  </si>
  <si>
    <t>170X169X178</t>
  </si>
  <si>
    <t>x</t>
  </si>
  <si>
    <t>EEAT (69)</t>
  </si>
  <si>
    <t>RUA DINAMARCO REIS C/ CARLOS SOUZA FERNANDES</t>
  </si>
  <si>
    <t>OLINDA</t>
  </si>
  <si>
    <t>26545-230</t>
  </si>
  <si>
    <t>RJB-05507</t>
  </si>
  <si>
    <t>62,93</t>
  </si>
  <si>
    <t>220/219/219</t>
  </si>
  <si>
    <t>46.45.49</t>
  </si>
  <si>
    <t>1MCA</t>
  </si>
  <si>
    <t>41MCA</t>
  </si>
  <si>
    <t>219/218/219</t>
  </si>
  <si>
    <t>27.29.28</t>
  </si>
  <si>
    <t>66MCA</t>
  </si>
  <si>
    <t>215-211-212</t>
  </si>
  <si>
    <t>38-38-36</t>
  </si>
  <si>
    <t>216-216-218</t>
  </si>
  <si>
    <t>20-21-22</t>
  </si>
  <si>
    <t>EEAT (62)</t>
  </si>
  <si>
    <t>RUA EDNA SN EF AO 16</t>
  </si>
  <si>
    <t>VILA TREZE DE MAIO</t>
  </si>
  <si>
    <t>26030-430</t>
  </si>
  <si>
    <t>BT</t>
  </si>
  <si>
    <t>220X222X225</t>
  </si>
  <si>
    <t>13X12X12</t>
  </si>
  <si>
    <t>7X8X7</t>
  </si>
  <si>
    <t>211X217X217</t>
  </si>
  <si>
    <t>14X14X18</t>
  </si>
  <si>
    <t>EEAT (693)</t>
  </si>
  <si>
    <t>AV EDUARDO CELIDONIO 1SN</t>
  </si>
  <si>
    <t>FANCHEM</t>
  </si>
  <si>
    <t>26383-535</t>
  </si>
  <si>
    <t>RJB-</t>
  </si>
  <si>
    <t>211/212/214</t>
  </si>
  <si>
    <t>20.23.23</t>
  </si>
  <si>
    <t>20MCA</t>
  </si>
  <si>
    <t>213/213/213</t>
  </si>
  <si>
    <t>26A</t>
  </si>
  <si>
    <t>EEAT (104)</t>
  </si>
  <si>
    <t>LADEIRA EL SHADAY</t>
  </si>
  <si>
    <t>26292-039</t>
  </si>
  <si>
    <t>RJB-06903</t>
  </si>
  <si>
    <t>BHS511-03</t>
  </si>
  <si>
    <t>RJB-06941</t>
  </si>
  <si>
    <t>28,48</t>
  </si>
  <si>
    <t>216/218/217</t>
  </si>
  <si>
    <t>09.09.08</t>
  </si>
  <si>
    <t>17MCA</t>
  </si>
  <si>
    <t>60MCA</t>
  </si>
  <si>
    <t>201X204X203</t>
  </si>
  <si>
    <t>10X11X10</t>
  </si>
  <si>
    <t>M25-10</t>
  </si>
  <si>
    <t>13A</t>
  </si>
  <si>
    <t>EEAT (117)</t>
  </si>
  <si>
    <t>Av. Henrique Duque Estrada Meyer, 378-456 - Posse, Nova Iguaçu - RJ, 26041-061</t>
  </si>
  <si>
    <t>26041-061</t>
  </si>
  <si>
    <t>S6S-48-04-15</t>
  </si>
  <si>
    <t>RJB-05533</t>
  </si>
  <si>
    <t>211/210/208</t>
  </si>
  <si>
    <t>43.38.37</t>
  </si>
  <si>
    <t>212/213/212</t>
  </si>
  <si>
    <t>38.38.40</t>
  </si>
  <si>
    <t>84MCA</t>
  </si>
  <si>
    <t>209x212x209</t>
  </si>
  <si>
    <t>47x46x49</t>
  </si>
  <si>
    <t>29x26x29</t>
  </si>
  <si>
    <t>EEAT (75)</t>
  </si>
  <si>
    <t>RUA DA FAZENDA Nº 256</t>
  </si>
  <si>
    <t>26013-470</t>
  </si>
  <si>
    <t>RJB-04511</t>
  </si>
  <si>
    <t>RJB-15629</t>
  </si>
  <si>
    <t>218/215/218</t>
  </si>
  <si>
    <t>57/57/52</t>
  </si>
  <si>
    <t>3MCA</t>
  </si>
  <si>
    <t>46MCA</t>
  </si>
  <si>
    <t>219/219/220</t>
  </si>
  <si>
    <t>42.42.40</t>
  </si>
  <si>
    <t>220X220X218</t>
  </si>
  <si>
    <t>53X53X55</t>
  </si>
  <si>
    <t>40X40X43</t>
  </si>
  <si>
    <t>EEAT (66)</t>
  </si>
  <si>
    <t>26540-023</t>
  </si>
  <si>
    <t>RJB-11514</t>
  </si>
  <si>
    <t>S6S-22-06-12,5</t>
  </si>
  <si>
    <t>RJB-06847</t>
  </si>
  <si>
    <t>24,5</t>
  </si>
  <si>
    <t>215/214/216</t>
  </si>
  <si>
    <t>26.30.31</t>
  </si>
  <si>
    <t>DLI</t>
  </si>
  <si>
    <t>M40</t>
  </si>
  <si>
    <t>EEAT (65)</t>
  </si>
  <si>
    <t>RUA DOUTOR FLORESTA MIRANDA Nº 256</t>
  </si>
  <si>
    <t>26250-060</t>
  </si>
  <si>
    <t>17,01</t>
  </si>
  <si>
    <t>9.10.10</t>
  </si>
  <si>
    <t>52MCA</t>
  </si>
  <si>
    <t>8.8.9</t>
  </si>
  <si>
    <t>220X220X219</t>
  </si>
  <si>
    <t>17-17-19</t>
  </si>
  <si>
    <t>40A</t>
  </si>
  <si>
    <t>EEAT (82)</t>
  </si>
  <si>
    <t>RUA CAIOBA Nº 810</t>
  </si>
  <si>
    <t>NOVA AMERICA</t>
  </si>
  <si>
    <t>26012-503</t>
  </si>
  <si>
    <t>RJB-11730</t>
  </si>
  <si>
    <t>221/220/220</t>
  </si>
  <si>
    <t>20.22.20</t>
  </si>
  <si>
    <t>222X221X223</t>
  </si>
  <si>
    <t>14,5X15,5X16</t>
  </si>
  <si>
    <t>EEAT (110)</t>
  </si>
  <si>
    <t>RUA A, SN EQ RUA GAMA</t>
  </si>
  <si>
    <t xml:space="preserve">CERÂMICA </t>
  </si>
  <si>
    <t>26030-200</t>
  </si>
  <si>
    <t>RJB-15660</t>
  </si>
  <si>
    <t>R20-03</t>
  </si>
  <si>
    <t>RJB-15618</t>
  </si>
  <si>
    <t>10,8</t>
  </si>
  <si>
    <t>217/217/218</t>
  </si>
  <si>
    <t>11.12.11</t>
  </si>
  <si>
    <t>21MCA</t>
  </si>
  <si>
    <t>87MCA</t>
  </si>
  <si>
    <t>EEAT (691)</t>
  </si>
  <si>
    <t>RUA AMAZOR MOREIRA PRISCO, sn. ESQUINA COM AV ABÍLIO AUGUSTO TÁVORA</t>
  </si>
  <si>
    <t>26255-250</t>
  </si>
  <si>
    <t>220/222/219</t>
  </si>
  <si>
    <t>11.11.11</t>
  </si>
  <si>
    <t>50A</t>
  </si>
  <si>
    <t>EEAT (745)</t>
  </si>
  <si>
    <t>EST. DA GRAMA  Nº 333 E/F (CIEP) CACILDA BECKER</t>
  </si>
  <si>
    <t>26060-015</t>
  </si>
  <si>
    <t>85,04</t>
  </si>
  <si>
    <t>208X209X210</t>
  </si>
  <si>
    <t>44X47X49</t>
  </si>
  <si>
    <t>209x209x216</t>
  </si>
  <si>
    <t>46-50-50</t>
  </si>
  <si>
    <t>32-35-35</t>
  </si>
  <si>
    <t>GENECIANO</t>
  </si>
  <si>
    <t>EEAT (1013)</t>
  </si>
  <si>
    <t>Rua Haddock Lobo, EF 2</t>
  </si>
  <si>
    <t>VILA DO TINGUA</t>
  </si>
  <si>
    <t>26385-380</t>
  </si>
  <si>
    <t>EEAT (87)</t>
  </si>
  <si>
    <t>RUA ANTONIO PEREIRA S/Nº</t>
  </si>
  <si>
    <t>26540-000</t>
  </si>
  <si>
    <t>RJB-04571</t>
  </si>
  <si>
    <t>R28-06</t>
  </si>
  <si>
    <t>RJB-04549</t>
  </si>
  <si>
    <t>10,4</t>
  </si>
  <si>
    <t>220/220/220</t>
  </si>
  <si>
    <t>16.16.16</t>
  </si>
  <si>
    <t>219/220/220</t>
  </si>
  <si>
    <t>13.12.13</t>
  </si>
  <si>
    <t>217X218X219</t>
  </si>
  <si>
    <t>15X16X16</t>
  </si>
  <si>
    <t>218X220X221</t>
  </si>
  <si>
    <t>12X11X12</t>
  </si>
  <si>
    <t>EEAT (109)</t>
  </si>
  <si>
    <t>ESTR. DE IGUACU E/F LOTE 2 QUADRA 18 B (AV. DO RIO OURO E/F AO Nº 78)</t>
  </si>
  <si>
    <t>PARQUE BOA ESPERANCA</t>
  </si>
  <si>
    <t>26060-410</t>
  </si>
  <si>
    <t>S/TAG</t>
  </si>
  <si>
    <t>222X222X222</t>
  </si>
  <si>
    <t>27X27X27</t>
  </si>
  <si>
    <t>EEAT (748)</t>
  </si>
  <si>
    <t>RUA ITORORO, SN EF N8</t>
  </si>
  <si>
    <t>26385-500</t>
  </si>
  <si>
    <t>RJB-16775</t>
  </si>
  <si>
    <t>R7-04</t>
  </si>
  <si>
    <t>RJB-16967</t>
  </si>
  <si>
    <t>EEAT (53)</t>
  </si>
  <si>
    <t>RUA IVO MIRANDA ESQ. AV. GOVERNADOR CELSO PECANHA</t>
  </si>
  <si>
    <t>26574-770</t>
  </si>
  <si>
    <t>S40-04</t>
  </si>
  <si>
    <t>205/205/204</t>
  </si>
  <si>
    <t>28.29.27</t>
  </si>
  <si>
    <t>29MCA</t>
  </si>
  <si>
    <t>16/17/17</t>
  </si>
  <si>
    <t>214X212X213</t>
  </si>
  <si>
    <t>26-27-28</t>
  </si>
  <si>
    <t>24-24-26</t>
  </si>
  <si>
    <t>EEAT (694)</t>
  </si>
  <si>
    <t>R VER JOSE VIRGILIO DO PRADO 1 SN</t>
  </si>
  <si>
    <t>VILA NASCENTE</t>
  </si>
  <si>
    <t>26325-050</t>
  </si>
  <si>
    <t>RJB-03111</t>
  </si>
  <si>
    <t>219/218/217</t>
  </si>
  <si>
    <t>18.19.19</t>
  </si>
  <si>
    <t>18MCA</t>
  </si>
  <si>
    <t>70MCA</t>
  </si>
  <si>
    <t>21/23/23</t>
  </si>
  <si>
    <t>74MCA</t>
  </si>
  <si>
    <t>1/27/2023</t>
  </si>
  <si>
    <t>25A</t>
  </si>
  <si>
    <t>EEAT (46)</t>
  </si>
  <si>
    <t>RUA LIBANEA C/ RUA GOVERNADOR CELSO PECANHA</t>
  </si>
  <si>
    <t>26551-120</t>
  </si>
  <si>
    <t>S6S-18-04-05</t>
  </si>
  <si>
    <t>217/218/220</t>
  </si>
  <si>
    <t>17.17.14</t>
  </si>
  <si>
    <t>12.09.11</t>
  </si>
  <si>
    <t>64MCA</t>
  </si>
  <si>
    <t>205X205X203</t>
  </si>
  <si>
    <t>9X10X10</t>
  </si>
  <si>
    <t>206X202X202</t>
  </si>
  <si>
    <t>18X18X16</t>
  </si>
  <si>
    <t>EEAT (43)</t>
  </si>
  <si>
    <t>RUA LUCIO TAVARES</t>
  </si>
  <si>
    <t>26530-060</t>
  </si>
  <si>
    <t>S35-04</t>
  </si>
  <si>
    <t>RJB-00181</t>
  </si>
  <si>
    <t>25.22.24</t>
  </si>
  <si>
    <t>15MCA</t>
  </si>
  <si>
    <t>28/26/22</t>
  </si>
  <si>
    <t>86MCA</t>
  </si>
  <si>
    <t>219X200X219</t>
  </si>
  <si>
    <t>26X27X27</t>
  </si>
  <si>
    <t>219X218X221</t>
  </si>
  <si>
    <t>38X39X38</t>
  </si>
  <si>
    <t>DIL</t>
  </si>
  <si>
    <t>M150</t>
  </si>
  <si>
    <t>EEAT (747)</t>
  </si>
  <si>
    <t>26393-060</t>
  </si>
  <si>
    <t>21.23.23</t>
  </si>
  <si>
    <t>M65</t>
  </si>
  <si>
    <t>EEAT (40)</t>
  </si>
  <si>
    <t>RUA MANOEL REIS, ESQUINA COM RUA JOAO PESSOA</t>
  </si>
  <si>
    <t>26510-112</t>
  </si>
  <si>
    <t>RJB-19612</t>
  </si>
  <si>
    <t>R28-02</t>
  </si>
  <si>
    <t>27,55</t>
  </si>
  <si>
    <t>223/222/222</t>
  </si>
  <si>
    <t>19.20.17</t>
  </si>
  <si>
    <t>58MCA</t>
  </si>
  <si>
    <t>215X217X218</t>
  </si>
  <si>
    <t>11,2X2,5X13</t>
  </si>
  <si>
    <t>EEAT (32)</t>
  </si>
  <si>
    <t>RUA MAURICIA BORGES, 303</t>
  </si>
  <si>
    <t>26564-020</t>
  </si>
  <si>
    <t>RJB-13402</t>
  </si>
  <si>
    <t>R20-04</t>
  </si>
  <si>
    <t>RJB-13425</t>
  </si>
  <si>
    <t>13.14.10</t>
  </si>
  <si>
    <t>223/224/222</t>
  </si>
  <si>
    <t>10.11.10</t>
  </si>
  <si>
    <t>9MCA</t>
  </si>
  <si>
    <t>15X15X16</t>
  </si>
  <si>
    <t>22A</t>
  </si>
  <si>
    <t>EEAT (31)</t>
  </si>
  <si>
    <t>RUA MELVIM JONES</t>
  </si>
  <si>
    <t>26221-130</t>
  </si>
  <si>
    <t>R11-3-2CV</t>
  </si>
  <si>
    <t>RJB-15651</t>
  </si>
  <si>
    <t xml:space="preserve">- </t>
  </si>
  <si>
    <t xml:space="preserve"> - </t>
  </si>
  <si>
    <t>217/219/219</t>
  </si>
  <si>
    <t>5.6.5</t>
  </si>
  <si>
    <t>EATON DIL</t>
  </si>
  <si>
    <t>M25</t>
  </si>
  <si>
    <t>16A</t>
  </si>
  <si>
    <t>EEAT (30)</t>
  </si>
  <si>
    <t>RUA MENA BARRETO, ESQUINA COM RUA JOAO DE CASTRO</t>
  </si>
  <si>
    <t>NOVO HORIZONTE</t>
  </si>
  <si>
    <t>26535-331</t>
  </si>
  <si>
    <t>R28-05</t>
  </si>
  <si>
    <t>22,10</t>
  </si>
  <si>
    <t>215/214/215</t>
  </si>
  <si>
    <t>20/19/20</t>
  </si>
  <si>
    <t>209X208X205</t>
  </si>
  <si>
    <t>34X33X32</t>
  </si>
  <si>
    <t>31X32X33</t>
  </si>
  <si>
    <t>34A</t>
  </si>
  <si>
    <t>MESQUITA G1/G2</t>
  </si>
  <si>
    <t>EEAT (86)</t>
  </si>
  <si>
    <t>RUA AUGUSTO CARDOSO,Nº 234 AO LADO DO COLEGIO ANA NERI  MESQUITA</t>
  </si>
  <si>
    <t>COREIA</t>
  </si>
  <si>
    <t>26556-030</t>
  </si>
  <si>
    <t>4DBE104</t>
  </si>
  <si>
    <t xml:space="preserve">VERTICAL </t>
  </si>
  <si>
    <t>233,8</t>
  </si>
  <si>
    <t>221/222/221</t>
  </si>
  <si>
    <t>94MCA</t>
  </si>
  <si>
    <t>G1(217X216X218)G2(217X216X218)</t>
  </si>
  <si>
    <t>G1(228X239X240)G2(194X197X201)</t>
  </si>
  <si>
    <t>G1(22)G2(22)</t>
  </si>
  <si>
    <t>G1(94)G2(57)</t>
  </si>
  <si>
    <t>G1(219X220X220)  G2(219X220X220)</t>
  </si>
  <si>
    <t>G1(165X180X172) G2(146X149X155)</t>
  </si>
  <si>
    <t>G1(22)G2(24)</t>
  </si>
  <si>
    <t>G1(113)G2(101)</t>
  </si>
  <si>
    <t>710A</t>
  </si>
  <si>
    <t>RJB-11657</t>
  </si>
  <si>
    <t>6X4X10*3DBE103</t>
  </si>
  <si>
    <t>221/220/222</t>
  </si>
  <si>
    <t>33MCA</t>
  </si>
  <si>
    <t>M225A</t>
  </si>
  <si>
    <t>M185</t>
  </si>
  <si>
    <t>3TFT50</t>
  </si>
  <si>
    <t>400A</t>
  </si>
  <si>
    <t>EEAT (68)</t>
  </si>
  <si>
    <t>RUA DONA ORMINDA E/F AO Nº 23 ESQ. C/ RUA FLORA DE ARAUJO</t>
  </si>
  <si>
    <t>PRATA</t>
  </si>
  <si>
    <t>26010-450</t>
  </si>
  <si>
    <t>S65-03</t>
  </si>
  <si>
    <t>21.20.21</t>
  </si>
  <si>
    <t>215/216/217</t>
  </si>
  <si>
    <t>19.19.18</t>
  </si>
  <si>
    <t>11MCA</t>
  </si>
  <si>
    <t>62MCA</t>
  </si>
  <si>
    <t>220X218X218</t>
  </si>
  <si>
    <t>28X26X24</t>
  </si>
  <si>
    <t>13X14X13</t>
  </si>
  <si>
    <t>EEAT (39)</t>
  </si>
  <si>
    <t>RUA MANOEL RODRIGUES SN</t>
  </si>
  <si>
    <t>CACUIA</t>
  </si>
  <si>
    <t>26030-245</t>
  </si>
  <si>
    <t>RJB-06932</t>
  </si>
  <si>
    <t>S40-06</t>
  </si>
  <si>
    <t>RJB-06929</t>
  </si>
  <si>
    <t>30,61</t>
  </si>
  <si>
    <t>214/215/214</t>
  </si>
  <si>
    <t>213X214X214</t>
  </si>
  <si>
    <t>15X15X15</t>
  </si>
  <si>
    <t>9X16X11</t>
  </si>
  <si>
    <t>EEAT (738)</t>
  </si>
  <si>
    <t>RUA ARAGUÁ ESQ. COM RUA ARAPÁ</t>
  </si>
  <si>
    <t>26086-040</t>
  </si>
  <si>
    <t>215/216/216</t>
  </si>
  <si>
    <t>32.33.33</t>
  </si>
  <si>
    <t>32MCA</t>
  </si>
  <si>
    <t>36.36.36</t>
  </si>
  <si>
    <t>1225A</t>
  </si>
  <si>
    <t>NILO PEÇANHA (CEMITERIO)</t>
  </si>
  <si>
    <t>EEAT (24)</t>
  </si>
  <si>
    <t>RUA NILO PECANHA (CEMITERIO)</t>
  </si>
  <si>
    <t>26545-202</t>
  </si>
  <si>
    <t>BHS511-02</t>
  </si>
  <si>
    <t>RJB-05516</t>
  </si>
  <si>
    <t>15,31</t>
  </si>
  <si>
    <t>12.12.12</t>
  </si>
  <si>
    <t>27MCA</t>
  </si>
  <si>
    <t>218/217/217</t>
  </si>
  <si>
    <t>48MCA</t>
  </si>
  <si>
    <t>M32-10</t>
  </si>
  <si>
    <t>14A</t>
  </si>
  <si>
    <t>NOEMIA VIEIRA</t>
  </si>
  <si>
    <t>EEAT (124)</t>
  </si>
  <si>
    <t>AV. ABILIO AUGUSTO TAVORA ESQU. C/RUA NOEMIA VIEIRA E/F  Nº 171</t>
  </si>
  <si>
    <t>JARDIM ALVORADA</t>
  </si>
  <si>
    <t>26275-580</t>
  </si>
  <si>
    <t>3X11/2X10</t>
  </si>
  <si>
    <t>48,47</t>
  </si>
  <si>
    <t>220/218/219</t>
  </si>
  <si>
    <t>79.74.75</t>
  </si>
  <si>
    <t>219/219/218</t>
  </si>
  <si>
    <t>50.46.49</t>
  </si>
  <si>
    <t>127MCA</t>
  </si>
  <si>
    <t>215X220X220</t>
  </si>
  <si>
    <t>73X71X71</t>
  </si>
  <si>
    <t>212X213X212</t>
  </si>
  <si>
    <t>40X43X40</t>
  </si>
  <si>
    <t>XX</t>
  </si>
  <si>
    <t>250A</t>
  </si>
  <si>
    <t>EEAT (737)</t>
  </si>
  <si>
    <t>R MIN ODILON BRAGA SN LD26</t>
  </si>
  <si>
    <t> 26310-190</t>
  </si>
  <si>
    <t>3X2X8</t>
  </si>
  <si>
    <t>25.24.24</t>
  </si>
  <si>
    <t>12MCA</t>
  </si>
  <si>
    <t>20.20.20</t>
  </si>
  <si>
    <t>68MCA</t>
  </si>
  <si>
    <t>EEAT (735)</t>
  </si>
  <si>
    <t>SANTA CATARINA</t>
  </si>
  <si>
    <t>26323-400</t>
  </si>
  <si>
    <t>RJB-03173</t>
  </si>
  <si>
    <t>2 1/2 x 1 1/2 x 8</t>
  </si>
  <si>
    <t>220/219/220</t>
  </si>
  <si>
    <t>35.33.32</t>
  </si>
  <si>
    <t>EEAT (22)</t>
  </si>
  <si>
    <t>RUA NAIR DIAS EF AO 650</t>
  </si>
  <si>
    <t>26012-450</t>
  </si>
  <si>
    <t>R20-02</t>
  </si>
  <si>
    <t>SUBMERSA HORIZONTAL</t>
  </si>
  <si>
    <t>219/218/215</t>
  </si>
  <si>
    <t>11.10.10</t>
  </si>
  <si>
    <t>219/221/222</t>
  </si>
  <si>
    <t>9.9.9</t>
  </si>
  <si>
    <t>214X217X216</t>
  </si>
  <si>
    <t>8,2X7,9X7,2</t>
  </si>
  <si>
    <t>214X212X218</t>
  </si>
  <si>
    <t>6X6,2X5,8</t>
  </si>
  <si>
    <t>M17-10</t>
  </si>
  <si>
    <t>12A</t>
  </si>
  <si>
    <t>EEAT (50)</t>
  </si>
  <si>
    <t>RUA JOAO DIAS DE LIMA, ESQUINA COM RUA OLIMPIO DA FONSECA</t>
  </si>
  <si>
    <t>CABRAL</t>
  </si>
  <si>
    <t>21330-380</t>
  </si>
  <si>
    <t>211/216/214</t>
  </si>
  <si>
    <t>214/212/213</t>
  </si>
  <si>
    <t>209X209X210</t>
  </si>
  <si>
    <t>32X30X32</t>
  </si>
  <si>
    <t>209X212X212</t>
  </si>
  <si>
    <t>27X25X26</t>
  </si>
  <si>
    <t>EEAT (44)</t>
  </si>
  <si>
    <t>ROSA DOS VENTOS</t>
  </si>
  <si>
    <t>26290-414</t>
  </si>
  <si>
    <t>222/224/222</t>
  </si>
  <si>
    <t>25.26.26</t>
  </si>
  <si>
    <t>221/222/223</t>
  </si>
  <si>
    <t>218X217X219</t>
  </si>
  <si>
    <t>16,5X17X17,5</t>
  </si>
  <si>
    <t>EEAT (733)</t>
  </si>
  <si>
    <t>Estrada Gama, SN EF 813</t>
  </si>
  <si>
    <t>CERÂMICA</t>
  </si>
  <si>
    <t>RJB-06922</t>
  </si>
  <si>
    <t>RJB-06910</t>
  </si>
  <si>
    <t>216/215/216</t>
  </si>
  <si>
    <t>7.8.9</t>
  </si>
  <si>
    <t>23MCA</t>
  </si>
  <si>
    <t>EEAT (99)</t>
  </si>
  <si>
    <t>26570-000</t>
  </si>
  <si>
    <t>RJB-02260</t>
  </si>
  <si>
    <t>53,75</t>
  </si>
  <si>
    <t>217/220/217</t>
  </si>
  <si>
    <t>39.42.39</t>
  </si>
  <si>
    <t>215X215X214</t>
  </si>
  <si>
    <t>31X33X30</t>
  </si>
  <si>
    <t>23X25X25</t>
  </si>
  <si>
    <t>EEAT (697)</t>
  </si>
  <si>
    <t>RUA CARLOS SAMPAIO (DENTRO DO DISTRITO DA CEDAE)</t>
  </si>
  <si>
    <t>CAIXA D´AGUA</t>
  </si>
  <si>
    <t>215/214/218</t>
  </si>
  <si>
    <t>40.39.41</t>
  </si>
  <si>
    <t>CAIXA D ÁGUA</t>
  </si>
  <si>
    <t>VALE OURO</t>
  </si>
  <si>
    <t>NOVO ELDOURADO</t>
  </si>
  <si>
    <t>VILA GUIMARAES</t>
  </si>
  <si>
    <t>TRES FONTES</t>
  </si>
  <si>
    <t>EEAT (102)</t>
  </si>
  <si>
    <t>R ITAPERAVA SN EF 712</t>
  </si>
  <si>
    <t>26381-434</t>
  </si>
  <si>
    <t>BCBF 40-2000</t>
  </si>
  <si>
    <t>ASVAC</t>
  </si>
  <si>
    <t>17.16.16</t>
  </si>
  <si>
    <t>212X211X213</t>
  </si>
  <si>
    <t>20X21X22</t>
  </si>
  <si>
    <t>EEAT (59)</t>
  </si>
  <si>
    <t>RUA FELIX, SN</t>
  </si>
  <si>
    <t>26298-120</t>
  </si>
  <si>
    <t>BHS813-05</t>
  </si>
  <si>
    <t>216/219/218</t>
  </si>
  <si>
    <t>172MCA</t>
  </si>
  <si>
    <t>214X216X214</t>
  </si>
  <si>
    <t>136X132X154</t>
  </si>
  <si>
    <t>215X216X215</t>
  </si>
  <si>
    <t>122X138X120</t>
  </si>
  <si>
    <t>ROLDAO GONSALVES</t>
  </si>
  <si>
    <t>EEAT (17)</t>
  </si>
  <si>
    <t>RUA ROLDAO GONSALVES C/ JOAO R. CUNHA</t>
  </si>
  <si>
    <t>26515-048</t>
  </si>
  <si>
    <t>218/218/216</t>
  </si>
  <si>
    <t>47.45.45</t>
  </si>
  <si>
    <t>218X218X219</t>
  </si>
  <si>
    <t>53X53X54</t>
  </si>
  <si>
    <t>221X221X222</t>
  </si>
  <si>
    <t>39X39X38</t>
  </si>
  <si>
    <t>EEAT (14)</t>
  </si>
  <si>
    <t>RUA SANTO ANTONIO S/Nº E/F AO Nº 09        (ANTIGA CALIFORNIA)</t>
  </si>
  <si>
    <t>26220-710</t>
  </si>
  <si>
    <t xml:space="preserve">FORMAL </t>
  </si>
  <si>
    <t>BHS512-03</t>
  </si>
  <si>
    <t>13.10.10</t>
  </si>
  <si>
    <t>34MCA</t>
  </si>
  <si>
    <t>10.9.9</t>
  </si>
  <si>
    <t>219X218X219</t>
  </si>
  <si>
    <t>8X8X7</t>
  </si>
  <si>
    <t>3TF44</t>
  </si>
  <si>
    <t>EEAT (12)</t>
  </si>
  <si>
    <t>RUA SHEIK REJANE X EMIDIO LEMOS</t>
  </si>
  <si>
    <t>26435-270</t>
  </si>
  <si>
    <t>RJB-00439</t>
  </si>
  <si>
    <t>RJB-00445</t>
  </si>
  <si>
    <t>208/207/208</t>
  </si>
  <si>
    <t>12.12.13</t>
  </si>
  <si>
    <t>8.10.9</t>
  </si>
  <si>
    <t>3TF43</t>
  </si>
  <si>
    <t>EEAT (751)</t>
  </si>
  <si>
    <t xml:space="preserve">R. Cel. Alfredo Soares, 101 </t>
  </si>
  <si>
    <t>26255-150</t>
  </si>
  <si>
    <t>VBO-P65-3-3CV</t>
  </si>
  <si>
    <t xml:space="preserve">RJB-18710 </t>
  </si>
  <si>
    <t>216/215/215</t>
  </si>
  <si>
    <t>11.10.11</t>
  </si>
  <si>
    <t>6.6.7</t>
  </si>
  <si>
    <t>EEAT (739)</t>
  </si>
  <si>
    <t xml:space="preserve">R TIMBO 1 </t>
  </si>
  <si>
    <t>26385-396</t>
  </si>
  <si>
    <t>215/213/212</t>
  </si>
  <si>
    <t>33.34.35</t>
  </si>
  <si>
    <t>22.24.23</t>
  </si>
  <si>
    <t>36A</t>
  </si>
  <si>
    <t>EEAT (61)</t>
  </si>
  <si>
    <t>RUA  ESTEVAM PEREIRA DE ANDRADE Nº 530</t>
  </si>
  <si>
    <t>TRES CORACOES</t>
  </si>
  <si>
    <t>26022-641</t>
  </si>
  <si>
    <t>RJB-05464</t>
  </si>
  <si>
    <t>216/214/215</t>
  </si>
  <si>
    <t>20.22.21</t>
  </si>
  <si>
    <t>24MCA</t>
  </si>
  <si>
    <t>15.16.17</t>
  </si>
  <si>
    <t>219X217X217</t>
  </si>
  <si>
    <t>219X216X219</t>
  </si>
  <si>
    <t>15X14X12</t>
  </si>
  <si>
    <t>EEAT (98)</t>
  </si>
  <si>
    <t>PRACA WALLACE PAES LEME, ESQUINA COM RUA JOAQUIM MAXIMO SOARES</t>
  </si>
  <si>
    <t>26510-044</t>
  </si>
  <si>
    <t>RJB-05463</t>
  </si>
  <si>
    <t>25.27.27</t>
  </si>
  <si>
    <t>38MCA</t>
  </si>
  <si>
    <t>18.18.14</t>
  </si>
  <si>
    <t>EEAT NILOPOLIS G1/G2/G3</t>
  </si>
  <si>
    <t>EEAT (113)</t>
  </si>
  <si>
    <t>Av. Nazare 3076</t>
  </si>
  <si>
    <t>Nilopolis</t>
  </si>
  <si>
    <t>21645-010</t>
  </si>
  <si>
    <t>12LR18</t>
  </si>
  <si>
    <t>BOOSTER</t>
  </si>
  <si>
    <t>432/433/431</t>
  </si>
  <si>
    <t>222/239/223</t>
  </si>
  <si>
    <t>63MCA</t>
  </si>
  <si>
    <t>SECCIONADORA</t>
  </si>
  <si>
    <t>432/433/432</t>
  </si>
  <si>
    <t>232/233/235</t>
  </si>
  <si>
    <t>25MCA</t>
  </si>
  <si>
    <t>RJB-01878</t>
  </si>
  <si>
    <t>RJB-01879</t>
  </si>
  <si>
    <t>432/433/433</t>
  </si>
  <si>
    <t>240/239/236</t>
  </si>
  <si>
    <t>BOOSTER JK G1/G2/G3/G4</t>
  </si>
  <si>
    <t>EEAT (746)</t>
  </si>
  <si>
    <t>R. da Cascata, 60</t>
  </si>
  <si>
    <t>Mesquita</t>
  </si>
  <si>
    <t>26557-700</t>
  </si>
  <si>
    <t>500/250</t>
  </si>
  <si>
    <t>BOOSTER POSSE G1/G2/G3/G4</t>
  </si>
  <si>
    <t>EEAT (42)</t>
  </si>
  <si>
    <t>Estrada velha de Iguaçu 812</t>
  </si>
  <si>
    <t xml:space="preserve">Belford Roxo </t>
  </si>
  <si>
    <t>26070-452</t>
  </si>
  <si>
    <t>RJB-06976</t>
  </si>
  <si>
    <t>RJB-06966</t>
  </si>
  <si>
    <t>426/426/424</t>
  </si>
  <si>
    <t>1200A/900A</t>
  </si>
  <si>
    <t>NH4/NH3</t>
  </si>
  <si>
    <t>GRUPOS HABILITADOS PELO COI</t>
  </si>
  <si>
    <t>RJB-06972</t>
  </si>
  <si>
    <t>RJB-06971</t>
  </si>
  <si>
    <t>419/425/426</t>
  </si>
  <si>
    <t>RJB-06967</t>
  </si>
  <si>
    <t>RJB-06975</t>
  </si>
  <si>
    <t>423/425/425</t>
  </si>
  <si>
    <t>RJB-02503</t>
  </si>
  <si>
    <t>RJB-06944</t>
  </si>
  <si>
    <t>430/428/425</t>
  </si>
  <si>
    <t>BOOSTER AUSTIN G1/G2/G3</t>
  </si>
  <si>
    <t>EEAT (695)</t>
  </si>
  <si>
    <t>Rua Araicas 37</t>
  </si>
  <si>
    <t>439/437/436</t>
  </si>
  <si>
    <t>RJB-12393</t>
  </si>
  <si>
    <t>440/434/433</t>
  </si>
  <si>
    <t>430/433/435</t>
  </si>
  <si>
    <t>EEAT BOOSTER ENG.PEDREIRA G1/G2</t>
  </si>
  <si>
    <t>EEAT (122)</t>
  </si>
  <si>
    <t>Cidade Jardim Marajoara, Japeri</t>
  </si>
  <si>
    <t>26420-243</t>
  </si>
  <si>
    <t>550,8</t>
  </si>
  <si>
    <t>81,8</t>
  </si>
  <si>
    <t>&lt; 5 MCA</t>
  </si>
  <si>
    <t>212X209X208</t>
  </si>
  <si>
    <t>22X23X24</t>
  </si>
  <si>
    <t>Rua Joaquim MAximo Soares (trecho trecho Rua Augusto Berberick A rua Cel . FranCa Leita), Rua JoAo Evangelista de Carvalho (trecho Rua ant^pnio J. MendonCa ao 609), Rua Lauro SodrE, Rua Maria Teresa de Paula, Rua Maria Chambarelly, Rua RoldAo GonCalves (trecho Rua Joaquim M. Soares A Rua antOnio J. MendonCa), Rua josE BrAs, Rua Dr. Manoel Reis (trecho Rua roldAo gonCalves ao final da rua), Rua Fausto DamiAo, Rua Francisco Mais, Travessa Santa Filomena, Rua antOnio FElix (trecho Rua AntOnio JoAo MendonCa ao final da Rua), Travessa Manoel M. dos Santos, rua Caruaru e pequenas vilas desses trechos</t>
  </si>
  <si>
    <t>ETE SÃO JORGE</t>
  </si>
  <si>
    <t>ETE (1007)</t>
  </si>
  <si>
    <t>Rua Gastão Costas, 56, São Jorge</t>
  </si>
  <si>
    <t>7,5</t>
  </si>
  <si>
    <t>RJB-18628</t>
  </si>
  <si>
    <t>EEE LAGOINHA 1</t>
  </si>
  <si>
    <t>EEE (82)</t>
  </si>
  <si>
    <t>Rua Quarenta e Sete, 62 Campo Belo</t>
  </si>
  <si>
    <t>26296-099</t>
  </si>
  <si>
    <t>EEE LAGOINNHA 2</t>
  </si>
  <si>
    <t>EEE (83)</t>
  </si>
  <si>
    <t>Rua Zero, 35, Campo Belo</t>
  </si>
  <si>
    <t>ETE (40)</t>
  </si>
  <si>
    <t>Rua Dez, 87-1 - Lagoinha - RJ</t>
  </si>
  <si>
    <t>26296-069</t>
  </si>
  <si>
    <t>ETE SANTO ELIAS G1/G2</t>
  </si>
  <si>
    <t>ETE (1006)</t>
  </si>
  <si>
    <t>Rua Teresinha, 285-345 - Jacutinga</t>
  </si>
  <si>
    <t>24062-240</t>
  </si>
  <si>
    <t>43.40.42</t>
  </si>
  <si>
    <t>E 10 SM</t>
  </si>
  <si>
    <t>AGUA - ELEV - WALACE</t>
  </si>
  <si>
    <t>R JOAQUIM MAXIMO SOARES SN LD640</t>
  </si>
  <si>
    <t>219X219X218</t>
  </si>
  <si>
    <t>29X27X29</t>
  </si>
  <si>
    <t>Rua Guaraúna esquina com Est. Padre José Anchieta</t>
  </si>
  <si>
    <t>220v</t>
  </si>
  <si>
    <t>Rua Taciano Manacá esquina com Av. Dr. Pedro Jorge</t>
  </si>
  <si>
    <t>Rua Itapage esquina com Av. Dr. Pedro Jorge</t>
  </si>
  <si>
    <t>Nova</t>
  </si>
  <si>
    <t>-22.694294°</t>
  </si>
  <si>
    <t>-43.557047°</t>
  </si>
  <si>
    <t>-22.694202°</t>
  </si>
  <si>
    <t>-43.562033°</t>
  </si>
  <si>
    <t>Rua Profa. Carmem Carlos</t>
  </si>
  <si>
    <t>Rua Caminho da Madureira com  Av. Abílio Augusto tavora</t>
  </si>
  <si>
    <t>Rede VCG</t>
  </si>
  <si>
    <t>10,44</t>
  </si>
  <si>
    <t>39,6</t>
  </si>
  <si>
    <t>Rua Luis Ferreira com Av. Abílio Augusto tavora</t>
  </si>
  <si>
    <t>PROTEÇÃO</t>
  </si>
  <si>
    <t>EEAT 0822</t>
  </si>
  <si>
    <t>Av. Rio Adinanino x Rua Elza</t>
  </si>
  <si>
    <t xml:space="preserve">EEAT 761 </t>
  </si>
  <si>
    <t>EEAT 811</t>
  </si>
  <si>
    <t>EEAT 45</t>
  </si>
  <si>
    <t>EEAT 1016</t>
  </si>
  <si>
    <t>EEAT 1014</t>
  </si>
  <si>
    <t>EEAT 0821</t>
  </si>
  <si>
    <t>Rua das Rosas esquina com rua Cel. Alberto de Melo</t>
  </si>
  <si>
    <t>Rua Iara esquina com Est. de Austin</t>
  </si>
  <si>
    <t>Rua Nestor Marinho esquina com Av. Abílio Augusto Távora</t>
  </si>
  <si>
    <t>Est. Manuel Resende esquina com Est. Luiz Mario da Rocha Lima</t>
  </si>
  <si>
    <t>pastor ANTONIO MARTINS</t>
  </si>
  <si>
    <t>Est. Pastor Antonio Martins esquina com rua Ciranda</t>
  </si>
  <si>
    <t>Rua Colorado esquina com Av. Abílio Augusto Távora</t>
  </si>
  <si>
    <t>Av. Coronel Francisco Soares com rua Venina Correa Torres</t>
  </si>
  <si>
    <t>rua da Serra esquina com rua Graúna</t>
  </si>
  <si>
    <t>Rua Luigi Giobi esquina  com rua Fernando Vasconcelos</t>
  </si>
  <si>
    <t>Est. de Caramujos esquina com rua Cruz Alta</t>
  </si>
  <si>
    <t>DADOS</t>
  </si>
  <si>
    <t>NOME</t>
  </si>
  <si>
    <t>PL-RJB-EAT1018</t>
  </si>
  <si>
    <t>PRAÇA DA MATRIZ</t>
  </si>
  <si>
    <t>R. Projetada B, 331, RJ ou R. da Matriz - Santa Cruz da Serra, Duque de Caxias - RJ, 25260</t>
  </si>
  <si>
    <t>Duque de Caxias</t>
  </si>
  <si>
    <t>RANCHO NOVO</t>
  </si>
  <si>
    <t>Rua Paulo Cerqueira-224,Nova Iguaçu,  Rio de Janeiro</t>
  </si>
  <si>
    <t>PL-RJB-EAT0041</t>
  </si>
  <si>
    <t>MANOEL GAMA</t>
  </si>
  <si>
    <t>Rua Manoel Gama S/N Vila Tiradentes,  São João de Meriti</t>
  </si>
  <si>
    <t>SÃO JOÃO DE MERITI</t>
  </si>
  <si>
    <t>PL-RJB-EAT0155</t>
  </si>
  <si>
    <t>VILA CLAUDIA</t>
  </si>
  <si>
    <t>Rua Teófilo Bispo, 10 - Belford Roxo</t>
  </si>
  <si>
    <t>PL-RJB-EAT0009</t>
  </si>
  <si>
    <t>TEBIS</t>
  </si>
  <si>
    <t>Rua tebis, 2 - belford roxo</t>
  </si>
  <si>
    <t>PL-RJB-EAT0028</t>
  </si>
  <si>
    <t>ENGENHEIRO BELFORD</t>
  </si>
  <si>
    <t>Rua Luís da Hora próximo ao 293</t>
  </si>
  <si>
    <t>PL-RJB-EAT0057</t>
  </si>
  <si>
    <t>FILADELFIA</t>
  </si>
  <si>
    <t>Rua Filadélfia, prox Lote 1 Quadra 8, Jardim Metrópoles, São João de Meriti</t>
  </si>
  <si>
    <t>26585-520</t>
  </si>
  <si>
    <t>26570-250</t>
  </si>
  <si>
    <t>26564-021</t>
  </si>
  <si>
    <t>Av. São Paulo, 2 - Centro, Mesquita - RJ, 26553-360</t>
  </si>
  <si>
    <t>26553-360</t>
  </si>
  <si>
    <t>26551-200</t>
  </si>
  <si>
    <t>26545-191</t>
  </si>
  <si>
    <t>26540-020</t>
  </si>
  <si>
    <t>26535-430</t>
  </si>
  <si>
    <t>26535-330</t>
  </si>
  <si>
    <t>26535-001</t>
  </si>
  <si>
    <t>26510-182</t>
  </si>
  <si>
    <t>26510-049</t>
  </si>
  <si>
    <t>PRESÍDIO (MILTON D. MOREIRA E JOÃO C.SILVA)</t>
  </si>
  <si>
    <t>R. Monteatini, 353 - Jd Belo Horizonte, Japeri - RJ, 26480-400</t>
  </si>
  <si>
    <t>26480-400</t>
  </si>
  <si>
    <t>EUCALIPTOS 2</t>
  </si>
  <si>
    <t>R. Albertina, 3 - Parque Itaguare, Japeri - RJ, 26455-030</t>
  </si>
  <si>
    <t>26455-030</t>
  </si>
  <si>
    <t>26453-325</t>
  </si>
  <si>
    <t>EUCALIPTOS 1</t>
  </si>
  <si>
    <t>Estr. Ari Schiavo, 3992 - Vila Santa Amelia, Japeri - RJ, 26445-010</t>
  </si>
  <si>
    <t>26445-010</t>
  </si>
  <si>
    <t>BVOLANTE CATARINA</t>
  </si>
  <si>
    <t>R. Maria Catarina, 82 - Vila Japeri, Japeri - RJ, 26443-130</t>
  </si>
  <si>
    <t>26443-130</t>
  </si>
  <si>
    <t>BVOLANTE CASTRO MAIA</t>
  </si>
  <si>
    <t>R. Castro Maia, 289 - Vila Japeri, Japeri - RJ, 26440-050</t>
  </si>
  <si>
    <t>26440-050</t>
  </si>
  <si>
    <t>26435-267</t>
  </si>
  <si>
    <t>NOVA BELÉM (MARGEM GUANDU)</t>
  </si>
  <si>
    <t>R. São José, 561 - Nova Belém, Japeri - RJ, 26433-315</t>
  </si>
  <si>
    <t>26433-315</t>
  </si>
  <si>
    <t>26425-340</t>
  </si>
  <si>
    <t>BVOLANTE TOQUIO</t>
  </si>
  <si>
    <t>R. Tóquio, 19 - Citrópolis, Japeri - RJ, 26425-340</t>
  </si>
  <si>
    <t>R. Floripe, 44 - Tinguazinho, Nova Iguaçu - RJ, 26395-350, Brasil</t>
  </si>
  <si>
    <t>26395-350</t>
  </si>
  <si>
    <t>R. A, 0 - Vila Camarim, Queimados - RJ, 26383-522</t>
  </si>
  <si>
    <t>26383-522</t>
  </si>
  <si>
    <t>26383-340</t>
  </si>
  <si>
    <t>26383-320</t>
  </si>
  <si>
    <t>R. Itapage, 440-526, Queimados - RJ, 26381-429</t>
  </si>
  <si>
    <t>26381-429</t>
  </si>
  <si>
    <t>26381-348</t>
  </si>
  <si>
    <t>R. Itororó, 6 - Vila Guimaraes, Queimados - RJ, 26340-250</t>
  </si>
  <si>
    <t>26340-250</t>
  </si>
  <si>
    <t>R. das Crianças, 533 - Vila Nascente, Queimados - RJ, 26325-030</t>
  </si>
  <si>
    <t>26325-030</t>
  </si>
  <si>
    <t>26320-330</t>
  </si>
  <si>
    <t>Rua José Alexandre esquina com a Estr. Campo Alegre - Granja Rosalina, Queimados - RJ, 26317-180</t>
  </si>
  <si>
    <t>26317-180</t>
  </si>
  <si>
    <t>26310-190</t>
  </si>
  <si>
    <t>PRADOS VERDES</t>
  </si>
  <si>
    <t>Estr. Francisco de Almeida, 322 - Prados Verdes, Nova Iguaçu - RJ, 26299-039</t>
  </si>
  <si>
    <t>26299-039</t>
  </si>
  <si>
    <t>SÃO FRANCISCO DE PAULA</t>
  </si>
  <si>
    <t>RUA SÃO JOÃO KM 32 CEP,26298-633 Nova Iguaçu.</t>
  </si>
  <si>
    <t>26298-633</t>
  </si>
  <si>
    <t>SANTA MÔNICA</t>
  </si>
  <si>
    <t>R. Santa Mônica, 150 - Km 32, Nova Iguaçu - RJ, 26298-620</t>
  </si>
  <si>
    <t>26298-620</t>
  </si>
  <si>
    <t>NOSSA SRA. FÁTIMA</t>
  </si>
  <si>
    <t>R. Nossa Sra. de Fátima, 413 - Km 32, Nova Iguaçu - RJ, 26298-614</t>
  </si>
  <si>
    <t>26298-614</t>
  </si>
  <si>
    <t>SAO FRANCISCO DE PAULA II</t>
  </si>
  <si>
    <t>Rua São Pedro, Nova Iguaçu - Cep 26298-500</t>
  </si>
  <si>
    <t>26298-500</t>
  </si>
  <si>
    <t>GUANDU I</t>
  </si>
  <si>
    <t>R. Armando, 163 - Jardim Guandu, Nova Iguaçu - RJ, 26298-414</t>
  </si>
  <si>
    <t>26298-414</t>
  </si>
  <si>
    <t>JARDIM GUANDU 2</t>
  </si>
  <si>
    <t>R. Trevo, Lote 5 - Quadra 18 - Jardim Guandu, Nova Iguaçu - RJ, 26298-281</t>
  </si>
  <si>
    <t>26298-281</t>
  </si>
  <si>
    <t>26290-717</t>
  </si>
  <si>
    <t>26290-006</t>
  </si>
  <si>
    <t>26277-425</t>
  </si>
  <si>
    <t>R. Luís Ferreira, 10 - Pioneiro, Nova Iguaçu - RJ, 26271-350</t>
  </si>
  <si>
    <t>26271-350</t>
  </si>
  <si>
    <t>26265-090</t>
  </si>
  <si>
    <t>R. Tab. Murilo Costa, 140 - Centro, Nova Iguaçu - RJ, 26255-130</t>
  </si>
  <si>
    <t>26250-170</t>
  </si>
  <si>
    <t>R. Gov. Portela - Centro, Nova Iguaçu - RJ, 26221-130</t>
  </si>
  <si>
    <t>26220-100</t>
  </si>
  <si>
    <t>PL-RJB-EAT0013</t>
  </si>
  <si>
    <t>JARDIM IDEAL II</t>
  </si>
  <si>
    <t>R. Santo Expedito, 21 - Santa Tereza, Belford Roxo - RJ, 26196-100</t>
  </si>
  <si>
    <t>26196-100</t>
  </si>
  <si>
    <t>PL-RJB-EAT1022</t>
  </si>
  <si>
    <t>LOTE XV</t>
  </si>
  <si>
    <t>Av. Automóvel Clube, 136 - Santa Teresa, Belford Roxo - RJ, 26196-030</t>
  </si>
  <si>
    <t>26196-030</t>
  </si>
  <si>
    <t>PL-RJB-EAT0119</t>
  </si>
  <si>
    <t>JARDIM REDENTOR</t>
  </si>
  <si>
    <t>Av. Automóvel Clube, 1 - Jardim Gláucia, Belford Roxo - RJ, 26193-000</t>
  </si>
  <si>
    <t>26193-000</t>
  </si>
  <si>
    <t>PL-RJB-EEE0102</t>
  </si>
  <si>
    <t>SJV 008</t>
  </si>
  <si>
    <t>Av. Joaquim da Costa Lima, 453 - Boa Ventura, Belford Roxo - RJ, 26183-250</t>
  </si>
  <si>
    <t>26183-250</t>
  </si>
  <si>
    <t>PL-RJB-ETE0020</t>
  </si>
  <si>
    <t>JOINVILLE</t>
  </si>
  <si>
    <t>Rua Brigadeiro, 44 - Maringá, Belford Roxo - RJ, 26180-360</t>
  </si>
  <si>
    <t>26180-360</t>
  </si>
  <si>
    <t>PL-RJB-EAT0116</t>
  </si>
  <si>
    <t>BAIXADA</t>
  </si>
  <si>
    <t>R. Circular, 110 - Centro, Belford Roxo - RJ, 26173-611</t>
  </si>
  <si>
    <t>26173-611</t>
  </si>
  <si>
    <t>PL-RJB-EAT0107</t>
  </si>
  <si>
    <t>Estr. do Cambongo, 120 - Parque Sao Vicente, Belford Roxo - RJ, 26165-650</t>
  </si>
  <si>
    <t>26165-650</t>
  </si>
  <si>
    <t>PL-RJB-EAT0120</t>
  </si>
  <si>
    <t>NOVA AURORA</t>
  </si>
  <si>
    <t>Av. Principal - Lt 11 - Qd 1 - Nova Aurora, Belford Roxo - RJ, 26160-340</t>
  </si>
  <si>
    <t>26160-340</t>
  </si>
  <si>
    <t>PL-RJB-EAT0029</t>
  </si>
  <si>
    <t>MINISTRO SANTIAGO DANTAS</t>
  </si>
  <si>
    <t>R. Min. Santiago Dantas, 108 - Nova Aurora, Belford Roxo - RJ, 26155-240</t>
  </si>
  <si>
    <t>26155-240</t>
  </si>
  <si>
    <t>PL-RJB-EAT0020</t>
  </si>
  <si>
    <t>PARAGUASSU</t>
  </si>
  <si>
    <t>R. Alexandre de Oliveira, 02 - Itaipu, Belford Roxo - RJ, 26143-515</t>
  </si>
  <si>
    <t>26143-515</t>
  </si>
  <si>
    <t>26143-500</t>
  </si>
  <si>
    <t>PL-RJB-EAT0732</t>
  </si>
  <si>
    <t>PARECIS</t>
  </si>
  <si>
    <t>R. Parecis, 48 - Heliópolis, Belford Roxo - RJ, 26140-320</t>
  </si>
  <si>
    <t>26140-320</t>
  </si>
  <si>
    <t>PL-RJB-EAT1030</t>
  </si>
  <si>
    <t>SALVADOR BARONE</t>
  </si>
  <si>
    <t>R. Salvador Barone, 225 - Andrade Araujo, Belford Roxo - RJ, 26135-400</t>
  </si>
  <si>
    <t>26135-400</t>
  </si>
  <si>
    <t>PL-RJB-EAT0004</t>
  </si>
  <si>
    <t>VIRGINIA SOUZA</t>
  </si>
  <si>
    <t>Rua Virginia Souza, 5 - Santo Antonio da Prata, Belford Roxo - RJ, 26130-500</t>
  </si>
  <si>
    <t>26130-500</t>
  </si>
  <si>
    <t>PL-RJB-EAT0114</t>
  </si>
  <si>
    <t>PORTUGAL</t>
  </si>
  <si>
    <t>Av. Portugal, 112 - Santo Antonio da Prata, Belford Roxo - RJ, 26130-410</t>
  </si>
  <si>
    <t>26130-410</t>
  </si>
  <si>
    <t>PL-RJB-EAT0855</t>
  </si>
  <si>
    <t>FERNANDO LUÍS</t>
  </si>
  <si>
    <t>R. Fernando Luís, 02 - Santo Antonio da Prata, Belford Roxo - RJ, 26130-400</t>
  </si>
  <si>
    <t>26130-400</t>
  </si>
  <si>
    <t>PL-RJB-EAT0006</t>
  </si>
  <si>
    <t>VALERIO ROCHA</t>
  </si>
  <si>
    <t>Av. Benjamin Pinto Dias, 800 - Centro, Belford Roxo - RJ, 26130-000</t>
  </si>
  <si>
    <t>26130-000</t>
  </si>
  <si>
    <t>PL-RJB-EAT0757</t>
  </si>
  <si>
    <t>PALADINO GARCIA</t>
  </si>
  <si>
    <t>Tv. Paladino García, 20 - Vila Madalena, Belford Roxo - RJ, 26130-000</t>
  </si>
  <si>
    <t>PL-RJB-EAT0084</t>
  </si>
  <si>
    <t>ITAIPU</t>
  </si>
  <si>
    <t>R. Barão de Cotegipe, 213 - Shangri-La, Belford Roxo - RJ, 26127-340</t>
  </si>
  <si>
    <t>26127-340</t>
  </si>
  <si>
    <t>PL-RJB-EAT0064</t>
  </si>
  <si>
    <t>CARLOS CHAGAS</t>
  </si>
  <si>
    <t>R. Armando Sáles - São Francisco de Assis, Belford Roxo - RJ, 26125-250</t>
  </si>
  <si>
    <t>26125-250</t>
  </si>
  <si>
    <t>PL-RJB-EEE1030</t>
  </si>
  <si>
    <t>HELIÓPOLIS</t>
  </si>
  <si>
    <t>Av. Heliópolis, 15 - Heliópolis, Belford Roxo - RJ, 26120-300</t>
  </si>
  <si>
    <t>26120-300</t>
  </si>
  <si>
    <t>PL-RJB-EAT0766</t>
  </si>
  <si>
    <t>BVOLANTE JOANA ANGÉLICA</t>
  </si>
  <si>
    <t>Av. Retiro da Imprensa, 370 - Piam, Belford Roxo - RJ, 26120-252</t>
  </si>
  <si>
    <t>26120-252</t>
  </si>
  <si>
    <t>PL-RJB-EAT0857</t>
  </si>
  <si>
    <t>MORRO DO AMOR</t>
  </si>
  <si>
    <t>Estr. B. Vermelho, 398 - Santa Amélia, Belford Roxo - RJ, 26116-680</t>
  </si>
  <si>
    <t>26116-680</t>
  </si>
  <si>
    <t>PL-RJB-EAT0092</t>
  </si>
  <si>
    <t>CARLOS LAMARCA</t>
  </si>
  <si>
    <t>R. Agaí, S/N ao 167 - Barro Vermelho, Belford Roxo - RJ, 26115-087</t>
  </si>
  <si>
    <t>26115-087</t>
  </si>
  <si>
    <t>PL-RJB-EAT1023</t>
  </si>
  <si>
    <t>GRAÇA</t>
  </si>
  <si>
    <t>R. Itajaí, 110 - Bairro das Graças, Belford Roxo - RJ, 26113-450</t>
  </si>
  <si>
    <t>26113-450</t>
  </si>
  <si>
    <t>PL-RJB-EAT0005</t>
  </si>
  <si>
    <t>VARGAS COUTINHO</t>
  </si>
  <si>
    <t>R. Vargas Coutinho, 47 - Piam, Belford Roxo - RJ, 26113-101</t>
  </si>
  <si>
    <t>26113-101</t>
  </si>
  <si>
    <t>PL-RJB-EAT0078</t>
  </si>
  <si>
    <t>VICENTINA</t>
  </si>
  <si>
    <t>Próximo a Medical Farma Produtos Farmacêuticos Ltda - Rua Corinto Luíz Furtado, 13 - Vila Sousa, Belford Roxo - RJ, 26112-025</t>
  </si>
  <si>
    <t>26112-025</t>
  </si>
  <si>
    <t>PL-RJB-EAT0049</t>
  </si>
  <si>
    <t>CASTELAR</t>
  </si>
  <si>
    <t>R. João Moreira da Rocha, 12 - Piam, Belford Roxo - RJ, 26112-020</t>
  </si>
  <si>
    <t>26112-020</t>
  </si>
  <si>
    <t>PL-RJB-EAT0089</t>
  </si>
  <si>
    <t>ALMERIO</t>
  </si>
  <si>
    <t>R. Almério, 49 - Centro, Belford Roxo - RJ, 26112-010</t>
  </si>
  <si>
    <t>26112-010</t>
  </si>
  <si>
    <t>PL-RJB-EAT0060</t>
  </si>
  <si>
    <t>BOM PASTOR</t>
  </si>
  <si>
    <t>Avenida Distinção esquina com Rua Sevidão, Bom Pastor, Belford Roxo - RJ, 26110-415</t>
  </si>
  <si>
    <t>26110-415</t>
  </si>
  <si>
    <t>INCONFIDENTES</t>
  </si>
  <si>
    <t>R. Freire de Andrade, 31 - Inconfidência, Nova Iguaçu - RJ, 26085-285</t>
  </si>
  <si>
    <t>26085-285</t>
  </si>
  <si>
    <t>Estr. Manuel Resende, 568-602, Nova Iguaçu - RJ, 26083-530</t>
  </si>
  <si>
    <t>26083-530</t>
  </si>
  <si>
    <t>26082-215</t>
  </si>
  <si>
    <t>PANORAM</t>
  </si>
  <si>
    <t>R. José Bassoto - 90, Miguel Couto, Nova Iguaçu - RJ, 26070-230</t>
  </si>
  <si>
    <t>26070-230</t>
  </si>
  <si>
    <t>PL-RJB-EAT0173</t>
  </si>
  <si>
    <t>MIGUEL COUTO</t>
  </si>
  <si>
    <t>Rua Jasmim, 23 - Miguel Couto, Belford Roxo - RJ, 26061-700</t>
  </si>
  <si>
    <t>26061-700</t>
  </si>
  <si>
    <t>Estr. da Grama, 1783-1743 - Jardim Fonte Sao Miguel, Nova Iguaçu - RJ, 26060-015</t>
  </si>
  <si>
    <t>RANCHO FUNDO</t>
  </si>
  <si>
    <t>R. Galo, 61 - Vila Iguacuana, Nova Iguaçu - RJ, 26050-755</t>
  </si>
  <si>
    <t>26050-755</t>
  </si>
  <si>
    <t>Estr. de Adrianópolis - Santa Rita, Nova Iguaçu - RJ, 26041-271</t>
  </si>
  <si>
    <t>26041-271</t>
  </si>
  <si>
    <t>R. Arlinda, 34 - Floresta, Nova Iguaçu - RJ, 26031-200</t>
  </si>
  <si>
    <t>Estr. da Gama, 712 - Posse, Nova Iguaçu - RJ, 26030-200</t>
  </si>
  <si>
    <t>26030-010</t>
  </si>
  <si>
    <t>26022-550</t>
  </si>
  <si>
    <t>26021-650</t>
  </si>
  <si>
    <t>Praça Oiticica, 2131-2025 - Jardim da Posse, Nova Iguaçu - RJ, 26021-072</t>
  </si>
  <si>
    <t>26021-072</t>
  </si>
  <si>
    <t>26012-451</t>
  </si>
  <si>
    <t>PL-RJB-EAT0295</t>
  </si>
  <si>
    <t>PEDRO LESSA</t>
  </si>
  <si>
    <t>Rua Pedro Lessa S/N prox Lote 2 Quadra 26, Jardim Leal, Duque de Caxias.</t>
  </si>
  <si>
    <t>PL-RJB-EAT0003</t>
  </si>
  <si>
    <t>AZAMBUJA</t>
  </si>
  <si>
    <t>R. Dr. Venceslau Escobar Azambuja, 85 - Parque Analândia, São João de Meriti - RJ, 25585-730</t>
  </si>
  <si>
    <t>25585-730</t>
  </si>
  <si>
    <t>PL-RJB-EAT0841</t>
  </si>
  <si>
    <t>BOMBA VENDA VELHA</t>
  </si>
  <si>
    <t>Av. Estácio de Sá, 787 - Parque Novo Rio, São João de Meriti - RJ, 25585-000</t>
  </si>
  <si>
    <t>25585-000</t>
  </si>
  <si>
    <t>São João de Meriti</t>
  </si>
  <si>
    <t>PL-RJB-EAT0023</t>
  </si>
  <si>
    <t>OTAVIO DE MENEZES</t>
  </si>
  <si>
    <t>R. Otávio de Menezes - Parque Barreto, São João de Meriti - RJ, 25581-240</t>
  </si>
  <si>
    <t>25581-240</t>
  </si>
  <si>
    <t>PL-RJB-EAT0071</t>
  </si>
  <si>
    <t>TREZENTOS</t>
  </si>
  <si>
    <t>Estr. das Pedrinhas, 36 - Venda Velha, São João de Meriti – RJ, 25580-660</t>
  </si>
  <si>
    <t>25580-660</t>
  </si>
  <si>
    <t>PL-RJB-EAT0021</t>
  </si>
  <si>
    <t>VILA IRIS</t>
  </si>
  <si>
    <t>Próximo a Spike Digital Marketing - R. Paracatu, 10 - casa - Jardim Santo Antonio, São João de Meriti - RJ, 25580-340</t>
  </si>
  <si>
    <t>25580-340</t>
  </si>
  <si>
    <t>PL-RJB-EAT0081</t>
  </si>
  <si>
    <t>VILAS BOAS</t>
  </si>
  <si>
    <t>R. Cecília Vilas Bôas, 753 - Jardim Jurema, São João de Meriti - RJ, 25580-260</t>
  </si>
  <si>
    <t>25580-260</t>
  </si>
  <si>
    <t>PL-RJB-EAT0756</t>
  </si>
  <si>
    <t>SENDAS</t>
  </si>
  <si>
    <t>R. Maria Soares Sendas, 1111 - Parque Barreto, São João de Meriti - RJ, 25575-825</t>
  </si>
  <si>
    <t>25575-825</t>
  </si>
  <si>
    <t>PL-RJB-EAT0760</t>
  </si>
  <si>
    <t>ÁLVARO ALVIM</t>
  </si>
  <si>
    <t>Av. João Venâncio Rosa, 76 - Jardim Sumare, São João de Meriti - RJ, 25575-241</t>
  </si>
  <si>
    <t>25575-241</t>
  </si>
  <si>
    <t>PL-RJB-EAT0095</t>
  </si>
  <si>
    <t>CAMPOS</t>
  </si>
  <si>
    <t>R. Campos, 499 - Vilar dos Teles, São João de Meriti - RJ, 25570-200</t>
  </si>
  <si>
    <t>25570-200</t>
  </si>
  <si>
    <t>PL-RJB-EAT0853</t>
  </si>
  <si>
    <t>BOOSTER VILAR DOS TELES</t>
  </si>
  <si>
    <t>Rua Desembargador Geraldo Toledo, 230 - Vila São João, São João de Meriti - RJ, 25570-142</t>
  </si>
  <si>
    <t>25570-142</t>
  </si>
  <si>
    <t>PL-RJB-EAT0123</t>
  </si>
  <si>
    <t>SIMPATIA</t>
  </si>
  <si>
    <t>R. São Cristóvão, 30-32 - Vilar dos Teles, São João de Meriti - RJ, 25565-100</t>
  </si>
  <si>
    <t>25565-100</t>
  </si>
  <si>
    <t>PL-RJB-EAT0015</t>
  </si>
  <si>
    <t>MONTE HOREB</t>
  </si>
  <si>
    <t>Pauline, Belford Roxo - RJ, 26165-366</t>
  </si>
  <si>
    <t>26165-366</t>
  </si>
  <si>
    <t>PL-RJB-EAT0842</t>
  </si>
  <si>
    <t>BOMBA ELIZETE CURVELO</t>
  </si>
  <si>
    <t>Av. Comendador Teles, 2353 - Vilar dos Teles, São João de Meriti - RJ, 25561-161</t>
  </si>
  <si>
    <t>25561-161</t>
  </si>
  <si>
    <t>PL-RJB-EAT0763</t>
  </si>
  <si>
    <t>ITU</t>
  </si>
  <si>
    <t>R. Clemente Pereira Leandro - Vilar dos Teles, São João de Meriti - RJ, 25561-000</t>
  </si>
  <si>
    <t>25561-000</t>
  </si>
  <si>
    <t>PL-RJB-EAT0118</t>
  </si>
  <si>
    <t>AVENIDA BELA</t>
  </si>
  <si>
    <t>Av. Bela Vista, 15 - Vilar dos Teles, São João de Meriti - RJ, 25560-580</t>
  </si>
  <si>
    <t>25560-580</t>
  </si>
  <si>
    <t>PL-RJB-EAT1015</t>
  </si>
  <si>
    <t>LIMA</t>
  </si>
  <si>
    <t>Próximo a R. Lima, 19 - Vilar dos Teles, São João de Meriti - RJ, 25560-360</t>
  </si>
  <si>
    <t>25560-360</t>
  </si>
  <si>
    <t>PL-RJB-EAT0035</t>
  </si>
  <si>
    <t>JARDIM MERITI</t>
  </si>
  <si>
    <t>R. Mascarenhas de Morais, 127-86 - Jardim Meriti, São João de Meriti - RJ, 25555-510</t>
  </si>
  <si>
    <t>25555-510</t>
  </si>
  <si>
    <t>PL-RJB-EAT0036</t>
  </si>
  <si>
    <t>MARIA RASUCK VILELA</t>
  </si>
  <si>
    <t>R. Plácido Figueiredo Júnior, 1050 - Coelho da Rocha, São João de Meriti - RJ, 25555-150</t>
  </si>
  <si>
    <t>25555-150</t>
  </si>
  <si>
    <t>PL-RJB-EAT1017</t>
  </si>
  <si>
    <t>CHUMBO</t>
  </si>
  <si>
    <t>Rua Rubi, 352-398 - Coelho da Rocha, São João de Meriti - RJ, 25550-250</t>
  </si>
  <si>
    <t>25550-250</t>
  </si>
  <si>
    <t>PL-RJB-EAT0074</t>
  </si>
  <si>
    <t>ANTONIA</t>
  </si>
  <si>
    <t>Coelho da Rocha, São João de Meriti - RJ, 25550-100</t>
  </si>
  <si>
    <t>25550-100</t>
  </si>
  <si>
    <t>PL-RJB-EAT0037</t>
  </si>
  <si>
    <t>RESERVATORIO DO EDEN (MARIA GAMA)</t>
  </si>
  <si>
    <t>Agostinho Porto, São João de Meriti - RJ, 25545-390</t>
  </si>
  <si>
    <t>25545-390</t>
  </si>
  <si>
    <t>PL-RJB-EAT0073</t>
  </si>
  <si>
    <t>ITABORAI</t>
  </si>
  <si>
    <t>Av. Getúlio de Moura, 1146 - Agostinho Porto, São João de Meriti - RJ, 25545-201</t>
  </si>
  <si>
    <t>25545-201</t>
  </si>
  <si>
    <t>PL-RJB-EAT0091</t>
  </si>
  <si>
    <t>CRISTALINA</t>
  </si>
  <si>
    <t>R. Caldas Novas, 7 - Vila Zulmira, São João de Meriti - RJ, 25540-530</t>
  </si>
  <si>
    <t>25540-530</t>
  </si>
  <si>
    <t>PL-RJB-EAT0769</t>
  </si>
  <si>
    <t>PIRES DO RIO</t>
  </si>
  <si>
    <t>Rua Pires do Rio N°298 Vila Zulmira, São João de Meriti - RJ, 25540-510</t>
  </si>
  <si>
    <t>25540-510</t>
  </si>
  <si>
    <t>PL-RJB-EAT0839</t>
  </si>
  <si>
    <t>BOMBA PERI</t>
  </si>
  <si>
    <t>R. Peri, 371 - Éden, São João de Meriti - RJ, 25535-162</t>
  </si>
  <si>
    <t>25535-162</t>
  </si>
  <si>
    <t>PL-RJB-EAT0010</t>
  </si>
  <si>
    <t>TACQUES BITENCOURT</t>
  </si>
  <si>
    <t>R. Taques Bitencourt, 1020 - São Mateus, São João de Meriti - RJ, 25530-052</t>
  </si>
  <si>
    <t>25530-052</t>
  </si>
  <si>
    <t>PL-RJB-EAT0090</t>
  </si>
  <si>
    <t>CRISTALINA II</t>
  </si>
  <si>
    <t>R. Domingos Alves de Oliveira, 1 - Éden, São João de Meriti - RJ, 25525-500</t>
  </si>
  <si>
    <t>25525-500</t>
  </si>
  <si>
    <t>PL-RJB-EAT0772</t>
  </si>
  <si>
    <t>MADALENA</t>
  </si>
  <si>
    <t>R. Dona Alice, 23 - Vila Tiradentes, São João de Meriti - RJ, 25525-290</t>
  </si>
  <si>
    <t>25525-290</t>
  </si>
  <si>
    <t>PL-RJB-EAT0070</t>
  </si>
  <si>
    <t>SÃO MATHEUS</t>
  </si>
  <si>
    <t>R. Delfim Moreira, 111 - Vila Rosali, São João de Meriti - RJ, 25525-170</t>
  </si>
  <si>
    <t>25525-170</t>
  </si>
  <si>
    <t>PL-RJB-EAT0106</t>
  </si>
  <si>
    <t>GOIAS</t>
  </si>
  <si>
    <t>R. Goiás - Centro, São João de Meriti - RJ, 25515-350</t>
  </si>
  <si>
    <t>25515-350</t>
  </si>
  <si>
    <t>PL-RJB-EAT1057</t>
  </si>
  <si>
    <t>SANTA HELENA II</t>
  </si>
  <si>
    <t>Rua Maestro Benedito de Moura, 31 - Centro, São João de Meriti - RJ, 25510-370</t>
  </si>
  <si>
    <t>25510-370</t>
  </si>
  <si>
    <t>PL-RJB-EAT0076</t>
  </si>
  <si>
    <t>1º DE MAIO</t>
  </si>
  <si>
    <t>R. Primeiro de Maio, 218 - Vila Rosali, São João de Meriti - RJ, 25510-131</t>
  </si>
  <si>
    <t>25510-131</t>
  </si>
  <si>
    <t>PL-RJB-EAT0838</t>
  </si>
  <si>
    <t>AGOSTINHO PORTO</t>
  </si>
  <si>
    <t>R. Suzana, 37 - Agostinho Porto, São João de Meriti - RJ, 25510-100</t>
  </si>
  <si>
    <t>25510-100</t>
  </si>
  <si>
    <t>PL-RJB-ETA0102</t>
  </si>
  <si>
    <t>ETA</t>
  </si>
  <si>
    <t>IMBARIÊ (TAQUARA)</t>
  </si>
  <si>
    <t>Estr. Cachoeira das Dores - Taquara, Duque de Caxias - RJ, 25275-130</t>
  </si>
  <si>
    <t>25275-130</t>
  </si>
  <si>
    <t>PL-RJB-EAT0846</t>
  </si>
  <si>
    <t>PILAR</t>
  </si>
  <si>
    <t>R. Olimpia - Pilar, Duque de Caxias - RJ, 25265-008</t>
  </si>
  <si>
    <t>25265-008</t>
  </si>
  <si>
    <t>PL-RJB-EAT0661</t>
  </si>
  <si>
    <t>BVOLANTE JARDIM PARIS</t>
  </si>
  <si>
    <t>Estr. Velha do Rosário prox ao n°1000 lote 6 e 7 - Jardim Primavera, Duque de Caxias - RJ, 25265-008</t>
  </si>
  <si>
    <t>PL-RJB-EAT0304</t>
  </si>
  <si>
    <t>SIMAO DIAS</t>
  </si>
  <si>
    <t>R. Simões Dias, 69 - Vila Maria Helena, Duque de Caxias - RJ, 25251-330</t>
  </si>
  <si>
    <t>25251-330</t>
  </si>
  <si>
    <t>PL-RJB-EAT0765</t>
  </si>
  <si>
    <t>SÃO GONÇALO</t>
  </si>
  <si>
    <t>R. Giparana, 511 - Chácaras Arcampo, Duque de Caxias - RJ, 25251-030</t>
  </si>
  <si>
    <t>25251-030</t>
  </si>
  <si>
    <t>PL-RJB-EAT0815</t>
  </si>
  <si>
    <t>SALUSTIANO</t>
  </si>
  <si>
    <t>Av. Venância, 105 - Xerém, Duque de Caxias - RJ, 25250-596</t>
  </si>
  <si>
    <t>25250-596</t>
  </si>
  <si>
    <t>PL-RJB-EAT0331</t>
  </si>
  <si>
    <t>ARI BARROSO II</t>
  </si>
  <si>
    <t>Chapéu do Sol - R. Francisco Alves Batista, 15 - Xerém, Duque de Caxias - RJ, 25245-770</t>
  </si>
  <si>
    <t>25245-770</t>
  </si>
  <si>
    <t>PL-RJB-EAT1019</t>
  </si>
  <si>
    <t>BOOSTER CAPIVARI</t>
  </si>
  <si>
    <t>Estr. São Lourenço  ao Lado do n° 112- Chácaras Rio-Petrópolis, Duque de Caxias - RJ, 25243-150</t>
  </si>
  <si>
    <t>25243-150</t>
  </si>
  <si>
    <t>PL-RJB-ETE0044</t>
  </si>
  <si>
    <t>FIGUEIRA</t>
  </si>
  <si>
    <t>Rua Aníbal Benevolo, s/n - Figueira, Duque de Caxias - RJ, 25237-010</t>
  </si>
  <si>
    <t>25237-010</t>
  </si>
  <si>
    <t>PL-RJB-EEE0095</t>
  </si>
  <si>
    <t>CALÇADA</t>
  </si>
  <si>
    <t>R. Anibal Benevolo, 73 - Chácaras Rio-Petrópolis, Duque de Caxias - RJ, 25231-120</t>
  </si>
  <si>
    <t>25231-120</t>
  </si>
  <si>
    <t>PL-RJB-EEE0096</t>
  </si>
  <si>
    <t>CALOMBÉ</t>
  </si>
  <si>
    <t>Av. Calombe, 2544 - Figueira, Duque de Caxias - RJ, 25230-050</t>
  </si>
  <si>
    <t>25230-050</t>
  </si>
  <si>
    <t>PL-RJB-EEE0097</t>
  </si>
  <si>
    <t>Av. Calombe, 2870 - Figueira, Duque de Caxias - RJ, 25230-050</t>
  </si>
  <si>
    <t>PL-RJB-EAT0330</t>
  </si>
  <si>
    <t>AMARELINHO</t>
  </si>
  <si>
    <t>Alameda L, 2 - Jardim Primavera, Duque de Caxias - RJ, 25225-430</t>
  </si>
  <si>
    <t>25225-430</t>
  </si>
  <si>
    <t>PL-RJB-EAT0302</t>
  </si>
  <si>
    <t>QUITO</t>
  </si>
  <si>
    <t>R. Quito prox ao n° 1026 - Jardim Primavera, Duque de Caxias - RJ, 25223-150</t>
  </si>
  <si>
    <t>25223-150</t>
  </si>
  <si>
    <t>PL-RJB-EAT0679</t>
  </si>
  <si>
    <t>BVOLANTE VILA DO ROSÁRIO</t>
  </si>
  <si>
    <t>Estr. São Mateus, 641 - Jardim Primavera, Duque de Caxias - RJ, 25215-283</t>
  </si>
  <si>
    <t>25215-283</t>
  </si>
  <si>
    <t>PL-RJB-EAT0288</t>
  </si>
  <si>
    <t>PALMEIRAS G1</t>
  </si>
  <si>
    <t>Av. das Palmeiras prox ao 38 - Jardim Primavera, Duque de Caxias - RJ, 25215-245</t>
  </si>
  <si>
    <t>25215-245</t>
  </si>
  <si>
    <t>PL-RJB-EAT0852</t>
  </si>
  <si>
    <t>PEDRO AMÉRICO</t>
  </si>
  <si>
    <t>Alameda Paraguaçú, 2 - Jardim Primavera, Duque de Caxias - RJ, 25214-355</t>
  </si>
  <si>
    <t>25214-355</t>
  </si>
  <si>
    <t>PL-RJB-EAT0682</t>
  </si>
  <si>
    <t>ESTRADA VELHA DO ROSÁRIO</t>
  </si>
  <si>
    <t>Estr. Venancio Pereira Veloso, 2 - Jardim Primavera, Duque de Caxias - RJ, 25213-010</t>
  </si>
  <si>
    <t>25213-010</t>
  </si>
  <si>
    <t>PL-RJB-EAT0283</t>
  </si>
  <si>
    <t>UBIRAJARA</t>
  </si>
  <si>
    <t>Av. Brasil, 1325 - Vila São Luis, Duque de Caxias - RJ, 25086-171</t>
  </si>
  <si>
    <t>25086-171</t>
  </si>
  <si>
    <t>PL-RJB-EAT0315</t>
  </si>
  <si>
    <t>BEIRA MAR</t>
  </si>
  <si>
    <t>Av. Brg. Lima e Silva, 804 - Parque Duque, Duque de Caxias - RJ, 25085-132</t>
  </si>
  <si>
    <t>25085-132</t>
  </si>
  <si>
    <t>PL-RJB-EAT0326</t>
  </si>
  <si>
    <t>BRIGADEIRO LIMA E SILVA</t>
  </si>
  <si>
    <t>R. Xavier Pinheiro, 288-318 - Parque Duque, Duque de Caxias - RJ, 25085-010</t>
  </si>
  <si>
    <t>25085-010</t>
  </si>
  <si>
    <t>PL-RJB-EAT0292</t>
  </si>
  <si>
    <t>VILA OPERARIA NOVA</t>
  </si>
  <si>
    <t>R. Manoel Barcelos, 63-1 - Parque Felicidade, Duque de Caxias - RJ, 25080-160</t>
  </si>
  <si>
    <t>25080-160</t>
  </si>
  <si>
    <t>PL-RJB-EAT0656</t>
  </si>
  <si>
    <t>BVOLANTE GENERAL ARRUDA CAMARA</t>
  </si>
  <si>
    <t>R. Albino Imparato, 782a - Vila Guanabara, Duque de Caxias - RJ, 25080-010</t>
  </si>
  <si>
    <t>25080-010</t>
  </si>
  <si>
    <t>PL-RJB-EAT0274</t>
  </si>
  <si>
    <t>R. Marechal Bento Manoel em frente ao n° 30 - Parque Beira Mar, Duque de Caxias - RJ, 25075-270</t>
  </si>
  <si>
    <t>25075-270</t>
  </si>
  <si>
    <t>PL-RJB-EAT0314</t>
  </si>
  <si>
    <t>BARAO DE SURUI</t>
  </si>
  <si>
    <t>Rua Barão do Suruí, 85-1 - Parque Duque, Duque de Caxias - RJ, 25075-160</t>
  </si>
  <si>
    <t>25075-160</t>
  </si>
  <si>
    <t>PL-RJB-EAT0300</t>
  </si>
  <si>
    <t>TUIUTI</t>
  </si>
  <si>
    <t>R. Tuiuti, 62-144 - Jardim Vinte e Cinco de Agosto, Duque de Caxias - RJ, 25070-390</t>
  </si>
  <si>
    <t>25070-390</t>
  </si>
  <si>
    <t>PL-RJB-EAT0290</t>
  </si>
  <si>
    <t>PIAUI</t>
  </si>
  <si>
    <t>Av. Duque de Caxias, 384 - Centro, Duque de Caxias - RJ, 25070-330</t>
  </si>
  <si>
    <t>25070-330</t>
  </si>
  <si>
    <t>PL-RJB-EAT0312</t>
  </si>
  <si>
    <t>PRUDENTE DE MORAES</t>
  </si>
  <si>
    <t>R. Prudente de Moraes, 12 - Vila Itamarati, Duque de Caxias - RJ, 25070-232</t>
  </si>
  <si>
    <t>25070-232</t>
  </si>
  <si>
    <t>PL-RJB-EAT0818</t>
  </si>
  <si>
    <t>25 DE AGOSTO</t>
  </si>
  <si>
    <t>Av. Duque de Caxias s/n - Parque Pauliceia, Duque de Caxias - RJ, 25070-060</t>
  </si>
  <si>
    <t>25070-060</t>
  </si>
  <si>
    <t>PL-RJB-EAT0767</t>
  </si>
  <si>
    <t>BICÃO DUQUE DE CAXIAS</t>
  </si>
  <si>
    <t>R. Alberto Torres, 21 - Circular, Duque de Caxias - RJ, 25070-000</t>
  </si>
  <si>
    <t>25070-000</t>
  </si>
  <si>
    <t>PL-RJB-EAT0325</t>
  </si>
  <si>
    <t>VIEIRA FAZENDA</t>
  </si>
  <si>
    <t>R. Alberto Siqueira - Vila Sao Sebastiao, Duque de Caxias - RJ, 25065-225</t>
  </si>
  <si>
    <t>25065-225</t>
  </si>
  <si>
    <t>PL-RJB-EAT0329</t>
  </si>
  <si>
    <t>PELOTAS</t>
  </si>
  <si>
    <t>Rod. Washington Luíz - Jardim Gramacho, Duque de Caxias - RJ, 25065-007</t>
  </si>
  <si>
    <t>25065-007</t>
  </si>
  <si>
    <t>PL-RJB-EAT0649</t>
  </si>
  <si>
    <t>CARAVELAS I</t>
  </si>
  <si>
    <t>R. Caravelas, 329-245 - Jardim Gramacho, Duque de Caxias - RJ, 25065-007</t>
  </si>
  <si>
    <t>PL-RJB-EAT0650</t>
  </si>
  <si>
    <t>BVOLANTE CARAVELAS II</t>
  </si>
  <si>
    <t>PL-RJB-EAT0287</t>
  </si>
  <si>
    <t>21 DE ABRIL</t>
  </si>
  <si>
    <t>R. Gen. Manoel Rabelo - Dr. Laureano, Duque de Caxias - RJ, 25060-570</t>
  </si>
  <si>
    <t>25060-570</t>
  </si>
  <si>
    <t>PL-RJB-EEE0023</t>
  </si>
  <si>
    <t>JARDIM GRAMACHO</t>
  </si>
  <si>
    <t>R. Adelaide Muth De Jesus, 23 - Gramacho, Duque de Caxias - RJ, 25060-370</t>
  </si>
  <si>
    <t>25060-370</t>
  </si>
  <si>
    <t>PL-RJB-EAT0285</t>
  </si>
  <si>
    <t>GLORIA</t>
  </si>
  <si>
    <t>R. da Glória, 330 - Vila Leopoldina, Duque de Caxias - RJ, 25060-240</t>
  </si>
  <si>
    <t>25060-240</t>
  </si>
  <si>
    <t>PL-RJB-EAT0666</t>
  </si>
  <si>
    <t>BVOLANTE MANICORE</t>
  </si>
  <si>
    <t>R. Manicoré, 204-316 - Jardim Gramacho, Duque de Caxias - RJ, 25056-360</t>
  </si>
  <si>
    <t>25056-360</t>
  </si>
  <si>
    <t>PL-RJB-EAT0798</t>
  </si>
  <si>
    <t>PELOTAS II</t>
  </si>
  <si>
    <t>Av. Pelotas, 182 - Jardim Gramacho, Duque de Caxias - RJ, 25055-192</t>
  </si>
  <si>
    <t>25055-192</t>
  </si>
  <si>
    <t>PL-RJB-EAT0308</t>
  </si>
  <si>
    <t>R. Manicoré, 17-169 - Jardim Gramacho, Duque de Caxias - RJ, 25055-120</t>
  </si>
  <si>
    <t>25055-120</t>
  </si>
  <si>
    <t>PL-RJB-EAT0275</t>
  </si>
  <si>
    <t>GLOBO</t>
  </si>
  <si>
    <t>Viaduto Irineu Marinho, 1264 - Parque Sarapuí, Duque de Caxias - RJ, 25055-009</t>
  </si>
  <si>
    <t>25055-009</t>
  </si>
  <si>
    <t>PL-RJB-EAT0309</t>
  </si>
  <si>
    <t>MONTE CASTELO</t>
  </si>
  <si>
    <t>Av. Pistoia, 111 - Jardim Gramacho, Duque de Caxias - RJ, 25051-281</t>
  </si>
  <si>
    <t>25051-281</t>
  </si>
  <si>
    <t>PL-RJB-EAT0324</t>
  </si>
  <si>
    <t>PORTO SEGURO</t>
  </si>
  <si>
    <t>Av. Chopin, 42 A - Jardim Gramacho, Duque de Caxias - RJ, 25050-580</t>
  </si>
  <si>
    <t>25050-580</t>
  </si>
  <si>
    <t>PL-RJB-EEE0004</t>
  </si>
  <si>
    <t>TIÃO</t>
  </si>
  <si>
    <t>R. Tocantins, 5610 - Gramacho, Duque de Caxias - RJ, 25050-510</t>
  </si>
  <si>
    <t>25050-510</t>
  </si>
  <si>
    <t>PL-RJB-EAT0280</t>
  </si>
  <si>
    <t>PANORAMA</t>
  </si>
  <si>
    <t>R. Abrolhos, 25 - Parque Panorama, Belford Roxo - RJ, 25046-530</t>
  </si>
  <si>
    <t>25046-530</t>
  </si>
  <si>
    <t>PL-RJB-EAT0286</t>
  </si>
  <si>
    <t>ITAIATUBA</t>
  </si>
  <si>
    <t>Rua Itaituba, 60 - Parque Fluminense, Duque de Caxias - RJ, 25046-230</t>
  </si>
  <si>
    <t>25046-230</t>
  </si>
  <si>
    <t>PL-RJB-EAT0273</t>
  </si>
  <si>
    <t>DO CHINA</t>
  </si>
  <si>
    <t>Av. Gen. Carlos Marciano de Medeiros, numero 10 - Parque Fluminense, Duque de Caxias - RJ, 25045-100</t>
  </si>
  <si>
    <t>25045-100</t>
  </si>
  <si>
    <t>PL-RJB-EAT0755</t>
  </si>
  <si>
    <t>SÃO BENTO</t>
  </si>
  <si>
    <t>Rua José Pinto, 157 - Cristo Rei,  São Bento- Duque de Caxias RJ - 25045-030</t>
  </si>
  <si>
    <t>25045-030</t>
  </si>
  <si>
    <t>PL-RJB-EAT0277</t>
  </si>
  <si>
    <t>MOACIR DE ALMEIDA</t>
  </si>
  <si>
    <t>R. Moacir de Almeida, 37 - Parque Fluminense, Duque de Caxias - RJ, 25041-240</t>
  </si>
  <si>
    <t>25041-240</t>
  </si>
  <si>
    <t>PL-RJB-EAT0313</t>
  </si>
  <si>
    <t>VILA ROSARIO</t>
  </si>
  <si>
    <t>R. Aristóteles, 91 - Parque Fluminense, Duque de Caxias - RJ, 25041-180</t>
  </si>
  <si>
    <t>25041-180</t>
  </si>
  <si>
    <t>PL-RJB-EAT0319</t>
  </si>
  <si>
    <t>LIDIA (MANISSA)</t>
  </si>
  <si>
    <t>R. Manissa, 27 - Parque Fluminense, Duque de Caxias - RJ, 25041-090</t>
  </si>
  <si>
    <t>25041-090</t>
  </si>
  <si>
    <t>PL-RJB-EAT0327</t>
  </si>
  <si>
    <t>ESPERANCA</t>
  </si>
  <si>
    <t>R. Mal. Dantas Barreto, lte 1Qda 52 Loja - Pantanal, Duque de Caxias - RJ, 25040-560</t>
  </si>
  <si>
    <t>25040-560</t>
  </si>
  <si>
    <t>PL-RJB-EAT0322</t>
  </si>
  <si>
    <t>PARQUE COMERCIAL</t>
  </si>
  <si>
    <t>R. Eça de Queiroz, 56 - Pantanal, Duque de Caxias - RJ, 25040-350</t>
  </si>
  <si>
    <t>25040-350</t>
  </si>
  <si>
    <t>PL-RJB-EAT0317</t>
  </si>
  <si>
    <t>GOMES FREIRE</t>
  </si>
  <si>
    <t>R. Átlas, 527-463 - Pantanal, Duque de Caxias - RJ, 25040-240</t>
  </si>
  <si>
    <t>25040-240</t>
  </si>
  <si>
    <t>PL-RJB-EAT0307</t>
  </si>
  <si>
    <t>GABRIEL DANUZIO</t>
  </si>
  <si>
    <t>Rua Gabriel Danuzio, 168 - Santo Antonio, Duque de Caxias - RJ, 25040-230</t>
  </si>
  <si>
    <t>25040-230</t>
  </si>
  <si>
    <t>PL-RJB-EAT0291</t>
  </si>
  <si>
    <t>MORRO DO SOSSEGO</t>
  </si>
  <si>
    <t>Estrada José Adamian n° 140 ( frente a mercearia Gabi)- Pantanal, Duque de Caxias - RJ, 25040-004</t>
  </si>
  <si>
    <t>25040-004</t>
  </si>
  <si>
    <t>PL-RJB-EAT0321</t>
  </si>
  <si>
    <t>MORRO DO GARIBALDE</t>
  </si>
  <si>
    <t>R. Santa Luzia  ao lado Lote 1 e frente a Igreja Batista Memorial Garibaldi- Jardim das Oliveiras, Duque de Caxias - RJ, 25040-004</t>
  </si>
  <si>
    <t>PL-RJB-EAT0730</t>
  </si>
  <si>
    <t>MORRO DO CÉU SUPERIOR</t>
  </si>
  <si>
    <t>R. da Paz, 58 - São Bento, Duque de Caxias - RJ, 25040-004</t>
  </si>
  <si>
    <t>PL-RJB-EAT0813</t>
  </si>
  <si>
    <t>OLAVO BILAC</t>
  </si>
  <si>
    <t>R. Aquidabã, 22 - Jardim Olavo Bilac, Duque de Caxias - RJ, 25036-210</t>
  </si>
  <si>
    <t>25036-210</t>
  </si>
  <si>
    <t>PL-RJB-EAT0759</t>
  </si>
  <si>
    <t>FREIRE ALEMÃO</t>
  </si>
  <si>
    <t>R. Guilherme Studart, 01 - Jardim Olavo Bilac, Duque de Caxias - RJ, 25036-150</t>
  </si>
  <si>
    <t>25036-150</t>
  </si>
  <si>
    <t>PL-RJB-EEE0085</t>
  </si>
  <si>
    <t>R. Brás Cubas, Lt 21, Quadra 28 - Jardim Olavo Bilac, Duque de Caxias - RJ, 25036-070</t>
  </si>
  <si>
    <t>25036-070</t>
  </si>
  <si>
    <t>PL-RJB-EEE0086</t>
  </si>
  <si>
    <t>JARDIM LEAL</t>
  </si>
  <si>
    <t>R. Dom Silvério, 13 - Jardim Olavo Bilac, Duque de Caxias - RJ, 25035-680</t>
  </si>
  <si>
    <t>25035-680</t>
  </si>
  <si>
    <t>PL-RJB-EAT0731</t>
  </si>
  <si>
    <t>TENENTE CLETO CAMPELO</t>
  </si>
  <si>
    <t>R. Ten. Cleto Campelo, 1039 - Vila Leopoldina, Duque de Caxias - RJ, 25035-360</t>
  </si>
  <si>
    <t>25035-360</t>
  </si>
  <si>
    <t>PL-RJB-EAT0276</t>
  </si>
  <si>
    <t>GOES MONTEIRO</t>
  </si>
  <si>
    <t>Av. Darcy Vargas, 108 - Gramacho, Duque de Caxias - RJ, 25035-250</t>
  </si>
  <si>
    <t>25035-250</t>
  </si>
  <si>
    <t>PL-RJB-EAT0301</t>
  </si>
  <si>
    <t>DO CARMO</t>
  </si>
  <si>
    <t>R. Boa Sorte, 5 - Vila Leopoldina, Duque de Caxias - RJ, 25035-050</t>
  </si>
  <si>
    <t>25035-050</t>
  </si>
  <si>
    <t>PL-RJB-EAT0299</t>
  </si>
  <si>
    <t>RESENDE</t>
  </si>
  <si>
    <t>R. Resende, 19 - Vila Leopoldina, Duque de Caxias - RJ, 25030-500</t>
  </si>
  <si>
    <t>25030-500</t>
  </si>
  <si>
    <t>PL-RJB-EAT0279</t>
  </si>
  <si>
    <t>OTÁVIO ASCOLI</t>
  </si>
  <si>
    <t>R. João Ribeiro, 850 - Vila Centenario, Duque de Caxias - RJ, 25030-160</t>
  </si>
  <si>
    <t>25030-160</t>
  </si>
  <si>
    <t>PL-RJB-EAT0318</t>
  </si>
  <si>
    <t>LEOPOLDINA TOME</t>
  </si>
  <si>
    <t>R. Leopoldina Tomé, 15 - Vila Centenario, Duque de Caxias - RJ, 25030-050</t>
  </si>
  <si>
    <t>25030-050</t>
  </si>
  <si>
    <t>PL-RJB-EAT0278</t>
  </si>
  <si>
    <t>MORRO DO SAPO</t>
  </si>
  <si>
    <t>R. Dr. Otávio Ascoli, 1172 - Vila Centenario, Duque de Caxias - RJ, 25030-040</t>
  </si>
  <si>
    <t>25030-040</t>
  </si>
  <si>
    <t>PL-RJB-EAT0647</t>
  </si>
  <si>
    <t>BVOLANTE CAMPONESA</t>
  </si>
  <si>
    <t>R. Dr. Otávio Ascoli, 18 - Vila Centenario, Duque de Caxias - RJ, 25030-040</t>
  </si>
  <si>
    <t>PL-RJB-EEE0087</t>
  </si>
  <si>
    <t>JARDIM CENTENÁRIO</t>
  </si>
  <si>
    <t>Rua Dr. João Perestrelo, 134 - Corte Oito, Duque de Caxias - RJ, 25030-030</t>
  </si>
  <si>
    <t>25030-030</t>
  </si>
  <si>
    <t>PL-RJB-EAT1054</t>
  </si>
  <si>
    <t>TELEFÔNICA</t>
  </si>
  <si>
    <t>Rua Bento Querino, n° 3- Vila Centenário-Duque de Caxias-RJ, CEP 25025-082</t>
  </si>
  <si>
    <t>25025-082</t>
  </si>
  <si>
    <t>PL-RJB-EAT0323</t>
  </si>
  <si>
    <t>PIRIQUITO</t>
  </si>
  <si>
    <t>R. Amador Bueno prox. ao n° 319 - Jardim Olavo Bilac, Duque de Caxias - RJ, 25020-335</t>
  </si>
  <si>
    <t>25020-335</t>
  </si>
  <si>
    <t>PL-RJB-EAT0332</t>
  </si>
  <si>
    <t>ROCHA PITA</t>
  </si>
  <si>
    <t>R. Rocha Pita, 175-1 - Parque Lafaiete, Duque de Caxias - RJ, 25015-655</t>
  </si>
  <si>
    <t>25015-655</t>
  </si>
  <si>
    <t>PL-RJB-EAT0294</t>
  </si>
  <si>
    <t>NILO PECANHA</t>
  </si>
  <si>
    <t>Av. Nilo Peçanha, 1976 - Parque Lafaiete, Duque de Caxias - RJ, 25015-500</t>
  </si>
  <si>
    <t>25015-500</t>
  </si>
  <si>
    <t>PL-RJB-EAT0328</t>
  </si>
  <si>
    <t>PEDRO ERNESTO</t>
  </si>
  <si>
    <t>R. Risolêta Caetano, 385-465 - Parque Lafaiete, Duque de Caxias - RJ, 25015-280</t>
  </si>
  <si>
    <t>25015-280</t>
  </si>
  <si>
    <t>PL-RJB-EAT0316</t>
  </si>
  <si>
    <t>ETELVINA CHAVES</t>
  </si>
  <si>
    <t>R. Etelvina Chaves, 2-86 - Vila Flavia, Duque de Caxias - RJ, 25010-200</t>
  </si>
  <si>
    <t>25010-200</t>
  </si>
  <si>
    <t>R. Teresinha, 285-345 - Jacutinga, Mesquita - RJ, 265R. Teresinha, 285-345 - Jacutinga, Mesquita - RJ, 26564-24064-240</t>
  </si>
  <si>
    <t>24064-240</t>
  </si>
  <si>
    <t>26325-200</t>
  </si>
  <si>
    <t>ESTRADA JOSÉ  LUIS DA SILVA, 363 - AUSTIN - NOVA IGUAÇU</t>
  </si>
  <si>
    <t>Estr. Padre José Anchieta, 77 - Laranjal Santo Antonio</t>
  </si>
  <si>
    <t>Rua Santo Antônio próximo ao 20</t>
  </si>
  <si>
    <t>Rua Haddock Lobo, N10 Vila do Tinguá, Queimados - RJ - CEP 26385380</t>
  </si>
  <si>
    <t>PL-RJB-EAT0310</t>
  </si>
  <si>
    <t>MORRO DO CACARECO</t>
  </si>
  <si>
    <t>Rua Paranapiacaba Prox. Casa n°2, Vila Rosário, Duque de Caxias - RJ - CEP 25041000</t>
  </si>
  <si>
    <t>PL-RJB-ETE0019</t>
  </si>
  <si>
    <t>ORQUÍDEA</t>
  </si>
  <si>
    <t>ESTRADA DE ITAIPU-BABI-HELIÓPOLIS-BELFORD ROXO</t>
  </si>
  <si>
    <t>PL-RJB-EAT0127</t>
  </si>
  <si>
    <t>5 DE JULHO</t>
  </si>
  <si>
    <t>Rua dona Ana, 2, Belford Roxo</t>
  </si>
  <si>
    <t>PL-RJB-ETE0028</t>
  </si>
  <si>
    <t>SARAPUÍ</t>
  </si>
  <si>
    <t>R. Demóstenes - Glaucia, Belford Roxo - RJ</t>
  </si>
  <si>
    <t>PL-RJB-EAT0758</t>
  </si>
  <si>
    <t>SÃO VICENTE</t>
  </si>
  <si>
    <t>Blvd. São Vicente 553 - Maringá, Belford Roxo - RJ</t>
  </si>
  <si>
    <t>PL-RJB-EAT0105</t>
  </si>
  <si>
    <t>BOOSTER CAXIAS</t>
  </si>
  <si>
    <t>Estrada do Maringá S/N, Belford Roxo- RJ</t>
  </si>
  <si>
    <t>PL-RJB-EAT0025</t>
  </si>
  <si>
    <t>TIETE</t>
  </si>
  <si>
    <t>Parque Araruama, São João de Meriti - RJ, 25585-580</t>
  </si>
  <si>
    <t>25585-580</t>
  </si>
  <si>
    <t>Jardim Palmares, Nova Iguaçu - RJ, 26277-575</t>
  </si>
  <si>
    <t>26277-575</t>
  </si>
  <si>
    <t>PL-RJB-EAT0094</t>
  </si>
  <si>
    <t>JARDIM DAS ACACIAS</t>
  </si>
  <si>
    <t>Estr. Itaipu Babi - São Jorge, Belford Roxo - RJ, 26155-500</t>
  </si>
  <si>
    <t>26155-500</t>
  </si>
  <si>
    <t>JARDIM GUANDU I</t>
  </si>
  <si>
    <t>Rua da Videira 61, Rio de Janeiro, Brasil (End. LO: Rua Coqueiros esquina com Rua Videira)</t>
  </si>
  <si>
    <t>PL-RJB-EAT0840</t>
  </si>
  <si>
    <t>BOMBA NOVA FRIBURGO</t>
  </si>
  <si>
    <t>Av. Pres. Castelo Branco - Parque Araruama, São João de Meriti - RJ, 25585-460</t>
  </si>
  <si>
    <t>25585-460</t>
  </si>
  <si>
    <t>PL-RJB-EAT0281</t>
  </si>
  <si>
    <t>PARAISO</t>
  </si>
  <si>
    <t>Rua João Gomes da Silva 27, Parque Muiza, morro do paraíso, Duque de Caxias</t>
  </si>
  <si>
    <t>PL-RJB-EAT0282</t>
  </si>
  <si>
    <t>SAO PEDRO</t>
  </si>
  <si>
    <t>Rua Aristides Caire 157, Olavo Bilac , Duque de Caxias</t>
  </si>
  <si>
    <t>PL-RJB-EAT0293</t>
  </si>
  <si>
    <t>Av Bananal 111 C1, Jardim Leal, Duque de Caxias</t>
  </si>
  <si>
    <t>PL-RJB-EAT0297</t>
  </si>
  <si>
    <t>LEOPOLDINA</t>
  </si>
  <si>
    <t>Rua João Alves Torres Filho 138, Duque de Caxias</t>
  </si>
  <si>
    <t>PL-RJB-EAT0648</t>
  </si>
  <si>
    <t>CANANÉIA</t>
  </si>
  <si>
    <t>Rua Cananeia EF 182, Cacrinha, Duque de Caxias</t>
  </si>
  <si>
    <t>PL-RJB-EAT0654</t>
  </si>
  <si>
    <t>BVOLANTE FLORESTA</t>
  </si>
  <si>
    <t>Rua Floresta 25, Vila Centenário, Duque de Caxias</t>
  </si>
  <si>
    <t>PL-RJB-EAT0659</t>
  </si>
  <si>
    <t>BVOLANTE ITARARE</t>
  </si>
  <si>
    <t>Rua Alberto Torres EF 15, Circular, Duque de Caxias</t>
  </si>
  <si>
    <t>PL-RJB-ETE0006</t>
  </si>
  <si>
    <t>Próximo a Jardim Gramacho, Duque de Caxias - RJ</t>
  </si>
  <si>
    <t>PL-RJB-EAT0303</t>
  </si>
  <si>
    <t>SAO PAULO</t>
  </si>
  <si>
    <t>R. São Paulo, 30 - Santa Cruz da Serra, Duque de Caxias - RJ</t>
  </si>
  <si>
    <t>PL-RJB-EAT0320</t>
  </si>
  <si>
    <t>LORETO</t>
  </si>
  <si>
    <t>Jardim Gramacho, Duque de Caxias - RJ</t>
  </si>
  <si>
    <t>PL-RJB-EAT0333</t>
  </si>
  <si>
    <t>DE BRITO</t>
  </si>
  <si>
    <t>Estrada Rio D'ouro - Xerém, Duque de Caxias - RJ</t>
  </si>
  <si>
    <t>26051-370</t>
  </si>
  <si>
    <t>EUCALIPTOS 3</t>
  </si>
  <si>
    <t>Rua Albertino lote 4, Engenheiro  Pedreira - Japeri - RJ</t>
  </si>
  <si>
    <t>PL-RJB-EAT0681</t>
  </si>
  <si>
    <t>ALMIRANTE JACEGUAI</t>
  </si>
  <si>
    <t>Rua Juiz de Fora S/N, esq c/ Almirante Jaceguai</t>
  </si>
  <si>
    <t>PL-RJB-EAT0867</t>
  </si>
  <si>
    <t>BOOSTER FRANCISCA TOMÉ</t>
  </si>
  <si>
    <t>R°Francisca Tomé</t>
  </si>
  <si>
    <t>BVOLANTE TRABALHO</t>
  </si>
  <si>
    <t>Rua do trabalho,484 - Bairro Carolina- Nova Iguaçu -RJ</t>
  </si>
  <si>
    <t>COMPLEXO PENITENCIÁRIO - CASA DE CUSTÓDIA</t>
  </si>
  <si>
    <t>R. Santo Antônio de Pádua, 264 - Parque Santo Antonio, Japeri - RJ</t>
  </si>
  <si>
    <t>CONJUNTO RESIDENCIAL TERRA BRASIL</t>
  </si>
  <si>
    <t>Fazenda Americana, Japeri - RJ</t>
  </si>
  <si>
    <t>BVOLANTE ISAAC</t>
  </si>
  <si>
    <t>R. Isac, 327 - Nova Belém, Japeri - RJ</t>
  </si>
  <si>
    <t>BVOLANTE MANUEL MARQUES</t>
  </si>
  <si>
    <t>Praça Manoel Marques - Japeri - RJ</t>
  </si>
  <si>
    <t>Rua Elza Maria garcia</t>
  </si>
  <si>
    <t>ALTO URUGUAI</t>
  </si>
  <si>
    <t>R. da Oficina, 22- Coréia, Mesquita - RJ</t>
  </si>
  <si>
    <t>LAGO DOS PEIXES</t>
  </si>
  <si>
    <t>Estrada do Riachão s/n - Austin</t>
  </si>
  <si>
    <t>R° Bicuiba N 399</t>
  </si>
  <si>
    <t>PL-RJB-EAT0864</t>
  </si>
  <si>
    <t>BOOSTER PEDRA NEGRA</t>
  </si>
  <si>
    <t>R° Pedra Negra N° 1</t>
  </si>
  <si>
    <t>Nestor marinho n°14</t>
  </si>
  <si>
    <t>Av  laura gonçalves machado  N°230</t>
  </si>
  <si>
    <t>PL-RJB-EAT0018</t>
  </si>
  <si>
    <t>SHANGRILA</t>
  </si>
  <si>
    <t>São Francisco de Assis, Belford Roxo - RJ, 26120-300</t>
  </si>
  <si>
    <t>Av. Olímpia da Silva - Pacaembu, Queimados - RJ, 26330-260</t>
  </si>
  <si>
    <t>26330-260</t>
  </si>
  <si>
    <t>BVOLANTE SAO BERNARDO</t>
  </si>
  <si>
    <t>Rua São Bernardo,64 - Austin - Nova Iguaçu</t>
  </si>
  <si>
    <t>Rua Zero, 35, Campo Belo, Nova Iguaçu</t>
  </si>
  <si>
    <t>Av. Paranapiacaba, 57 - Jardim Santa Rita, Nova Iguaçu - RJ</t>
  </si>
  <si>
    <t>ARAÇA</t>
  </si>
  <si>
    <t>Araça, 596 - Jardim Guandu, Nova Iguaçu - RJ</t>
  </si>
  <si>
    <t>Rua Araicas 37, Largo dos peixes, Nova Iguaçu.</t>
  </si>
  <si>
    <t>JARDIM QUEIMADOS</t>
  </si>
  <si>
    <t>Estr. de Caramujos, 150 Nossa Sra. da Gloria, Queimados - RJ</t>
  </si>
  <si>
    <t>R° Taciano manaca /São Francisco, Queimados - RJ</t>
  </si>
  <si>
    <t>Estr. Padre José Anchieta, 77 - Laranjal Santo Antonio, Queimados – RJ</t>
  </si>
  <si>
    <t>PL-RJB-EAT0885</t>
  </si>
  <si>
    <t>BOOSTER CHUMBO II</t>
  </si>
  <si>
    <t>R. Chumbo</t>
  </si>
  <si>
    <t>PL-RJB-EAT0121</t>
  </si>
  <si>
    <t>COELHO DA ROCHA</t>
  </si>
  <si>
    <t>Av: pasteur, RJ</t>
  </si>
  <si>
    <t>PL-RJB-EAT0027</t>
  </si>
  <si>
    <t>DIMAS FILHO</t>
  </si>
  <si>
    <t>Rua particular, 17 - Paim, Belford Roxo, RJ</t>
  </si>
  <si>
    <t>PL-RJB-EAT0865</t>
  </si>
  <si>
    <t>BOOSTER SERVIDÃO</t>
  </si>
  <si>
    <t>Rua Anastácio Correia, ao lado da lote 57  quadra 24</t>
  </si>
  <si>
    <t>PL-RJB-EAT0019</t>
  </si>
  <si>
    <t>SANTA HELENA</t>
  </si>
  <si>
    <t>Rua Paraíba 20, São João de Meriti</t>
  </si>
  <si>
    <t>PL-RJB-EAT0002</t>
  </si>
  <si>
    <t>CARRAPATO</t>
  </si>
  <si>
    <t>Rua Wilson Gil da Mata, 495, São João de Meriti</t>
  </si>
  <si>
    <t>PL-RJB-EAT0038</t>
  </si>
  <si>
    <t>MARIA ANA</t>
  </si>
  <si>
    <t>Estrada São João 170, Venda Vellha, São João de Meriti</t>
  </si>
  <si>
    <t>PL-RJB-EAT0047</t>
  </si>
  <si>
    <t>SUMARE</t>
  </si>
  <si>
    <t>Rua Júlio Diniz, EF lote20 quadra6, Jardim Sumaré, São João de Meriti</t>
  </si>
  <si>
    <t>PL-RJB-EAT0051</t>
  </si>
  <si>
    <t>JAVALI</t>
  </si>
  <si>
    <t>Rua Javali 73, São João de Meriti</t>
  </si>
  <si>
    <t>PL-RJB-EAT0052</t>
  </si>
  <si>
    <t>JARDIM ALEGRIA</t>
  </si>
  <si>
    <t>Rua Isaías Guedes, EF 6, Jardim Alegria, São João de Meriti</t>
  </si>
  <si>
    <t>PL-RJB-EAT0058</t>
  </si>
  <si>
    <t>MORRO DO CRUZEIRO</t>
  </si>
  <si>
    <t>Rua Fernandes de Queirós 32, São João de Meriti</t>
  </si>
  <si>
    <t>PL-RJB-EAT0007</t>
  </si>
  <si>
    <t>VALDEMAR CASTANHEIRAS ATUAL (MORRO DOS PARAIBAS)</t>
  </si>
  <si>
    <t>Rua Valdemar Marques Castanheira 45, São João de Meriti</t>
  </si>
  <si>
    <t>PL-RJB-EAT0008</t>
  </si>
  <si>
    <t>COQUEIRINHO</t>
  </si>
  <si>
    <t>Rua Tulipa, prox 225, Parque Araruama, São João de Meriti</t>
  </si>
  <si>
    <t>PL-RJB-EAT0080</t>
  </si>
  <si>
    <t>PARQUE NOVO RIO</t>
  </si>
  <si>
    <t>Rua Chaves Pinheiro EF 491, Parque Novo Rio, São João de Meriti</t>
  </si>
  <si>
    <t>PL-RJB-EAT0771</t>
  </si>
  <si>
    <t>FRANCISCO TORQUILHO</t>
  </si>
  <si>
    <t>R. São Francisco de Assis, 320 - Tomazinho, São João de Meriti -</t>
  </si>
  <si>
    <t>3A LINHA PRETA</t>
  </si>
  <si>
    <t>Tv. Guaranis - Heliópolis, Belford Roxo - RJ, 26140-014</t>
  </si>
  <si>
    <t>PL-RJB-EAT0866</t>
  </si>
  <si>
    <t>BOOSTER PORTO SEGURO</t>
  </si>
  <si>
    <t>Rua Porto Seguro 713</t>
  </si>
  <si>
    <t>Rua Augusto Cardoso, 240 -  Coréia</t>
  </si>
  <si>
    <t>BX1</t>
  </si>
  <si>
    <t>RES NILÓPOLIS</t>
  </si>
  <si>
    <t xml:space="preserve"> Rua Antônio Pereira de Carvalho, Próximo ao n. 217</t>
  </si>
  <si>
    <t>TEM CLP?</t>
  </si>
  <si>
    <t>TEM PCP?</t>
  </si>
  <si>
    <t>TEM CHIP?</t>
  </si>
  <si>
    <t>Nº CHIP</t>
  </si>
  <si>
    <t>SENSORES</t>
  </si>
  <si>
    <t>IP MODEM</t>
  </si>
  <si>
    <t>ELIPSE</t>
  </si>
  <si>
    <t>QA</t>
  </si>
  <si>
    <t>OBS</t>
  </si>
  <si>
    <t>89551301301010224701</t>
  </si>
  <si>
    <t>89551301301010224792</t>
  </si>
  <si>
    <t>89551301301010224800</t>
  </si>
  <si>
    <t>89551301301010224818</t>
  </si>
  <si>
    <t>89551301301010224826</t>
  </si>
  <si>
    <t>89551301301010227878</t>
  </si>
  <si>
    <t>89551301301010227886</t>
  </si>
  <si>
    <t>89551301301010228108</t>
  </si>
  <si>
    <t>89551805000565889717</t>
  </si>
  <si>
    <t>89551805000569509055</t>
  </si>
  <si>
    <t>89551805000570390305</t>
  </si>
  <si>
    <t xml:space="preserve">ADOLFO BERGAMINI </t>
  </si>
  <si>
    <t>NIVEL</t>
  </si>
  <si>
    <t>MACRO</t>
  </si>
  <si>
    <t>CONTROLE E COMUNICAÇÃO MODEM ABS</t>
  </si>
  <si>
    <t>8955044215742458B233</t>
  </si>
  <si>
    <t>NÍVEL</t>
  </si>
  <si>
    <t>RESERVATÓRIO JK NOVO</t>
  </si>
  <si>
    <t>RESERVATÓRIO JK VELHO</t>
  </si>
  <si>
    <t>RESERVATÓRIO TAÇA</t>
  </si>
  <si>
    <t>SONDA NIVEL</t>
  </si>
  <si>
    <t>RESERVATÓRIO ENGENHEIRO PEDREIRA</t>
  </si>
  <si>
    <t>RESERVATÓRIO CABRAL</t>
  </si>
  <si>
    <t>MACROMEDIDOR</t>
  </si>
  <si>
    <t>RESERVATÓRIO POSSE</t>
  </si>
  <si>
    <t>RESERVATÓRIO MARAPICU</t>
  </si>
  <si>
    <t>ERES</t>
  </si>
  <si>
    <t xml:space="preserve">Mesquita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</si>
</sst>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41">
    <font>
      <sz val="11"/>
      <color theme="1"/>
      <name val="Calibri"/>
      <family val="2"/>
      <scheme val="minor"/>
    </font>
    <font>
      <b/>
      <sz val="11"/>
      <color rgb="FFFFFFFF"/>
      <name val="Calibri"/>
      <family val="2"/>
      <scheme val="minor"/>
    </font>
    <font>
      <sz val="11"/>
      <color rgb="FF000000"/>
      <name val="Calibri"/>
      <family val="2"/>
      <scheme val="minor"/>
    </font>
    <font>
      <sz val="11"/>
      <name val="Aptos Narrow"/>
      <family val="2"/>
    </font>
    <font>
      <sz val="11"/>
      <color rgb="FF000000"/>
      <name val="Aptos Narrow"/>
      <family val="2"/>
    </font>
    <font>
      <b/>
      <sz val="11"/>
      <color rgb="FFFFFFFF"/>
      <name val="Calibri Light"/>
      <family val="2"/>
    </font>
    <font>
      <sz val="8"/>
      <name val="Calibri"/>
      <family val="2"/>
      <scheme val="minor"/>
    </font>
    <font>
      <b/>
      <sz val="7"/>
      <name val="Arial"/>
      <family val="2"/>
    </font>
    <font>
      <b/>
      <sz val="10"/>
      <name val="Arial"/>
      <family val="2"/>
    </font>
    <font>
      <b/>
      <sz val="12"/>
      <name val="Arial"/>
      <family val="2"/>
    </font>
    <font>
      <b/>
      <sz val="7"/>
      <name val="Calibri"/>
      <family val="2"/>
    </font>
    <font>
      <b/>
      <sz val="9"/>
      <name val="Arial"/>
      <family val="2"/>
    </font>
    <font>
      <sz val="10"/>
      <name val="Arial"/>
      <family val="2"/>
    </font>
    <font>
      <sz val="8"/>
      <name val="Arial"/>
      <family val="2"/>
    </font>
    <font>
      <sz val="9"/>
      <name val="Arial"/>
      <family val="2"/>
    </font>
    <font>
      <b/>
      <sz val="8"/>
      <name val="Arial"/>
      <family val="2"/>
    </font>
    <font>
      <sz val="8"/>
      <color rgb="FF000000"/>
      <name val="Arial"/>
      <family val="2"/>
    </font>
    <font>
      <sz val="8"/>
      <name val="Arial Narrow"/>
      <family val="2"/>
    </font>
    <font>
      <sz val="11"/>
      <name val="Roboto"/>
    </font>
    <font>
      <sz val="9"/>
      <color rgb="FF272B30"/>
      <name val="Segoe UI"/>
      <family val="2"/>
    </font>
    <font>
      <sz val="9"/>
      <color rgb="FF272B30"/>
      <name val="Arial"/>
      <family val="2"/>
    </font>
    <font>
      <sz val="10"/>
      <name val="Arial Narrow"/>
      <family val="2"/>
    </font>
    <font>
      <sz val="10"/>
      <color rgb="FF000000"/>
      <name val="Arial"/>
      <family val="2"/>
    </font>
    <font>
      <b/>
      <sz val="11"/>
      <name val="Arial"/>
      <family val="2"/>
    </font>
    <font>
      <b/>
      <sz val="10"/>
      <color theme="1"/>
      <name val="Calibri"/>
      <family val="2"/>
      <scheme val="minor"/>
    </font>
    <font>
      <sz val="11"/>
      <color rgb="FF000000"/>
      <name val="Arial"/>
      <family val="2"/>
    </font>
    <font>
      <sz val="11"/>
      <color theme="1"/>
      <name val="Calibri"/>
      <family val="2"/>
      <scheme val="minor"/>
    </font>
    <font>
      <sz val="11"/>
      <color theme="0"/>
      <name val="Calibri"/>
      <family val="2"/>
      <scheme val="minor"/>
    </font>
    <font>
      <b/>
      <sz val="9"/>
      <color theme="0"/>
      <name val="Arial"/>
      <family val="2"/>
    </font>
    <font>
      <sz val="9"/>
      <color theme="1"/>
      <name val="Arial"/>
      <family val="2"/>
    </font>
    <font>
      <b/>
      <sz val="10"/>
      <color theme="0"/>
      <name val="Arial"/>
      <family val="2"/>
    </font>
    <font>
      <sz val="10"/>
      <color theme="1"/>
      <name val="Arial"/>
      <family val="2"/>
    </font>
    <font>
      <b/>
      <i/>
      <sz val="10"/>
      <name val="Arial"/>
      <family val="2"/>
    </font>
    <font>
      <b/>
      <i/>
      <sz val="7"/>
      <name val="Arial"/>
      <family val="2"/>
    </font>
    <font>
      <i/>
      <sz val="11"/>
      <color theme="1"/>
      <name val="Calibri"/>
      <family val="2"/>
      <scheme val="minor"/>
    </font>
    <font>
      <sz val="11"/>
      <name val="Aptos Narrow"/>
    </font>
    <font>
      <b/>
      <sz val="10"/>
      <color theme="1"/>
      <name val="Arial"/>
      <family val="2"/>
    </font>
    <font>
      <b/>
      <sz val="7"/>
      <color theme="1"/>
      <name val="Arial"/>
      <family val="2"/>
    </font>
    <font>
      <b/>
      <sz val="11"/>
      <color rgb="FFFFFFFF"/>
      <name val="Aptos Narrow"/>
    </font>
    <font>
      <sz val="11"/>
      <color rgb="FF000000"/>
      <name val="Aptos Narrow"/>
    </font>
    <font>
      <sz val="11"/>
      <color rgb="FF000000"/>
      <name val="Calibri"/>
    </font>
  </fonts>
  <fills count="19">
    <fill>
      <patternFill patternType="none"/>
    </fill>
    <fill>
      <patternFill patternType="gray125"/>
    </fill>
    <fill>
      <patternFill patternType="solid">
        <fgColor rgb="FF002060"/>
        <bgColor rgb="FF000000"/>
      </patternFill>
    </fill>
    <fill>
      <patternFill patternType="solid">
        <fgColor rgb="FFBDD7EE"/>
        <bgColor rgb="FF000000"/>
      </patternFill>
    </fill>
    <fill>
      <patternFill patternType="solid">
        <fgColor rgb="FFFFFF99"/>
        <bgColor rgb="FF000000"/>
      </patternFill>
    </fill>
    <fill>
      <patternFill patternType="solid">
        <fgColor rgb="FFFABF8F"/>
        <bgColor rgb="FF000000"/>
      </patternFill>
    </fill>
    <fill>
      <patternFill patternType="solid">
        <fgColor rgb="FFD8E4BC"/>
        <bgColor rgb="FF000000"/>
      </patternFill>
    </fill>
    <fill>
      <patternFill patternType="solid">
        <fgColor rgb="FFFFCC00"/>
        <bgColor rgb="FF000000"/>
      </patternFill>
    </fill>
    <fill>
      <patternFill patternType="solid">
        <fgColor rgb="FFFFC000"/>
        <bgColor rgb="FF000000"/>
      </patternFill>
    </fill>
    <fill>
      <patternFill patternType="solid">
        <fgColor rgb="FF00B0F0"/>
        <bgColor rgb="FF000000"/>
      </patternFill>
    </fill>
    <fill>
      <patternFill patternType="solid">
        <fgColor rgb="FFFFFF00"/>
        <bgColor rgb="FF000000"/>
      </patternFill>
    </fill>
    <fill>
      <patternFill patternType="solid">
        <fgColor rgb="FFFFFFFF"/>
        <bgColor rgb="FF000000"/>
      </patternFill>
    </fill>
    <fill>
      <patternFill patternType="solid">
        <fgColor theme="5" tint="0.39997558519241921"/>
        <bgColor rgb="FF000000"/>
      </patternFill>
    </fill>
    <fill>
      <patternFill patternType="solid">
        <fgColor theme="5" tint="-0.249977111117893"/>
        <bgColor indexed="64"/>
      </patternFill>
    </fill>
    <fill>
      <patternFill patternType="solid">
        <fgColor rgb="FFFFFF00"/>
        <bgColor indexed="64"/>
      </patternFill>
    </fill>
    <fill>
      <patternFill patternType="solid">
        <fgColor rgb="FF002060"/>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9"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style="thin">
        <color indexed="64"/>
      </right>
      <top style="dashed">
        <color indexed="64"/>
      </top>
      <bottom style="dashed">
        <color indexed="64"/>
      </bottom>
      <diagonal/>
    </border>
    <border>
      <left/>
      <right style="thin">
        <color indexed="64"/>
      </right>
      <top style="dashed">
        <color indexed="64"/>
      </top>
      <bottom style="dashed">
        <color indexed="64"/>
      </bottom>
      <diagonal/>
    </border>
  </borders>
  <cellStyleXfs count="3">
    <xf numFmtId="0" fontId="0" fillId="0" borderId="0"/>
    <xf numFmtId="9" fontId="26" fillId="0" borderId="0" applyFont="0" applyFill="0" applyBorder="0" applyAlignment="0" applyProtection="0"/>
    <xf numFmtId="43" fontId="26" fillId="0" borderId="0" applyFont="0" applyFill="0" applyBorder="0" applyAlignment="0" applyProtection="0"/>
  </cellStyleXfs>
  <cellXfs count="175">
    <xf numFmtId="0" fontId="0" fillId="0" borderId="0" xfId="0"/>
    <xf numFmtId="0" fontId="0" fillId="0" borderId="1" xfId="0" applyBorder="1"/>
    <xf numFmtId="0" fontId="0" fillId="0" borderId="0" xfId="0" applyAlignment="1">
      <alignment vertical="center" wrapText="1"/>
    </xf>
    <xf numFmtId="0" fontId="1" fillId="3" borderId="1" xfId="0" applyFont="1" applyFill="1" applyBorder="1" applyAlignment="1">
      <alignment horizontal="center" vertical="center" wrapText="1"/>
    </xf>
    <xf numFmtId="0" fontId="2" fillId="0" borderId="1" xfId="0" applyFont="1" applyBorder="1"/>
    <xf numFmtId="0" fontId="3" fillId="0" borderId="1" xfId="0" applyFont="1" applyBorder="1"/>
    <xf numFmtId="0" fontId="4" fillId="0" borderId="1" xfId="0" applyFont="1" applyBorder="1"/>
    <xf numFmtId="0" fontId="11" fillId="6"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4" borderId="1" xfId="0" applyFont="1" applyFill="1" applyBorder="1" applyAlignment="1">
      <alignment vertical="center" wrapText="1"/>
    </xf>
    <xf numFmtId="0" fontId="12" fillId="10" borderId="1" xfId="0" applyFont="1" applyFill="1" applyBorder="1" applyAlignment="1">
      <alignment horizontal="center" vertical="center" wrapText="1"/>
    </xf>
    <xf numFmtId="0" fontId="12" fillId="11" borderId="1" xfId="0" applyFont="1" applyFill="1" applyBorder="1" applyAlignment="1">
      <alignment horizontal="center" vertical="center" wrapText="1"/>
    </xf>
    <xf numFmtId="0" fontId="13" fillId="11" borderId="1" xfId="0" applyFont="1" applyFill="1" applyBorder="1" applyAlignment="1">
      <alignment horizontal="center" vertical="center"/>
    </xf>
    <xf numFmtId="0" fontId="14" fillId="11" borderId="1" xfId="0" applyFont="1" applyFill="1" applyBorder="1" applyAlignment="1">
      <alignment vertical="center" wrapText="1"/>
    </xf>
    <xf numFmtId="0" fontId="14" fillId="11" borderId="1" xfId="0" applyFont="1" applyFill="1" applyBorder="1" applyAlignment="1">
      <alignment horizontal="center" vertical="center"/>
    </xf>
    <xf numFmtId="0" fontId="13" fillId="11"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16" fillId="11" borderId="1" xfId="0" applyFont="1" applyFill="1" applyBorder="1" applyAlignment="1">
      <alignment horizontal="center" vertical="center"/>
    </xf>
    <xf numFmtId="0" fontId="13" fillId="11" borderId="1" xfId="0" applyFont="1" applyFill="1" applyBorder="1" applyAlignment="1">
      <alignment vertical="center"/>
    </xf>
    <xf numFmtId="0" fontId="12" fillId="11" borderId="1" xfId="0" applyFont="1" applyFill="1" applyBorder="1" applyAlignment="1">
      <alignment horizontal="center" vertical="center"/>
    </xf>
    <xf numFmtId="14" fontId="12" fillId="11" borderId="1" xfId="0" applyNumberFormat="1" applyFont="1" applyFill="1" applyBorder="1" applyAlignment="1">
      <alignment horizontal="center" vertical="center"/>
    </xf>
    <xf numFmtId="16" fontId="13" fillId="11" borderId="1" xfId="0" applyNumberFormat="1" applyFont="1" applyFill="1" applyBorder="1" applyAlignment="1">
      <alignment horizontal="center" vertical="center" wrapText="1"/>
    </xf>
    <xf numFmtId="0" fontId="13" fillId="11" borderId="1" xfId="0" applyFont="1" applyFill="1" applyBorder="1" applyAlignment="1">
      <alignment horizontal="left" vertical="center" wrapText="1"/>
    </xf>
    <xf numFmtId="14" fontId="12" fillId="11" borderId="1" xfId="0" applyNumberFormat="1"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4" fillId="11" borderId="1" xfId="0" applyFont="1" applyFill="1" applyBorder="1" applyAlignment="1">
      <alignment horizontal="center" vertical="center" wrapText="1"/>
    </xf>
    <xf numFmtId="0" fontId="14" fillId="11" borderId="1" xfId="0" applyFont="1" applyFill="1" applyBorder="1" applyAlignment="1">
      <alignment horizontal="left" vertical="center"/>
    </xf>
    <xf numFmtId="0" fontId="8" fillId="11" borderId="1" xfId="0" applyFont="1" applyFill="1" applyBorder="1" applyAlignment="1">
      <alignment vertical="center"/>
    </xf>
    <xf numFmtId="3" fontId="12" fillId="11" borderId="1" xfId="0" applyNumberFormat="1" applyFont="1" applyFill="1" applyBorder="1" applyAlignment="1">
      <alignment horizontal="center" vertical="center"/>
    </xf>
    <xf numFmtId="0" fontId="17" fillId="11" borderId="1" xfId="0" applyFont="1" applyFill="1" applyBorder="1" applyAlignment="1">
      <alignment horizontal="center" vertical="center"/>
    </xf>
    <xf numFmtId="0" fontId="17" fillId="11" borderId="1" xfId="0" applyFont="1" applyFill="1" applyBorder="1" applyAlignment="1">
      <alignment horizontal="center"/>
    </xf>
    <xf numFmtId="0" fontId="13" fillId="11" borderId="1" xfId="0" applyFont="1" applyFill="1" applyBorder="1" applyAlignment="1">
      <alignment horizontal="left" vertical="center"/>
    </xf>
    <xf numFmtId="0" fontId="18" fillId="11" borderId="1" xfId="0" applyFont="1" applyFill="1" applyBorder="1" applyAlignment="1">
      <alignment wrapText="1"/>
    </xf>
    <xf numFmtId="0" fontId="15" fillId="11" borderId="1" xfId="0" applyFont="1" applyFill="1" applyBorder="1" applyAlignment="1">
      <alignment horizontal="center" vertical="center" wrapText="1"/>
    </xf>
    <xf numFmtId="0" fontId="13" fillId="11" borderId="1" xfId="0" applyFont="1" applyFill="1" applyBorder="1" applyAlignment="1">
      <alignment vertical="center" wrapText="1"/>
    </xf>
    <xf numFmtId="0" fontId="14" fillId="11" borderId="1" xfId="0" applyFont="1" applyFill="1" applyBorder="1" applyAlignment="1">
      <alignment vertical="center"/>
    </xf>
    <xf numFmtId="0" fontId="12" fillId="10" borderId="1" xfId="0" applyFont="1" applyFill="1" applyBorder="1" applyAlignment="1">
      <alignment vertical="center" wrapText="1"/>
    </xf>
    <xf numFmtId="3" fontId="12" fillId="11" borderId="1" xfId="0" applyNumberFormat="1" applyFont="1" applyFill="1" applyBorder="1" applyAlignment="1">
      <alignment horizontal="center" vertical="center" wrapText="1"/>
    </xf>
    <xf numFmtId="16" fontId="12" fillId="11" borderId="1" xfId="0" applyNumberFormat="1" applyFont="1" applyFill="1" applyBorder="1" applyAlignment="1">
      <alignment horizontal="center" vertical="center" wrapText="1"/>
    </xf>
    <xf numFmtId="0" fontId="19" fillId="11" borderId="1" xfId="0" applyFont="1" applyFill="1" applyBorder="1" applyAlignment="1">
      <alignment horizontal="center" vertical="center"/>
    </xf>
    <xf numFmtId="0" fontId="14" fillId="11" borderId="1" xfId="0" applyFont="1" applyFill="1" applyBorder="1" applyAlignment="1">
      <alignment horizontal="left" vertical="center" wrapText="1"/>
    </xf>
    <xf numFmtId="0" fontId="17" fillId="11" borderId="1" xfId="0" applyFont="1" applyFill="1" applyBorder="1"/>
    <xf numFmtId="0" fontId="20" fillId="11" borderId="1" xfId="0" applyFont="1" applyFill="1" applyBorder="1" applyAlignment="1">
      <alignment vertical="center"/>
    </xf>
    <xf numFmtId="14" fontId="15" fillId="11" borderId="1" xfId="0" applyNumberFormat="1" applyFont="1" applyFill="1" applyBorder="1" applyAlignment="1">
      <alignment horizontal="center" vertical="center" wrapText="1"/>
    </xf>
    <xf numFmtId="0" fontId="21" fillId="10" borderId="1" xfId="0" applyFont="1" applyFill="1" applyBorder="1" applyAlignment="1">
      <alignment horizontal="center" vertical="center"/>
    </xf>
    <xf numFmtId="0" fontId="13" fillId="11" borderId="1" xfId="0" applyFont="1" applyFill="1" applyBorder="1" applyAlignment="1">
      <alignment wrapText="1"/>
    </xf>
    <xf numFmtId="0" fontId="12" fillId="11" borderId="1" xfId="0" applyFont="1" applyFill="1" applyBorder="1" applyAlignment="1">
      <alignment horizontal="left" vertical="center" wrapText="1"/>
    </xf>
    <xf numFmtId="0" fontId="17" fillId="10" borderId="1" xfId="0" applyFont="1" applyFill="1" applyBorder="1" applyAlignment="1">
      <alignment horizontal="center" vertical="center"/>
    </xf>
    <xf numFmtId="0" fontId="12" fillId="10" borderId="1" xfId="0" applyFont="1" applyFill="1" applyBorder="1" applyAlignment="1">
      <alignment horizontal="left" vertical="center" wrapText="1"/>
    </xf>
    <xf numFmtId="0" fontId="13" fillId="11" borderId="0" xfId="0" applyFont="1" applyFill="1" applyAlignment="1">
      <alignment wrapText="1"/>
    </xf>
    <xf numFmtId="0" fontId="13" fillId="11" borderId="1" xfId="0" applyFont="1" applyFill="1" applyBorder="1"/>
    <xf numFmtId="0" fontId="13" fillId="11" borderId="5" xfId="0" applyFont="1" applyFill="1" applyBorder="1" applyAlignment="1">
      <alignment wrapText="1"/>
    </xf>
    <xf numFmtId="0" fontId="7" fillId="8"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8" borderId="1" xfId="0" applyFont="1" applyFill="1" applyBorder="1" applyAlignment="1">
      <alignment wrapText="1"/>
    </xf>
    <xf numFmtId="0" fontId="12" fillId="9"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3" fillId="9" borderId="1" xfId="0" applyFont="1" applyFill="1" applyBorder="1" applyAlignment="1">
      <alignment horizontal="left" vertical="center" wrapText="1"/>
    </xf>
    <xf numFmtId="0" fontId="13" fillId="9" borderId="1" xfId="0" applyFont="1" applyFill="1" applyBorder="1" applyAlignment="1">
      <alignment horizontal="center" vertical="center"/>
    </xf>
    <xf numFmtId="0" fontId="15" fillId="9" borderId="1" xfId="0" applyFont="1" applyFill="1" applyBorder="1" applyAlignment="1">
      <alignment horizontal="center" vertical="center" wrapText="1"/>
    </xf>
    <xf numFmtId="0" fontId="15" fillId="9" borderId="1" xfId="0" applyFont="1" applyFill="1" applyBorder="1" applyAlignment="1">
      <alignment horizontal="center" vertical="center"/>
    </xf>
    <xf numFmtId="0" fontId="15" fillId="9" borderId="1" xfId="0" applyFont="1" applyFill="1" applyBorder="1"/>
    <xf numFmtId="0" fontId="16" fillId="11" borderId="1" xfId="0" applyFont="1" applyFill="1" applyBorder="1"/>
    <xf numFmtId="0" fontId="8" fillId="11" borderId="1" xfId="0" applyFont="1" applyFill="1" applyBorder="1" applyAlignment="1">
      <alignment wrapText="1"/>
    </xf>
    <xf numFmtId="0" fontId="16" fillId="11" borderId="1" xfId="0" applyFont="1" applyFill="1" applyBorder="1" applyAlignment="1">
      <alignment vertical="center"/>
    </xf>
    <xf numFmtId="0" fontId="17" fillId="11" borderId="1" xfId="0" applyFont="1" applyFill="1" applyBorder="1" applyAlignment="1">
      <alignment wrapText="1"/>
    </xf>
    <xf numFmtId="0" fontId="13" fillId="0" borderId="1" xfId="0" applyFont="1" applyBorder="1" applyAlignment="1">
      <alignment horizontal="center" vertical="center" wrapText="1"/>
    </xf>
    <xf numFmtId="0" fontId="7" fillId="12" borderId="1" xfId="0" applyFont="1" applyFill="1" applyBorder="1" applyAlignment="1">
      <alignment horizontal="center" vertical="center" wrapText="1"/>
    </xf>
    <xf numFmtId="0" fontId="0" fillId="13" borderId="0" xfId="0" applyFill="1"/>
    <xf numFmtId="0" fontId="15" fillId="6" borderId="1" xfId="0" applyFont="1" applyFill="1" applyBorder="1" applyAlignment="1">
      <alignment horizontal="center" vertical="center" wrapText="1"/>
    </xf>
    <xf numFmtId="0" fontId="24"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0" fillId="0" borderId="9" xfId="0" applyBorder="1"/>
    <xf numFmtId="0" fontId="27" fillId="0" borderId="0" xfId="0" applyFont="1"/>
    <xf numFmtId="0" fontId="28" fillId="15" borderId="1" xfId="0" applyFont="1" applyFill="1" applyBorder="1" applyAlignment="1">
      <alignment horizontal="center" vertical="center" wrapText="1"/>
    </xf>
    <xf numFmtId="0" fontId="30" fillId="15" borderId="1" xfId="0" applyFont="1" applyFill="1" applyBorder="1" applyAlignment="1">
      <alignment horizontal="center" vertical="center" wrapText="1"/>
    </xf>
    <xf numFmtId="9" fontId="12" fillId="0" borderId="1" xfId="1" applyFont="1" applyFill="1" applyBorder="1" applyAlignment="1">
      <alignment vertical="center"/>
    </xf>
    <xf numFmtId="0" fontId="30" fillId="15" borderId="0" xfId="0" applyFont="1" applyFill="1" applyAlignment="1">
      <alignment horizontal="center" vertical="center" wrapText="1"/>
    </xf>
    <xf numFmtId="9" fontId="14" fillId="0" borderId="1" xfId="1" applyFont="1" applyFill="1" applyBorder="1" applyAlignment="1">
      <alignment vertical="center"/>
    </xf>
    <xf numFmtId="0" fontId="31" fillId="0" borderId="1" xfId="0" applyFont="1" applyBorder="1"/>
    <xf numFmtId="9" fontId="31" fillId="0" borderId="1" xfId="1" applyFont="1" applyFill="1" applyBorder="1" applyAlignment="1">
      <alignment vertical="center"/>
    </xf>
    <xf numFmtId="9" fontId="29" fillId="0" borderId="1" xfId="1" applyFont="1" applyFill="1" applyBorder="1" applyAlignment="1">
      <alignment vertical="center"/>
    </xf>
    <xf numFmtId="0" fontId="2" fillId="14" borderId="1" xfId="0" applyFont="1" applyFill="1" applyBorder="1"/>
    <xf numFmtId="2" fontId="27" fillId="0" borderId="0" xfId="0" applyNumberFormat="1" applyFont="1"/>
    <xf numFmtId="0" fontId="33" fillId="4" borderId="1" xfId="0" applyFont="1" applyFill="1" applyBorder="1" applyAlignment="1">
      <alignment horizontal="center" vertical="center" wrapText="1"/>
    </xf>
    <xf numFmtId="0" fontId="34" fillId="0" borderId="0" xfId="0" applyFont="1"/>
    <xf numFmtId="0" fontId="35" fillId="0" borderId="10" xfId="0" applyFont="1" applyBorder="1"/>
    <xf numFmtId="0" fontId="35" fillId="0" borderId="0" xfId="0" applyFont="1"/>
    <xf numFmtId="0" fontId="25" fillId="0" borderId="9" xfId="0" applyFont="1" applyBorder="1"/>
    <xf numFmtId="0" fontId="0" fillId="0" borderId="0" xfId="0" applyAlignment="1">
      <alignment vertical="center"/>
    </xf>
    <xf numFmtId="0" fontId="0" fillId="14" borderId="0" xfId="0" applyFill="1"/>
    <xf numFmtId="0" fontId="36" fillId="12" borderId="7" xfId="0" applyFont="1" applyFill="1" applyBorder="1" applyAlignment="1">
      <alignment horizontal="center" vertical="center" wrapText="1"/>
    </xf>
    <xf numFmtId="0" fontId="37" fillId="12" borderId="1" xfId="0" applyFont="1" applyFill="1" applyBorder="1" applyAlignment="1">
      <alignment horizontal="center" vertical="center" wrapText="1"/>
    </xf>
    <xf numFmtId="0" fontId="37" fillId="12" borderId="2" xfId="0" applyFont="1" applyFill="1" applyBorder="1" applyAlignment="1">
      <alignment horizontal="center" vertical="center" wrapText="1"/>
    </xf>
    <xf numFmtId="0" fontId="37" fillId="12" borderId="6" xfId="0" applyFont="1" applyFill="1" applyBorder="1" applyAlignment="1">
      <alignment horizontal="center" vertical="center" wrapText="1"/>
    </xf>
    <xf numFmtId="0" fontId="37" fillId="12" borderId="8" xfId="0" applyFont="1" applyFill="1" applyBorder="1" applyAlignment="1">
      <alignment horizontal="center" vertical="center" wrapText="1"/>
    </xf>
    <xf numFmtId="0" fontId="0" fillId="0" borderId="0" xfId="0" applyAlignment="1">
      <alignment horizontal="left"/>
    </xf>
    <xf numFmtId="0" fontId="38" fillId="2" borderId="0" xfId="0" applyFont="1" applyFill="1"/>
    <xf numFmtId="0" fontId="39" fillId="0" borderId="0" xfId="0" applyFont="1"/>
    <xf numFmtId="3" fontId="39" fillId="0" borderId="0" xfId="0" applyNumberFormat="1" applyFont="1"/>
    <xf numFmtId="2" fontId="39" fillId="0" borderId="0" xfId="0" applyNumberFormat="1" applyFont="1"/>
    <xf numFmtId="2" fontId="0" fillId="0" borderId="0" xfId="0" applyNumberFormat="1"/>
    <xf numFmtId="49" fontId="38" fillId="2" borderId="0" xfId="0" applyNumberFormat="1" applyFont="1" applyFill="1"/>
    <xf numFmtId="49" fontId="39" fillId="0" borderId="0" xfId="0" applyNumberFormat="1" applyFont="1"/>
    <xf numFmtId="0" fontId="0" fillId="14" borderId="1" xfId="0" applyFill="1" applyBorder="1"/>
    <xf numFmtId="0" fontId="0" fillId="16" borderId="0" xfId="0" applyFill="1"/>
    <xf numFmtId="0" fontId="0" fillId="17" borderId="0" xfId="0" applyFill="1"/>
    <xf numFmtId="0" fontId="0" fillId="18" borderId="0" xfId="0" applyFill="1"/>
    <xf numFmtId="0" fontId="40" fillId="0" borderId="11" xfId="0" applyFont="1" applyBorder="1"/>
    <xf numFmtId="0" fontId="40" fillId="0" borderId="12" xfId="0" applyFont="1" applyBorder="1"/>
    <xf numFmtId="0" fontId="8" fillId="4" borderId="6" xfId="0" applyFont="1" applyFill="1" applyBorder="1" applyAlignment="1">
      <alignment horizontal="center" vertical="center" wrapText="1" indent="85"/>
    </xf>
    <xf numFmtId="0" fontId="8" fillId="4" borderId="7" xfId="0" applyFont="1" applyFill="1" applyBorder="1" applyAlignment="1">
      <alignment vertical="center" wrapText="1" indent="85"/>
    </xf>
    <xf numFmtId="0" fontId="8" fillId="4" borderId="7" xfId="0" applyFont="1" applyFill="1" applyBorder="1" applyAlignment="1">
      <alignment horizontal="left" vertical="center" wrapText="1" indent="85"/>
    </xf>
    <xf numFmtId="0" fontId="8" fillId="4" borderId="7" xfId="0" applyFont="1" applyFill="1" applyBorder="1" applyAlignment="1">
      <alignment horizontal="center" vertical="center" wrapText="1" indent="85"/>
    </xf>
    <xf numFmtId="0" fontId="32" fillId="4" borderId="8" xfId="0" applyFont="1" applyFill="1" applyBorder="1" applyAlignment="1">
      <alignment horizontal="center" vertical="center" wrapText="1" indent="85"/>
    </xf>
    <xf numFmtId="0" fontId="7" fillId="4" borderId="1"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23" fillId="4" borderId="6" xfId="0" applyFont="1" applyFill="1" applyBorder="1" applyAlignment="1">
      <alignment horizontal="center" vertical="center" wrapText="1"/>
    </xf>
    <xf numFmtId="0" fontId="23" fillId="4" borderId="8" xfId="0" applyFont="1" applyFill="1" applyBorder="1" applyAlignment="1">
      <alignment horizontal="center" vertical="center" wrapText="1"/>
    </xf>
    <xf numFmtId="0" fontId="8" fillId="8" borderId="6"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8" fillId="8" borderId="8" xfId="0" applyFont="1" applyFill="1" applyBorder="1" applyAlignment="1">
      <alignment horizontal="center" vertical="center" wrapText="1"/>
    </xf>
    <xf numFmtId="0" fontId="36" fillId="12" borderId="6" xfId="0" applyFont="1" applyFill="1" applyBorder="1" applyAlignment="1">
      <alignment horizontal="center" vertical="center" wrapText="1"/>
    </xf>
    <xf numFmtId="0" fontId="36" fillId="12" borderId="7" xfId="0" applyFont="1" applyFill="1" applyBorder="1" applyAlignment="1">
      <alignment horizontal="center" vertical="center" wrapText="1"/>
    </xf>
    <xf numFmtId="0" fontId="8" fillId="12" borderId="6" xfId="0" applyFont="1" applyFill="1" applyBorder="1" applyAlignment="1">
      <alignment horizontal="center" vertical="center" wrapText="1"/>
    </xf>
    <xf numFmtId="0" fontId="8" fillId="12" borderId="7" xfId="0" applyFont="1" applyFill="1" applyBorder="1" applyAlignment="1">
      <alignment horizontal="center" vertical="center" wrapText="1"/>
    </xf>
    <xf numFmtId="0" fontId="8" fillId="12" borderId="8" xfId="0" applyFont="1" applyFill="1" applyBorder="1" applyAlignment="1">
      <alignment horizontal="center" vertical="center" wrapText="1"/>
    </xf>
    <xf numFmtId="0" fontId="0" fillId="0" borderId="9" xfId="0" applyBorder="1" applyAlignment="1">
      <alignment horizontal="center"/>
    </xf>
    <xf numFmtId="0" fontId="13" fillId="11" borderId="1" xfId="0" applyFont="1" applyFill="1" applyBorder="1" applyAlignment="1">
      <alignment horizontal="left" vertical="center" wrapText="1"/>
    </xf>
    <xf numFmtId="0" fontId="13" fillId="11" borderId="1" xfId="0" applyFont="1" applyFill="1" applyBorder="1" applyAlignment="1">
      <alignment wrapText="1"/>
    </xf>
    <xf numFmtId="0" fontId="13" fillId="11" borderId="1"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13" fillId="11" borderId="1" xfId="0" applyFont="1" applyFill="1" applyBorder="1" applyAlignment="1">
      <alignment horizontal="center" vertical="center"/>
    </xf>
    <xf numFmtId="0" fontId="17" fillId="11" borderId="1" xfId="0" applyFont="1" applyFill="1" applyBorder="1" applyAlignment="1">
      <alignment horizontal="center"/>
    </xf>
    <xf numFmtId="0" fontId="16" fillId="11" borderId="1" xfId="0" applyFont="1" applyFill="1" applyBorder="1" applyAlignment="1">
      <alignment horizontal="center" vertical="center" wrapText="1"/>
    </xf>
    <xf numFmtId="0" fontId="21" fillId="10" borderId="1" xfId="0" applyFont="1" applyFill="1" applyBorder="1" applyAlignment="1">
      <alignment horizontal="center" vertical="center"/>
    </xf>
    <xf numFmtId="0" fontId="12" fillId="11" borderId="1" xfId="0" applyFont="1" applyFill="1" applyBorder="1" applyAlignment="1">
      <alignment horizontal="left" vertical="center" wrapText="1"/>
    </xf>
    <xf numFmtId="0" fontId="13" fillId="11" borderId="2" xfId="0" applyFont="1" applyFill="1" applyBorder="1" applyAlignment="1">
      <alignment horizontal="center" vertical="center" wrapText="1"/>
    </xf>
    <xf numFmtId="0" fontId="13" fillId="11" borderId="4" xfId="0" applyFont="1" applyFill="1" applyBorder="1" applyAlignment="1">
      <alignment horizontal="center" vertical="center" wrapText="1"/>
    </xf>
    <xf numFmtId="0" fontId="12" fillId="10" borderId="1" xfId="0" applyFont="1" applyFill="1" applyBorder="1" applyAlignment="1">
      <alignment horizontal="left" vertical="center" wrapText="1"/>
    </xf>
    <xf numFmtId="0" fontId="22" fillId="11" borderId="1" xfId="0" applyFont="1" applyFill="1" applyBorder="1" applyAlignment="1">
      <alignment wrapText="1"/>
    </xf>
    <xf numFmtId="0" fontId="12" fillId="10" borderId="1" xfId="0" applyFont="1" applyFill="1" applyBorder="1" applyAlignment="1">
      <alignment horizontal="center" vertical="center" wrapText="1"/>
    </xf>
    <xf numFmtId="0" fontId="16" fillId="11" borderId="1" xfId="0" applyFont="1" applyFill="1" applyBorder="1" applyAlignment="1">
      <alignment horizontal="center" vertical="center"/>
    </xf>
    <xf numFmtId="0" fontId="12" fillId="11" borderId="1" xfId="0" applyFont="1" applyFill="1" applyBorder="1" applyAlignment="1">
      <alignment horizontal="center" vertical="center" wrapText="1"/>
    </xf>
    <xf numFmtId="14" fontId="12" fillId="11" borderId="1" xfId="0" applyNumberFormat="1" applyFont="1" applyFill="1" applyBorder="1" applyAlignment="1">
      <alignment horizontal="center" vertical="center"/>
    </xf>
    <xf numFmtId="0" fontId="12" fillId="11" borderId="1" xfId="0" applyFont="1" applyFill="1" applyBorder="1" applyAlignment="1">
      <alignment horizontal="center" vertical="center"/>
    </xf>
    <xf numFmtId="0" fontId="8" fillId="11" borderId="1" xfId="0" applyFont="1" applyFill="1" applyBorder="1" applyAlignment="1">
      <alignment vertical="center" wrapText="1"/>
    </xf>
    <xf numFmtId="0" fontId="14" fillId="11" borderId="1" xfId="0" applyFont="1" applyFill="1" applyBorder="1" applyAlignment="1">
      <alignment vertical="center" wrapText="1"/>
    </xf>
    <xf numFmtId="0" fontId="14" fillId="11" borderId="1" xfId="0" applyFont="1" applyFill="1" applyBorder="1" applyAlignment="1">
      <alignment horizontal="center" vertical="center"/>
    </xf>
    <xf numFmtId="0" fontId="14" fillId="11" borderId="2" xfId="0" applyFont="1" applyFill="1" applyBorder="1" applyAlignment="1">
      <alignment horizontal="center" vertical="center"/>
    </xf>
    <xf numFmtId="0" fontId="14" fillId="11" borderId="3" xfId="0" applyFont="1" applyFill="1" applyBorder="1" applyAlignment="1">
      <alignment horizontal="center" vertical="center"/>
    </xf>
    <xf numFmtId="0" fontId="14" fillId="11" borderId="4" xfId="0" applyFont="1" applyFill="1" applyBorder="1" applyAlignment="1">
      <alignment horizontal="center" vertical="center"/>
    </xf>
    <xf numFmtId="14" fontId="12" fillId="11" borderId="1" xfId="0" applyNumberFormat="1" applyFont="1" applyFill="1" applyBorder="1" applyAlignment="1">
      <alignment horizontal="center" vertical="center" wrapText="1"/>
    </xf>
    <xf numFmtId="0" fontId="13" fillId="11" borderId="1" xfId="0" applyFont="1" applyFill="1" applyBorder="1" applyAlignment="1">
      <alignment vertical="center"/>
    </xf>
    <xf numFmtId="0" fontId="7" fillId="8" borderId="1" xfId="0" applyFont="1" applyFill="1" applyBorder="1" applyAlignment="1">
      <alignment horizontal="center" vertical="center" wrapText="1"/>
    </xf>
    <xf numFmtId="0" fontId="7" fillId="8" borderId="1" xfId="0" applyFont="1" applyFill="1" applyBorder="1" applyAlignment="1">
      <alignment vertical="center" wrapText="1"/>
    </xf>
    <xf numFmtId="0" fontId="7" fillId="5"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3" fillId="11" borderId="1" xfId="0" applyFont="1" applyFill="1" applyBorder="1" applyAlignment="1"/>
    <xf numFmtId="0" fontId="16" fillId="11" borderId="1" xfId="0" applyFont="1" applyFill="1" applyBorder="1" applyAlignment="1"/>
  </cellXfs>
  <cellStyles count="3">
    <cellStyle name="Normal" xfId="0" builtinId="0"/>
    <cellStyle name="Porcentagem" xfId="1" builtinId="5"/>
    <cellStyle name="Vírgula 2" xfId="2" xr:uid="{3FB2480C-B34D-4121-9259-33F462662E76}"/>
  </cellStyles>
  <dxfs count="29">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FFFF00"/>
        </patternFill>
      </fill>
    </dxf>
    <dxf>
      <fill>
        <patternFill>
          <bgColor rgb="FFFFFF00"/>
        </patternFill>
      </fill>
    </dxf>
  </dxfs>
  <tableStyles count="0" defaultTableStyle="TableStyleMedium2" defaultPivotStyle="PivotStyleLight16"/>
  <colors>
    <mruColors>
      <color rgb="FFBDD7EE"/>
      <color rgb="FF002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24EDE373-E52F-40CB-819C-80A883F3A218}"/>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A1B44-3FB5-48B1-93AF-FC7909C5DEE3}">
  <sheetPr filterMode="1"/>
  <dimension ref="A1:C235"/>
  <sheetViews>
    <sheetView workbookViewId="0">
      <selection activeCell="C271" sqref="C271"/>
    </sheetView>
  </sheetViews>
  <sheetFormatPr defaultRowHeight="14.45"/>
  <cols>
    <col min="1" max="1" width="15.7109375" bestFit="1" customWidth="1"/>
  </cols>
  <sheetData>
    <row r="1" spans="1:3">
      <c r="A1" s="89" t="s">
        <v>0</v>
      </c>
      <c r="B1" s="89" t="s">
        <v>1</v>
      </c>
      <c r="C1" s="89" t="s">
        <v>2</v>
      </c>
    </row>
    <row r="2" spans="1:3" hidden="1">
      <c r="A2" s="90" t="s">
        <v>3</v>
      </c>
      <c r="B2" s="90">
        <v>-22.8</v>
      </c>
      <c r="C2" s="90">
        <v>-43.427100000000003</v>
      </c>
    </row>
    <row r="3" spans="1:3" hidden="1">
      <c r="A3" s="90" t="s">
        <v>4</v>
      </c>
      <c r="B3" s="90">
        <v>-22.7883</v>
      </c>
      <c r="C3" s="90">
        <v>-43.4116</v>
      </c>
    </row>
    <row r="4" spans="1:3" hidden="1">
      <c r="A4" s="90" t="s">
        <v>5</v>
      </c>
      <c r="B4" s="90">
        <v>-22.656500000000001</v>
      </c>
      <c r="C4" s="90">
        <v>-43.664099999999998</v>
      </c>
    </row>
    <row r="5" spans="1:3" hidden="1">
      <c r="A5" s="90" t="s">
        <v>6</v>
      </c>
      <c r="B5" s="90">
        <v>-22.6859</v>
      </c>
      <c r="C5" s="90">
        <v>-43.439900000000002</v>
      </c>
    </row>
    <row r="6" spans="1:3" hidden="1">
      <c r="A6" s="90" t="s">
        <v>7</v>
      </c>
      <c r="B6" s="90">
        <v>-22.6541</v>
      </c>
      <c r="C6" s="90">
        <v>-43.536799999999999</v>
      </c>
    </row>
    <row r="7" spans="1:3" hidden="1">
      <c r="A7" s="90" t="s">
        <v>8</v>
      </c>
      <c r="B7" s="90">
        <v>-22.708400000000001</v>
      </c>
      <c r="C7" s="90">
        <v>-43.428800000000003</v>
      </c>
    </row>
    <row r="8" spans="1:3" hidden="1">
      <c r="A8" s="90" t="s">
        <v>9</v>
      </c>
      <c r="B8" s="90">
        <v>-22.7972</v>
      </c>
      <c r="C8" s="90">
        <v>-43.571300000000001</v>
      </c>
    </row>
    <row r="9" spans="1:3" hidden="1">
      <c r="A9" s="90" t="s">
        <v>10</v>
      </c>
      <c r="B9" s="90">
        <v>-22.777799999999999</v>
      </c>
      <c r="C9" s="90">
        <v>-43.3977</v>
      </c>
    </row>
    <row r="10" spans="1:3" hidden="1">
      <c r="A10" s="90" t="s">
        <v>11</v>
      </c>
      <c r="B10" s="90">
        <v>-22.796900000000001</v>
      </c>
      <c r="C10" s="90">
        <v>-43.556100000000001</v>
      </c>
    </row>
    <row r="11" spans="1:3" hidden="1">
      <c r="A11" s="90" t="s">
        <v>12</v>
      </c>
      <c r="B11" s="90">
        <v>-22.7639</v>
      </c>
      <c r="C11" s="90">
        <v>-43.4983</v>
      </c>
    </row>
    <row r="12" spans="1:3" hidden="1">
      <c r="A12" s="90" t="s">
        <v>13</v>
      </c>
      <c r="B12" s="90">
        <v>-22.809799999999999</v>
      </c>
      <c r="C12" s="90">
        <v>-43.589399999999998</v>
      </c>
    </row>
    <row r="13" spans="1:3" hidden="1">
      <c r="A13" s="90" t="s">
        <v>14</v>
      </c>
      <c r="B13" s="90">
        <v>-22.7163</v>
      </c>
      <c r="C13" s="90">
        <v>-43.551900000000003</v>
      </c>
    </row>
    <row r="14" spans="1:3" hidden="1">
      <c r="A14" s="90" t="s">
        <v>15</v>
      </c>
      <c r="B14" s="90">
        <v>-22.716200000000001</v>
      </c>
      <c r="C14" s="90">
        <v>-43.551600000000001</v>
      </c>
    </row>
    <row r="15" spans="1:3" hidden="1">
      <c r="A15" s="90" t="s">
        <v>16</v>
      </c>
      <c r="B15" s="90">
        <v>-22.591200000000001</v>
      </c>
      <c r="C15" s="90">
        <v>-43.4163</v>
      </c>
    </row>
    <row r="16" spans="1:3" hidden="1">
      <c r="A16" s="90" t="s">
        <v>17</v>
      </c>
      <c r="B16" s="90">
        <v>-22.726500000000001</v>
      </c>
      <c r="C16" s="90">
        <v>-43.651299999999999</v>
      </c>
    </row>
    <row r="17" spans="1:3" hidden="1">
      <c r="A17" s="90" t="s">
        <v>18</v>
      </c>
      <c r="B17" s="90">
        <v>-22.766500000000001</v>
      </c>
      <c r="C17" s="90">
        <v>-43.421100000000003</v>
      </c>
    </row>
    <row r="18" spans="1:3" hidden="1">
      <c r="A18" s="90" t="s">
        <v>19</v>
      </c>
      <c r="B18" s="90">
        <v>-22.7989</v>
      </c>
      <c r="C18" s="90">
        <v>-43.578499999999998</v>
      </c>
    </row>
    <row r="19" spans="1:3" hidden="1">
      <c r="A19" s="90" t="s">
        <v>20</v>
      </c>
      <c r="B19" s="90">
        <v>-22.825199999999999</v>
      </c>
      <c r="C19" s="90">
        <v>-43.602899999999998</v>
      </c>
    </row>
    <row r="20" spans="1:3" hidden="1">
      <c r="A20" s="90" t="s">
        <v>21</v>
      </c>
      <c r="B20" s="90">
        <v>-22.756599999999999</v>
      </c>
      <c r="C20" s="90">
        <v>-43.481400000000001</v>
      </c>
    </row>
    <row r="21" spans="1:3" hidden="1">
      <c r="A21" s="90" t="s">
        <v>22</v>
      </c>
      <c r="B21" s="90">
        <v>-22.756699999999999</v>
      </c>
      <c r="C21" s="90">
        <v>-43.481499999999997</v>
      </c>
    </row>
    <row r="22" spans="1:3" hidden="1">
      <c r="A22" s="90" t="s">
        <v>23</v>
      </c>
      <c r="B22" s="90">
        <v>-22.769200000000001</v>
      </c>
      <c r="C22" s="90">
        <v>-43.432000000000002</v>
      </c>
    </row>
    <row r="23" spans="1:3" hidden="1">
      <c r="A23" s="90" t="s">
        <v>24</v>
      </c>
      <c r="B23" s="90">
        <v>-22.810300000000002</v>
      </c>
      <c r="C23" s="90">
        <v>-43.412399999999998</v>
      </c>
    </row>
    <row r="24" spans="1:3" hidden="1">
      <c r="A24" s="90" t="s">
        <v>25</v>
      </c>
      <c r="B24" s="90">
        <v>-22.8261</v>
      </c>
      <c r="C24" s="90">
        <v>-43.603299999999997</v>
      </c>
    </row>
    <row r="25" spans="1:3" hidden="1">
      <c r="A25" s="90" t="s">
        <v>26</v>
      </c>
      <c r="B25" s="90">
        <v>-22.806799999999999</v>
      </c>
      <c r="C25" s="90">
        <v>-43.586100000000002</v>
      </c>
    </row>
    <row r="26" spans="1:3" hidden="1">
      <c r="A26" s="90" t="s">
        <v>27</v>
      </c>
      <c r="B26" s="90">
        <v>-22.7989</v>
      </c>
      <c r="C26" s="90">
        <v>-43.564300000000003</v>
      </c>
    </row>
    <row r="27" spans="1:3" hidden="1">
      <c r="A27" s="90" t="s">
        <v>28</v>
      </c>
      <c r="B27" s="90">
        <v>-22.732399999999998</v>
      </c>
      <c r="C27" s="90">
        <v>-43.616900000000001</v>
      </c>
    </row>
    <row r="28" spans="1:3" hidden="1">
      <c r="A28" s="90" t="s">
        <v>29</v>
      </c>
      <c r="B28" s="90">
        <v>-22.689</v>
      </c>
      <c r="C28" s="90">
        <v>-43.511699999999998</v>
      </c>
    </row>
    <row r="29" spans="1:3" hidden="1">
      <c r="A29" s="90" t="s">
        <v>30</v>
      </c>
      <c r="B29" s="90">
        <v>-22.7197</v>
      </c>
      <c r="C29" s="90">
        <v>-43.538400000000003</v>
      </c>
    </row>
    <row r="30" spans="1:3" hidden="1">
      <c r="A30" s="90" t="s">
        <v>31</v>
      </c>
      <c r="B30" s="90">
        <v>-22.796199999999999</v>
      </c>
      <c r="C30" s="90">
        <v>-43.58</v>
      </c>
    </row>
    <row r="31" spans="1:3" hidden="1">
      <c r="A31" s="90" t="s">
        <v>32</v>
      </c>
      <c r="B31" s="90">
        <v>-22.720600000000001</v>
      </c>
      <c r="C31" s="90">
        <v>-43.587400000000002</v>
      </c>
    </row>
    <row r="32" spans="1:3" hidden="1">
      <c r="A32" s="90" t="s">
        <v>33</v>
      </c>
      <c r="B32" s="90">
        <v>-22.781600000000001</v>
      </c>
      <c r="C32" s="90">
        <v>-43.554400000000001</v>
      </c>
    </row>
    <row r="33" spans="1:3" hidden="1">
      <c r="A33" s="90" t="s">
        <v>34</v>
      </c>
      <c r="B33" s="90">
        <v>-22.836099999999998</v>
      </c>
      <c r="C33" s="90">
        <v>-43.615099999999998</v>
      </c>
    </row>
    <row r="34" spans="1:3" hidden="1">
      <c r="A34" s="90" t="s">
        <v>35</v>
      </c>
      <c r="B34" s="90">
        <v>-22.804099999999998</v>
      </c>
      <c r="C34" s="90">
        <v>-43.5974</v>
      </c>
    </row>
    <row r="35" spans="1:3" hidden="1">
      <c r="A35" s="90" t="s">
        <v>36</v>
      </c>
      <c r="B35" s="90">
        <v>-22.8035</v>
      </c>
      <c r="C35" s="90">
        <v>-43.586100000000002</v>
      </c>
    </row>
    <row r="36" spans="1:3" hidden="1">
      <c r="A36" s="90" t="s">
        <v>37</v>
      </c>
      <c r="B36" s="90">
        <v>-22.764500000000002</v>
      </c>
      <c r="C36" s="90">
        <v>-43.496899999999997</v>
      </c>
    </row>
    <row r="37" spans="1:3" hidden="1">
      <c r="A37" s="90" t="s">
        <v>38</v>
      </c>
      <c r="B37" s="90">
        <v>-22.833400000000001</v>
      </c>
      <c r="C37" s="90">
        <v>-43.606400000000001</v>
      </c>
    </row>
    <row r="38" spans="1:3" hidden="1">
      <c r="A38" s="90" t="s">
        <v>39</v>
      </c>
      <c r="B38" s="90">
        <v>-22.766200000000001</v>
      </c>
      <c r="C38" s="90">
        <v>-43.428699999999999</v>
      </c>
    </row>
    <row r="39" spans="1:3" hidden="1">
      <c r="A39" s="90" t="s">
        <v>40</v>
      </c>
      <c r="B39" s="90">
        <v>-22.852699999999999</v>
      </c>
      <c r="C39" s="90">
        <v>-43.6083</v>
      </c>
    </row>
    <row r="40" spans="1:3" hidden="1">
      <c r="A40" s="90" t="s">
        <v>41</v>
      </c>
      <c r="B40" s="90">
        <v>-22.741199999999999</v>
      </c>
      <c r="C40" s="90">
        <v>-43.493099999999998</v>
      </c>
    </row>
    <row r="41" spans="1:3" hidden="1">
      <c r="A41" s="90" t="s">
        <v>42</v>
      </c>
      <c r="B41" s="90">
        <v>-22.807300000000001</v>
      </c>
      <c r="C41" s="90">
        <v>-43.585999999999999</v>
      </c>
    </row>
    <row r="42" spans="1:3" hidden="1">
      <c r="A42" s="90" t="s">
        <v>43</v>
      </c>
      <c r="B42" s="90">
        <v>-22.7761</v>
      </c>
      <c r="C42" s="90">
        <v>-43.531799999999997</v>
      </c>
    </row>
    <row r="43" spans="1:3" hidden="1">
      <c r="A43" s="90" t="s">
        <v>44</v>
      </c>
      <c r="B43" s="90">
        <v>-22.771999999999998</v>
      </c>
      <c r="C43" s="90">
        <v>-43.514600000000002</v>
      </c>
    </row>
    <row r="44" spans="1:3" hidden="1">
      <c r="A44" s="90" t="s">
        <v>45</v>
      </c>
      <c r="B44" s="90">
        <v>-22.7638</v>
      </c>
      <c r="C44" s="90">
        <v>-43.498399999999997</v>
      </c>
    </row>
    <row r="45" spans="1:3" hidden="1">
      <c r="A45" s="90" t="s">
        <v>46</v>
      </c>
      <c r="B45" s="90">
        <v>-22.807200000000002</v>
      </c>
      <c r="C45" s="90">
        <v>-43.585700000000003</v>
      </c>
    </row>
    <row r="46" spans="1:3" hidden="1">
      <c r="A46" s="90" t="s">
        <v>47</v>
      </c>
      <c r="B46" s="90">
        <v>-22.8125</v>
      </c>
      <c r="C46" s="90">
        <v>-43.591500000000003</v>
      </c>
    </row>
    <row r="47" spans="1:3" hidden="1">
      <c r="A47" s="90" t="s">
        <v>48</v>
      </c>
      <c r="B47" s="90">
        <v>-22.7639</v>
      </c>
      <c r="C47" s="90">
        <v>-43.4161</v>
      </c>
    </row>
    <row r="48" spans="1:3" hidden="1">
      <c r="A48" s="90" t="s">
        <v>49</v>
      </c>
      <c r="B48" s="90">
        <v>-22.808900000000001</v>
      </c>
      <c r="C48" s="90">
        <v>-43.629600000000003</v>
      </c>
    </row>
    <row r="49" spans="1:3" hidden="1">
      <c r="A49" s="90" t="s">
        <v>50</v>
      </c>
      <c r="B49" s="90">
        <v>-22.857900000000001</v>
      </c>
      <c r="C49" s="90">
        <v>-43.601700000000001</v>
      </c>
    </row>
    <row r="50" spans="1:3" hidden="1">
      <c r="A50" s="90" t="s">
        <v>51</v>
      </c>
      <c r="B50" s="90">
        <v>-22.847300000000001</v>
      </c>
      <c r="C50" s="90">
        <v>-43.604799999999997</v>
      </c>
    </row>
    <row r="51" spans="1:3" hidden="1">
      <c r="A51" s="90" t="s">
        <v>52</v>
      </c>
      <c r="B51" s="90">
        <v>-22.6524</v>
      </c>
      <c r="C51" s="90">
        <v>-43.532299999999999</v>
      </c>
    </row>
    <row r="52" spans="1:3" hidden="1">
      <c r="A52" s="90" t="s">
        <v>53</v>
      </c>
      <c r="B52" s="90">
        <v>-22.601800000000001</v>
      </c>
      <c r="C52" s="90">
        <v>-43.566000000000003</v>
      </c>
    </row>
    <row r="53" spans="1:3" hidden="1">
      <c r="A53" s="90" t="s">
        <v>54</v>
      </c>
      <c r="B53" s="90">
        <v>-22.8443</v>
      </c>
      <c r="C53" s="90">
        <v>-43.606999999999999</v>
      </c>
    </row>
    <row r="54" spans="1:3" hidden="1">
      <c r="A54" s="90" t="s">
        <v>55</v>
      </c>
      <c r="B54" s="90">
        <v>-22.770399999999999</v>
      </c>
      <c r="C54" s="90">
        <v>-43.528199999999998</v>
      </c>
    </row>
    <row r="55" spans="1:3" hidden="1">
      <c r="A55" s="90" t="s">
        <v>56</v>
      </c>
      <c r="B55" s="90">
        <v>-22.726400000000002</v>
      </c>
      <c r="C55" s="90">
        <v>-43.634300000000003</v>
      </c>
    </row>
    <row r="56" spans="1:3" hidden="1">
      <c r="A56" s="90" t="s">
        <v>57</v>
      </c>
      <c r="B56" s="90">
        <v>-22.710699999999999</v>
      </c>
      <c r="C56" s="90">
        <v>-43.429400000000001</v>
      </c>
    </row>
    <row r="57" spans="1:3" hidden="1">
      <c r="A57" s="90" t="s">
        <v>58</v>
      </c>
      <c r="B57" s="90">
        <v>-22.652699999999999</v>
      </c>
      <c r="C57" s="90">
        <v>-43.472499999999997</v>
      </c>
    </row>
    <row r="58" spans="1:3" hidden="1">
      <c r="A58" s="90" t="s">
        <v>59</v>
      </c>
      <c r="B58" s="90">
        <v>-22.771000000000001</v>
      </c>
      <c r="C58" s="90">
        <v>-43.436999999999998</v>
      </c>
    </row>
    <row r="59" spans="1:3" hidden="1">
      <c r="A59" s="90" t="s">
        <v>60</v>
      </c>
      <c r="B59" s="90">
        <v>-22.756900000000002</v>
      </c>
      <c r="C59" s="90">
        <v>-43.487000000000002</v>
      </c>
    </row>
    <row r="60" spans="1:3" hidden="1">
      <c r="A60" s="90" t="s">
        <v>61</v>
      </c>
      <c r="B60" s="90">
        <v>-22.7241</v>
      </c>
      <c r="C60" s="90">
        <v>-43.529499999999999</v>
      </c>
    </row>
    <row r="61" spans="1:3" hidden="1">
      <c r="A61" s="90" t="s">
        <v>62</v>
      </c>
      <c r="B61" s="90">
        <v>-22.757200000000001</v>
      </c>
      <c r="C61" s="90">
        <v>-43.481099999999998</v>
      </c>
    </row>
    <row r="62" spans="1:3" hidden="1">
      <c r="A62" s="90" t="s">
        <v>63</v>
      </c>
      <c r="B62" s="90">
        <v>-22.756499999999999</v>
      </c>
      <c r="C62" s="90">
        <v>-43.481400000000001</v>
      </c>
    </row>
    <row r="63" spans="1:3" hidden="1">
      <c r="A63" s="90" t="s">
        <v>64</v>
      </c>
      <c r="B63" s="90">
        <v>-22.853300000000001</v>
      </c>
      <c r="C63" s="90">
        <v>-43.593400000000003</v>
      </c>
    </row>
    <row r="64" spans="1:3" hidden="1">
      <c r="A64" s="90" t="s">
        <v>65</v>
      </c>
      <c r="B64" s="90">
        <v>-22.6511</v>
      </c>
      <c r="C64" s="90">
        <v>-43.553100000000001</v>
      </c>
    </row>
    <row r="65" spans="1:3" hidden="1">
      <c r="A65" s="90" t="s">
        <v>66</v>
      </c>
      <c r="B65" s="90">
        <v>-22.820399999999999</v>
      </c>
      <c r="C65" s="90">
        <v>-43.407200000000003</v>
      </c>
    </row>
    <row r="66" spans="1:3" hidden="1">
      <c r="A66" s="90" t="s">
        <v>67</v>
      </c>
      <c r="B66" s="90">
        <v>-22.647300000000001</v>
      </c>
      <c r="C66" s="90">
        <v>-43.529600000000002</v>
      </c>
    </row>
    <row r="67" spans="1:3" hidden="1">
      <c r="A67" s="90" t="s">
        <v>68</v>
      </c>
      <c r="B67" s="90">
        <v>-22.5962</v>
      </c>
      <c r="C67" s="90">
        <v>-43.562100000000001</v>
      </c>
    </row>
    <row r="68" spans="1:3" hidden="1">
      <c r="A68" s="90" t="s">
        <v>69</v>
      </c>
      <c r="B68" s="90">
        <v>-22.5898</v>
      </c>
      <c r="C68" s="90">
        <v>-43.416800000000002</v>
      </c>
    </row>
    <row r="69" spans="1:3" hidden="1">
      <c r="A69" s="90" t="s">
        <v>70</v>
      </c>
      <c r="B69" s="90">
        <v>-22.809699999999999</v>
      </c>
      <c r="C69" s="90">
        <v>-43.628300000000003</v>
      </c>
    </row>
    <row r="70" spans="1:3" hidden="1">
      <c r="A70" s="90" t="s">
        <v>71</v>
      </c>
      <c r="B70" s="90">
        <v>-22.7196</v>
      </c>
      <c r="C70" s="90">
        <v>-43.492400000000004</v>
      </c>
    </row>
    <row r="71" spans="1:3" hidden="1">
      <c r="A71" s="90" t="s">
        <v>72</v>
      </c>
      <c r="B71" s="90">
        <v>-22.7803</v>
      </c>
      <c r="C71" s="90">
        <v>-43.527500000000003</v>
      </c>
    </row>
    <row r="72" spans="1:3" hidden="1">
      <c r="A72" s="90" t="s">
        <v>73</v>
      </c>
      <c r="B72" s="90">
        <v>-22.679200000000002</v>
      </c>
      <c r="C72" s="90">
        <v>-43.608800000000002</v>
      </c>
    </row>
    <row r="73" spans="1:3" hidden="1">
      <c r="A73" s="90" t="s">
        <v>74</v>
      </c>
      <c r="B73" s="90">
        <v>-22.772500000000001</v>
      </c>
      <c r="C73" s="90">
        <v>-43.442700000000002</v>
      </c>
    </row>
    <row r="74" spans="1:3" hidden="1">
      <c r="A74" s="90" t="s">
        <v>75</v>
      </c>
      <c r="B74" s="90">
        <v>-22.771699999999999</v>
      </c>
      <c r="C74" s="90">
        <v>-43.438200000000002</v>
      </c>
    </row>
    <row r="75" spans="1:3" hidden="1">
      <c r="A75" s="90" t="s">
        <v>76</v>
      </c>
      <c r="B75" s="90">
        <v>-22.821899999999999</v>
      </c>
      <c r="C75" s="90">
        <v>-43.424700000000001</v>
      </c>
    </row>
    <row r="76" spans="1:3" hidden="1">
      <c r="A76" s="90" t="s">
        <v>77</v>
      </c>
      <c r="B76" s="90">
        <v>-22.812000000000001</v>
      </c>
      <c r="C76" s="90">
        <v>-43.410299999999999</v>
      </c>
    </row>
    <row r="77" spans="1:3" hidden="1">
      <c r="A77" s="90" t="s">
        <v>78</v>
      </c>
      <c r="B77" s="90">
        <v>-22.721699999999998</v>
      </c>
      <c r="C77" s="90">
        <v>-43.5379</v>
      </c>
    </row>
    <row r="78" spans="1:3" hidden="1">
      <c r="A78" s="90" t="s">
        <v>79</v>
      </c>
      <c r="B78" s="90">
        <v>-22.7638</v>
      </c>
      <c r="C78" s="90">
        <v>-43.480800000000002</v>
      </c>
    </row>
    <row r="79" spans="1:3" hidden="1">
      <c r="A79" s="90" t="s">
        <v>80</v>
      </c>
      <c r="B79" s="90">
        <v>-22.763999999999999</v>
      </c>
      <c r="C79" s="90">
        <v>-43.450499999999998</v>
      </c>
    </row>
    <row r="80" spans="1:3" hidden="1">
      <c r="A80" s="90" t="s">
        <v>81</v>
      </c>
      <c r="B80" s="90">
        <v>-22.722899999999999</v>
      </c>
      <c r="C80" s="90">
        <v>-43.4649</v>
      </c>
    </row>
    <row r="81" spans="1:3" hidden="1">
      <c r="A81" s="90" t="s">
        <v>82</v>
      </c>
      <c r="B81" s="90">
        <v>-22.759499999999999</v>
      </c>
      <c r="C81" s="90">
        <v>-43.5398</v>
      </c>
    </row>
    <row r="82" spans="1:3" hidden="1">
      <c r="A82" s="90" t="s">
        <v>83</v>
      </c>
      <c r="B82" s="90">
        <v>-22.743400000000001</v>
      </c>
      <c r="C82" s="90">
        <v>-43.617100000000001</v>
      </c>
    </row>
    <row r="83" spans="1:3" hidden="1">
      <c r="A83" s="90" t="s">
        <v>84</v>
      </c>
      <c r="B83" s="90">
        <v>-22.7148</v>
      </c>
      <c r="C83" s="90">
        <v>-43.552900000000001</v>
      </c>
    </row>
    <row r="84" spans="1:3" hidden="1">
      <c r="A84" s="90" t="s">
        <v>85</v>
      </c>
      <c r="B84" s="90">
        <v>-22.725100000000001</v>
      </c>
      <c r="C84" s="90">
        <v>-43.552199999999999</v>
      </c>
    </row>
    <row r="85" spans="1:3" hidden="1">
      <c r="A85" s="90" t="s">
        <v>86</v>
      </c>
      <c r="B85" s="90">
        <v>-22.715800000000002</v>
      </c>
      <c r="C85" s="90">
        <v>-43.428600000000003</v>
      </c>
    </row>
    <row r="86" spans="1:3" hidden="1">
      <c r="A86" s="90" t="s">
        <v>87</v>
      </c>
      <c r="B86" s="90">
        <v>-22.735900000000001</v>
      </c>
      <c r="C86" s="90">
        <v>-43.561300000000003</v>
      </c>
    </row>
    <row r="87" spans="1:3" hidden="1">
      <c r="A87" s="90" t="s">
        <v>88</v>
      </c>
      <c r="B87" s="90">
        <v>-22.7653</v>
      </c>
      <c r="C87" s="90">
        <v>-43.455300000000001</v>
      </c>
    </row>
    <row r="88" spans="1:3" hidden="1">
      <c r="A88" s="90" t="s">
        <v>89</v>
      </c>
      <c r="B88" s="90">
        <v>-22.844999999999999</v>
      </c>
      <c r="C88" s="90">
        <v>-43.606200000000001</v>
      </c>
    </row>
    <row r="89" spans="1:3" hidden="1">
      <c r="A89" s="90" t="s">
        <v>90</v>
      </c>
      <c r="B89" s="90">
        <v>-22.8569</v>
      </c>
      <c r="C89" s="90">
        <v>-43.5959</v>
      </c>
    </row>
    <row r="90" spans="1:3" hidden="1">
      <c r="A90" s="90" t="s">
        <v>91</v>
      </c>
      <c r="B90" s="90">
        <v>-22.718699999999998</v>
      </c>
      <c r="C90" s="90">
        <v>-43.5379</v>
      </c>
    </row>
    <row r="91" spans="1:3" hidden="1">
      <c r="A91" s="90" t="s">
        <v>92</v>
      </c>
      <c r="B91" s="90">
        <v>-22.745100000000001</v>
      </c>
      <c r="C91" s="90">
        <v>-43.428400000000003</v>
      </c>
    </row>
    <row r="92" spans="1:3" hidden="1">
      <c r="A92" s="90" t="s">
        <v>93</v>
      </c>
      <c r="B92" s="90">
        <v>-22.690899999999999</v>
      </c>
      <c r="C92" s="90">
        <v>-43.559399999999997</v>
      </c>
    </row>
    <row r="93" spans="1:3" hidden="1">
      <c r="A93" s="90" t="s">
        <v>94</v>
      </c>
      <c r="B93" s="90">
        <v>-22.736599999999999</v>
      </c>
      <c r="C93" s="90">
        <v>-43.526699999999998</v>
      </c>
    </row>
    <row r="94" spans="1:3" hidden="1">
      <c r="A94" s="90" t="s">
        <v>95</v>
      </c>
      <c r="B94" s="90">
        <v>-22.835899999999999</v>
      </c>
      <c r="C94" s="90">
        <v>-43.6068</v>
      </c>
    </row>
    <row r="95" spans="1:3" hidden="1">
      <c r="A95" s="90" t="s">
        <v>96</v>
      </c>
      <c r="B95" s="90">
        <v>-22.724900000000002</v>
      </c>
      <c r="C95" s="90">
        <v>-43.512599999999999</v>
      </c>
    </row>
    <row r="96" spans="1:3" hidden="1">
      <c r="A96" s="90" t="s">
        <v>97</v>
      </c>
      <c r="B96" s="90">
        <v>-22.825900000000001</v>
      </c>
      <c r="C96" s="90">
        <v>-43.608899999999998</v>
      </c>
    </row>
    <row r="97" spans="1:3" hidden="1">
      <c r="A97" s="90" t="s">
        <v>98</v>
      </c>
      <c r="B97" s="90">
        <v>-22.710899999999999</v>
      </c>
      <c r="C97" s="90">
        <v>-43.568399999999997</v>
      </c>
    </row>
    <row r="98" spans="1:3" hidden="1">
      <c r="A98" s="90" t="s">
        <v>99</v>
      </c>
      <c r="B98" s="90">
        <v>-22.761700000000001</v>
      </c>
      <c r="C98" s="90">
        <v>-43.5124</v>
      </c>
    </row>
    <row r="99" spans="1:3" hidden="1">
      <c r="A99" s="90" t="s">
        <v>100</v>
      </c>
      <c r="B99" s="90">
        <v>-22.7118</v>
      </c>
      <c r="C99" s="90">
        <v>-43.424100000000003</v>
      </c>
    </row>
    <row r="100" spans="1:3" hidden="1">
      <c r="A100" s="90" t="s">
        <v>101</v>
      </c>
      <c r="B100" s="90">
        <v>-22.6524</v>
      </c>
      <c r="C100" s="90">
        <v>-43.651299999999999</v>
      </c>
    </row>
    <row r="101" spans="1:3" hidden="1">
      <c r="A101" s="90" t="s">
        <v>102</v>
      </c>
      <c r="B101" s="90">
        <v>-22.6907</v>
      </c>
      <c r="C101" s="90">
        <v>-43.601999999999997</v>
      </c>
    </row>
    <row r="102" spans="1:3" hidden="1">
      <c r="A102" s="90" t="s">
        <v>103</v>
      </c>
      <c r="B102" s="90">
        <v>-22.668800000000001</v>
      </c>
      <c r="C102" s="90">
        <v>-43.605800000000002</v>
      </c>
    </row>
    <row r="103" spans="1:3" hidden="1">
      <c r="A103" s="90" t="s">
        <v>104</v>
      </c>
      <c r="B103" s="90">
        <v>-22.6675</v>
      </c>
      <c r="C103" s="90">
        <v>-43.604900000000001</v>
      </c>
    </row>
    <row r="104" spans="1:3" hidden="1">
      <c r="A104" s="90" t="s">
        <v>105</v>
      </c>
      <c r="B104" s="90">
        <v>-22.668399999999998</v>
      </c>
      <c r="C104" s="90">
        <v>-43.604799999999997</v>
      </c>
    </row>
    <row r="105" spans="1:3" hidden="1">
      <c r="A105" s="90" t="s">
        <v>106</v>
      </c>
      <c r="B105" s="90">
        <v>-22.683900000000001</v>
      </c>
      <c r="C105" s="90">
        <v>-43.463900000000002</v>
      </c>
    </row>
    <row r="106" spans="1:3" hidden="1">
      <c r="A106" s="90" t="s">
        <v>107</v>
      </c>
      <c r="B106" s="90">
        <v>-22.798500000000001</v>
      </c>
      <c r="C106" s="90">
        <v>-43.589199999999998</v>
      </c>
    </row>
    <row r="107" spans="1:3" hidden="1">
      <c r="A107" s="90" t="s">
        <v>108</v>
      </c>
      <c r="B107" s="90">
        <v>-22.674499999999998</v>
      </c>
      <c r="C107" s="90">
        <v>-43.582900000000002</v>
      </c>
    </row>
    <row r="108" spans="1:3" hidden="1">
      <c r="A108" s="90" t="s">
        <v>109</v>
      </c>
      <c r="B108" s="90">
        <v>-22.674199999999999</v>
      </c>
      <c r="C108" s="90">
        <v>-43.583500000000001</v>
      </c>
    </row>
    <row r="109" spans="1:3" hidden="1">
      <c r="A109" s="90" t="s">
        <v>110</v>
      </c>
      <c r="B109" s="90">
        <v>-22.648700000000002</v>
      </c>
      <c r="C109" s="90">
        <v>-43.635800000000003</v>
      </c>
    </row>
    <row r="110" spans="1:3" hidden="1">
      <c r="A110" s="90" t="s">
        <v>111</v>
      </c>
      <c r="B110" s="90">
        <v>-22.758700000000001</v>
      </c>
      <c r="C110" s="90">
        <v>-43.533099999999997</v>
      </c>
    </row>
    <row r="111" spans="1:3" hidden="1">
      <c r="A111" s="90" t="s">
        <v>112</v>
      </c>
      <c r="B111" s="90">
        <v>-22.593800000000002</v>
      </c>
      <c r="C111" s="90">
        <v>-43.422499999999999</v>
      </c>
    </row>
    <row r="112" spans="1:3" hidden="1">
      <c r="A112" s="90" t="s">
        <v>113</v>
      </c>
      <c r="B112" s="90">
        <v>-22.7515</v>
      </c>
      <c r="C112" s="90">
        <v>-43.430599999999998</v>
      </c>
    </row>
    <row r="113" spans="1:3" hidden="1">
      <c r="A113" s="90" t="s">
        <v>114</v>
      </c>
      <c r="B113" s="90">
        <v>-22.777799999999999</v>
      </c>
      <c r="C113" s="90">
        <v>-43.397799999999997</v>
      </c>
    </row>
    <row r="114" spans="1:3" hidden="1">
      <c r="A114" s="90" t="s">
        <v>115</v>
      </c>
      <c r="B114" s="90">
        <v>-22.766500000000001</v>
      </c>
      <c r="C114" s="90">
        <v>-43.442900000000002</v>
      </c>
    </row>
    <row r="115" spans="1:3" hidden="1">
      <c r="A115" s="90" t="s">
        <v>116</v>
      </c>
      <c r="B115" s="90">
        <v>-22.712399999999999</v>
      </c>
      <c r="C115" s="90">
        <v>-43.547800000000002</v>
      </c>
    </row>
    <row r="116" spans="1:3" hidden="1">
      <c r="A116" s="90" t="s">
        <v>117</v>
      </c>
      <c r="B116" s="90">
        <v>-22.730499999999999</v>
      </c>
      <c r="C116" s="90">
        <v>-43.520499999999998</v>
      </c>
    </row>
    <row r="117" spans="1:3" hidden="1">
      <c r="A117" s="90" t="s">
        <v>118</v>
      </c>
      <c r="B117" s="90">
        <v>-22.762</v>
      </c>
      <c r="C117" s="90">
        <v>-43.483600000000003</v>
      </c>
    </row>
    <row r="118" spans="1:3" hidden="1">
      <c r="A118" s="90" t="s">
        <v>119</v>
      </c>
      <c r="B118" s="90">
        <v>-22.691800000000001</v>
      </c>
      <c r="C118" s="90">
        <v>-43.563099999999999</v>
      </c>
    </row>
    <row r="119" spans="1:3" hidden="1">
      <c r="A119" s="90" t="s">
        <v>120</v>
      </c>
      <c r="B119" s="90">
        <v>-22.696899999999999</v>
      </c>
      <c r="C119" s="90">
        <v>-43.558199999999999</v>
      </c>
    </row>
    <row r="120" spans="1:3" hidden="1">
      <c r="A120" s="90" t="s">
        <v>121</v>
      </c>
      <c r="B120" s="90">
        <v>-22.694299999999998</v>
      </c>
      <c r="C120" s="90">
        <v>-43.557299999999998</v>
      </c>
    </row>
    <row r="121" spans="1:3" hidden="1">
      <c r="A121" s="90" t="s">
        <v>122</v>
      </c>
      <c r="B121" s="90">
        <v>-22.6419</v>
      </c>
      <c r="C121" s="90">
        <v>-43.654600000000002</v>
      </c>
    </row>
    <row r="122" spans="1:3" hidden="1">
      <c r="A122" s="90" t="s">
        <v>123</v>
      </c>
      <c r="B122" s="90">
        <v>-22.681999999999999</v>
      </c>
      <c r="C122" s="90">
        <v>-43.604900000000001</v>
      </c>
    </row>
    <row r="123" spans="1:3" hidden="1">
      <c r="A123" s="90" t="s">
        <v>124</v>
      </c>
      <c r="B123" s="90">
        <v>-22.7027</v>
      </c>
      <c r="C123" s="90">
        <v>-43.558999999999997</v>
      </c>
    </row>
    <row r="124" spans="1:3" hidden="1">
      <c r="A124" s="90" t="s">
        <v>125</v>
      </c>
      <c r="B124" s="90">
        <v>-22.706299999999999</v>
      </c>
      <c r="C124" s="90">
        <v>-43.582500000000003</v>
      </c>
    </row>
    <row r="125" spans="1:3" hidden="1">
      <c r="A125" s="90" t="s">
        <v>126</v>
      </c>
      <c r="B125" s="90">
        <v>-22.694299999999998</v>
      </c>
      <c r="C125" s="90">
        <v>-43.458399999999997</v>
      </c>
    </row>
    <row r="126" spans="1:3" hidden="1">
      <c r="A126" s="90" t="s">
        <v>127</v>
      </c>
      <c r="B126" s="90">
        <v>-22.729500000000002</v>
      </c>
      <c r="C126" s="90">
        <v>-43.508899999999997</v>
      </c>
    </row>
    <row r="127" spans="1:3" hidden="1">
      <c r="A127" s="90" t="s">
        <v>128</v>
      </c>
      <c r="B127" s="90">
        <v>-22.7759</v>
      </c>
      <c r="C127" s="90">
        <v>-43.531500000000001</v>
      </c>
    </row>
    <row r="128" spans="1:3" hidden="1">
      <c r="A128" s="90" t="s">
        <v>129</v>
      </c>
      <c r="B128" s="90">
        <v>-22.7896</v>
      </c>
      <c r="C128" s="90">
        <v>-43.438299999999998</v>
      </c>
    </row>
    <row r="129" spans="1:3" hidden="1">
      <c r="A129" s="90" t="s">
        <v>130</v>
      </c>
      <c r="B129" s="90">
        <v>-22.7348</v>
      </c>
      <c r="C129" s="90">
        <v>-43.418900000000001</v>
      </c>
    </row>
    <row r="130" spans="1:3" hidden="1">
      <c r="A130" s="90" t="s">
        <v>131</v>
      </c>
      <c r="B130" s="90">
        <v>-22.759599999999999</v>
      </c>
      <c r="C130" s="90">
        <v>-43.445500000000003</v>
      </c>
    </row>
    <row r="131" spans="1:3" hidden="1">
      <c r="A131" s="90" t="s">
        <v>132</v>
      </c>
      <c r="B131" s="90">
        <v>-22.705100000000002</v>
      </c>
      <c r="C131" s="90">
        <v>-43.555500000000002</v>
      </c>
    </row>
    <row r="132" spans="1:3" hidden="1">
      <c r="A132" s="90" t="s">
        <v>133</v>
      </c>
      <c r="B132" s="90">
        <v>-22.7211</v>
      </c>
      <c r="C132" s="90">
        <v>-43.551600000000001</v>
      </c>
    </row>
    <row r="133" spans="1:3" hidden="1">
      <c r="A133" s="90" t="s">
        <v>134</v>
      </c>
      <c r="B133" s="90">
        <v>-22.672999999999998</v>
      </c>
      <c r="C133" s="90">
        <v>-43.582599999999999</v>
      </c>
    </row>
    <row r="134" spans="1:3" hidden="1">
      <c r="A134" s="90" t="s">
        <v>135</v>
      </c>
      <c r="B134" s="90">
        <v>-22.693200000000001</v>
      </c>
      <c r="C134" s="90">
        <v>-43.558100000000003</v>
      </c>
    </row>
    <row r="135" spans="1:3" hidden="1">
      <c r="A135" s="90" t="s">
        <v>136</v>
      </c>
      <c r="B135" s="90">
        <v>-22.723400000000002</v>
      </c>
      <c r="C135" s="90">
        <v>-43.525799999999997</v>
      </c>
    </row>
    <row r="136" spans="1:3" hidden="1">
      <c r="A136" s="90" t="s">
        <v>137</v>
      </c>
      <c r="B136" s="90">
        <v>-22.700900000000001</v>
      </c>
      <c r="C136" s="90">
        <v>-43.464500000000001</v>
      </c>
    </row>
    <row r="137" spans="1:3" hidden="1">
      <c r="A137" s="90" t="s">
        <v>138</v>
      </c>
      <c r="B137" s="90">
        <v>-22.716799999999999</v>
      </c>
      <c r="C137" s="90">
        <v>-43.427300000000002</v>
      </c>
    </row>
    <row r="138" spans="1:3" hidden="1">
      <c r="A138" s="90" t="s">
        <v>139</v>
      </c>
      <c r="B138" s="90">
        <v>-22.763100000000001</v>
      </c>
      <c r="C138" s="90">
        <v>-43.453099999999999</v>
      </c>
    </row>
    <row r="139" spans="1:3" hidden="1">
      <c r="A139" s="90" t="s">
        <v>140</v>
      </c>
      <c r="B139" s="90">
        <v>-22.734200000000001</v>
      </c>
      <c r="C139" s="90">
        <v>-43.465800000000002</v>
      </c>
    </row>
    <row r="140" spans="1:3" hidden="1">
      <c r="A140" s="90" t="s">
        <v>141</v>
      </c>
      <c r="B140" s="90">
        <v>-22.820699999999999</v>
      </c>
      <c r="C140" s="90">
        <v>-43.407200000000003</v>
      </c>
    </row>
    <row r="141" spans="1:3" hidden="1">
      <c r="A141" s="90" t="s">
        <v>142</v>
      </c>
      <c r="B141" s="90">
        <v>-22.735099999999999</v>
      </c>
      <c r="C141" s="90">
        <v>-43.459099999999999</v>
      </c>
    </row>
    <row r="142" spans="1:3" hidden="1">
      <c r="A142" s="90" t="s">
        <v>143</v>
      </c>
      <c r="B142" s="90">
        <v>-22.7075</v>
      </c>
      <c r="C142" s="90">
        <v>-43.628700000000002</v>
      </c>
    </row>
    <row r="143" spans="1:3" hidden="1">
      <c r="A143" s="90" t="s">
        <v>144</v>
      </c>
      <c r="B143" s="90">
        <v>-22.762699999999999</v>
      </c>
      <c r="C143" s="90">
        <v>-43.486199999999997</v>
      </c>
    </row>
    <row r="144" spans="1:3" hidden="1">
      <c r="A144" s="90" t="s">
        <v>145</v>
      </c>
      <c r="B144" s="90">
        <v>-22.760100000000001</v>
      </c>
      <c r="C144" s="90">
        <v>-43.436700000000002</v>
      </c>
    </row>
    <row r="145" spans="1:3" hidden="1">
      <c r="A145" s="90" t="s">
        <v>146</v>
      </c>
      <c r="B145" s="90">
        <v>-22.822600000000001</v>
      </c>
      <c r="C145" s="90">
        <v>-43.420200000000001</v>
      </c>
    </row>
    <row r="146" spans="1:3" hidden="1">
      <c r="A146" s="90" t="s">
        <v>147</v>
      </c>
      <c r="B146" s="90">
        <v>-22.738600000000002</v>
      </c>
      <c r="C146" s="90">
        <v>-43.4343</v>
      </c>
    </row>
    <row r="147" spans="1:3" hidden="1">
      <c r="A147" s="90" t="s">
        <v>148</v>
      </c>
      <c r="B147" s="90">
        <v>-22.810400000000001</v>
      </c>
      <c r="C147" s="90">
        <v>-43.404400000000003</v>
      </c>
    </row>
    <row r="148" spans="1:3" hidden="1">
      <c r="A148" s="90" t="s">
        <v>149</v>
      </c>
      <c r="B148" s="90">
        <v>-22.8018</v>
      </c>
      <c r="C148" s="90">
        <v>-43.405200000000001</v>
      </c>
    </row>
    <row r="149" spans="1:3" hidden="1">
      <c r="A149" s="90" t="s">
        <v>150</v>
      </c>
      <c r="B149" s="90">
        <v>-22.763999999999999</v>
      </c>
      <c r="C149" s="90">
        <v>-43.438499999999998</v>
      </c>
    </row>
    <row r="150" spans="1:3" hidden="1">
      <c r="A150" s="90" t="s">
        <v>151</v>
      </c>
      <c r="B150" s="90">
        <v>-22.7776</v>
      </c>
      <c r="C150" s="90">
        <v>-43.4193</v>
      </c>
    </row>
    <row r="151" spans="1:3" hidden="1">
      <c r="A151" s="90" t="s">
        <v>152</v>
      </c>
      <c r="B151" s="90">
        <v>-22.730599999999999</v>
      </c>
      <c r="C151" s="90">
        <v>-43.514600000000002</v>
      </c>
    </row>
    <row r="152" spans="1:3" hidden="1">
      <c r="A152" s="90" t="s">
        <v>153</v>
      </c>
      <c r="B152" s="90">
        <v>-22.814699999999998</v>
      </c>
      <c r="C152" s="90">
        <v>-43.415900000000001</v>
      </c>
    </row>
    <row r="153" spans="1:3" hidden="1">
      <c r="A153" s="90" t="s">
        <v>154</v>
      </c>
      <c r="B153" s="90">
        <v>-22.709599999999998</v>
      </c>
      <c r="C153" s="90">
        <v>-43.428699999999999</v>
      </c>
    </row>
    <row r="154" spans="1:3" hidden="1">
      <c r="A154" s="90" t="s">
        <v>155</v>
      </c>
      <c r="B154" s="90">
        <v>-22.806100000000001</v>
      </c>
      <c r="C154" s="90">
        <v>-43.415199999999999</v>
      </c>
    </row>
    <row r="155" spans="1:3" hidden="1">
      <c r="A155" s="90" t="s">
        <v>156</v>
      </c>
      <c r="B155" s="90">
        <v>-22.752800000000001</v>
      </c>
      <c r="C155" s="90">
        <v>-43.518900000000002</v>
      </c>
    </row>
    <row r="156" spans="1:3" hidden="1">
      <c r="A156" s="90" t="s">
        <v>157</v>
      </c>
      <c r="B156" s="90">
        <v>-22.719000000000001</v>
      </c>
      <c r="C156" s="90">
        <v>-43.5184</v>
      </c>
    </row>
    <row r="157" spans="1:3" hidden="1">
      <c r="A157" s="90" t="s">
        <v>158</v>
      </c>
      <c r="B157" s="90">
        <v>-22.779199999999999</v>
      </c>
      <c r="C157" s="90">
        <v>-43.424700000000001</v>
      </c>
    </row>
    <row r="158" spans="1:3" hidden="1">
      <c r="A158" s="90" t="s">
        <v>159</v>
      </c>
      <c r="B158" s="90">
        <v>-22.728400000000001</v>
      </c>
      <c r="C158" s="90">
        <v>-43.443300000000001</v>
      </c>
    </row>
    <row r="159" spans="1:3" hidden="1">
      <c r="A159" s="90" t="s">
        <v>160</v>
      </c>
      <c r="B159" s="90">
        <v>-22.815200000000001</v>
      </c>
      <c r="C159" s="90">
        <v>-43.396700000000003</v>
      </c>
    </row>
    <row r="160" spans="1:3" hidden="1">
      <c r="A160" s="90" t="s">
        <v>161</v>
      </c>
      <c r="B160" s="90">
        <v>-22.7788</v>
      </c>
      <c r="C160" s="90">
        <v>-43.412199999999999</v>
      </c>
    </row>
    <row r="161" spans="1:3" hidden="1">
      <c r="A161" s="90" t="s">
        <v>162</v>
      </c>
      <c r="B161" s="90">
        <v>-22.813700000000001</v>
      </c>
      <c r="C161" s="90">
        <v>-43.394500000000001</v>
      </c>
    </row>
    <row r="162" spans="1:3" hidden="1">
      <c r="A162" s="90" t="s">
        <v>163</v>
      </c>
      <c r="B162" s="90">
        <v>-22.7392</v>
      </c>
      <c r="C162" s="90">
        <v>-43.497500000000002</v>
      </c>
    </row>
    <row r="163" spans="1:3" hidden="1">
      <c r="A163" s="90" t="s">
        <v>164</v>
      </c>
      <c r="B163" s="90">
        <v>-22.7287</v>
      </c>
      <c r="C163" s="90">
        <v>-43.461300000000001</v>
      </c>
    </row>
    <row r="164" spans="1:3" hidden="1">
      <c r="A164" s="90" t="s">
        <v>165</v>
      </c>
      <c r="B164" s="90">
        <v>-22.7319</v>
      </c>
      <c r="C164" s="90">
        <v>-43.461100000000002</v>
      </c>
    </row>
    <row r="165" spans="1:3" hidden="1">
      <c r="A165" s="90" t="s">
        <v>166</v>
      </c>
      <c r="B165" s="90">
        <v>-22.763999999999999</v>
      </c>
      <c r="C165" s="90">
        <v>-43.448900000000002</v>
      </c>
    </row>
    <row r="166" spans="1:3" hidden="1">
      <c r="A166" s="90" t="s">
        <v>167</v>
      </c>
      <c r="B166" s="90">
        <v>-22.648700000000002</v>
      </c>
      <c r="C166" s="90">
        <v>-43.656799999999997</v>
      </c>
    </row>
    <row r="167" spans="1:3" hidden="1">
      <c r="A167" s="90" t="s">
        <v>168</v>
      </c>
      <c r="B167" s="90">
        <v>-22.644400000000001</v>
      </c>
      <c r="C167" s="90">
        <v>-43.6676</v>
      </c>
    </row>
    <row r="168" spans="1:3" hidden="1">
      <c r="A168" s="90" t="s">
        <v>169</v>
      </c>
      <c r="B168" s="90">
        <v>-22.650500000000001</v>
      </c>
      <c r="C168" s="90">
        <v>-43.650700000000001</v>
      </c>
    </row>
    <row r="169" spans="1:3" hidden="1">
      <c r="A169" s="90" t="s">
        <v>170</v>
      </c>
      <c r="B169" s="90">
        <v>-22.805</v>
      </c>
      <c r="C169" s="90">
        <v>-43.402799999999999</v>
      </c>
    </row>
    <row r="170" spans="1:3" hidden="1">
      <c r="A170" s="90" t="s">
        <v>171</v>
      </c>
      <c r="B170" s="90">
        <v>-22.6419</v>
      </c>
      <c r="C170" s="90">
        <v>-43.655299999999997</v>
      </c>
    </row>
    <row r="171" spans="1:3" hidden="1">
      <c r="A171" s="90" t="s">
        <v>172</v>
      </c>
      <c r="B171" s="90">
        <v>-22.7272</v>
      </c>
      <c r="C171" s="90">
        <v>-43.520699999999998</v>
      </c>
    </row>
    <row r="172" spans="1:3" hidden="1">
      <c r="A172" s="90" t="s">
        <v>173</v>
      </c>
      <c r="B172" s="90">
        <v>-22.681999999999999</v>
      </c>
      <c r="C172" s="90">
        <v>-43.604799999999997</v>
      </c>
    </row>
    <row r="173" spans="1:3" hidden="1">
      <c r="A173" s="90" t="s">
        <v>174</v>
      </c>
      <c r="B173" s="90">
        <v>-22.7515</v>
      </c>
      <c r="C173" s="90">
        <v>-43.436500000000002</v>
      </c>
    </row>
    <row r="174" spans="1:3" hidden="1">
      <c r="A174" s="90" t="s">
        <v>175</v>
      </c>
      <c r="B174" s="90">
        <v>-22.756699999999999</v>
      </c>
      <c r="C174" s="90">
        <v>-43.420699999999997</v>
      </c>
    </row>
    <row r="175" spans="1:3" hidden="1">
      <c r="A175" s="90" t="s">
        <v>176</v>
      </c>
      <c r="B175" s="90">
        <v>-22.673100000000002</v>
      </c>
      <c r="C175" s="90">
        <v>-43.611199999999997</v>
      </c>
    </row>
    <row r="176" spans="1:3" hidden="1">
      <c r="A176" s="90" t="s">
        <v>177</v>
      </c>
      <c r="B176" s="90">
        <v>-22.736000000000001</v>
      </c>
      <c r="C176" s="90">
        <v>-43.478200000000001</v>
      </c>
    </row>
    <row r="177" spans="1:3" hidden="1">
      <c r="A177" s="90" t="s">
        <v>178</v>
      </c>
      <c r="B177" s="90">
        <v>-22.7027</v>
      </c>
      <c r="C177" s="90">
        <v>-43.431100000000001</v>
      </c>
    </row>
    <row r="178" spans="1:3" hidden="1">
      <c r="A178" s="90" t="s">
        <v>179</v>
      </c>
      <c r="B178" s="90">
        <v>-22.763999999999999</v>
      </c>
      <c r="C178" s="90">
        <v>-43.536999999999999</v>
      </c>
    </row>
    <row r="179" spans="1:3" hidden="1">
      <c r="A179" s="90" t="s">
        <v>180</v>
      </c>
      <c r="B179" s="90">
        <v>-22.815300000000001</v>
      </c>
      <c r="C179" s="90">
        <v>-43.401000000000003</v>
      </c>
    </row>
    <row r="180" spans="1:3" hidden="1">
      <c r="A180" s="90" t="s">
        <v>181</v>
      </c>
      <c r="B180" s="90">
        <v>-22.761299999999999</v>
      </c>
      <c r="C180" s="90">
        <v>-43.456000000000003</v>
      </c>
    </row>
    <row r="181" spans="1:3" hidden="1">
      <c r="A181" s="90" t="s">
        <v>182</v>
      </c>
      <c r="B181" s="90">
        <v>-22.718</v>
      </c>
      <c r="C181" s="90">
        <v>-43.5471</v>
      </c>
    </row>
    <row r="182" spans="1:3" hidden="1">
      <c r="A182" s="90" t="s">
        <v>183</v>
      </c>
      <c r="B182" s="90">
        <v>-22.700199999999999</v>
      </c>
      <c r="C182" s="90">
        <v>-43.569400000000002</v>
      </c>
    </row>
    <row r="183" spans="1:3" hidden="1">
      <c r="A183" s="90" t="s">
        <v>184</v>
      </c>
      <c r="B183" s="90">
        <v>-22.7254</v>
      </c>
      <c r="C183" s="90">
        <v>-43.554299999999998</v>
      </c>
    </row>
    <row r="184" spans="1:3" hidden="1">
      <c r="A184" s="90" t="s">
        <v>185</v>
      </c>
      <c r="B184" s="90">
        <v>-22.723800000000001</v>
      </c>
      <c r="C184" s="90">
        <v>-43.53</v>
      </c>
    </row>
    <row r="185" spans="1:3" hidden="1">
      <c r="A185" s="90" t="s">
        <v>186</v>
      </c>
      <c r="B185" s="90">
        <v>-22.711500000000001</v>
      </c>
      <c r="C185" s="90">
        <v>-43.554000000000002</v>
      </c>
    </row>
    <row r="186" spans="1:3" hidden="1">
      <c r="A186" s="90" t="s">
        <v>187</v>
      </c>
      <c r="B186" s="90">
        <v>-22.733799999999999</v>
      </c>
      <c r="C186" s="90">
        <v>-43.4664</v>
      </c>
    </row>
    <row r="187" spans="1:3" hidden="1">
      <c r="A187" s="90" t="s">
        <v>188</v>
      </c>
      <c r="B187" s="90">
        <v>-22.723700000000001</v>
      </c>
      <c r="C187" s="90">
        <v>-43.557099999999998</v>
      </c>
    </row>
    <row r="188" spans="1:3" hidden="1">
      <c r="A188" s="90" t="s">
        <v>189</v>
      </c>
      <c r="B188" s="90">
        <v>-22.704000000000001</v>
      </c>
      <c r="C188" s="90">
        <v>-43.552900000000001</v>
      </c>
    </row>
    <row r="189" spans="1:3" hidden="1">
      <c r="A189" s="90" t="s">
        <v>190</v>
      </c>
      <c r="B189" s="90">
        <v>-22.715699999999998</v>
      </c>
      <c r="C189" s="90">
        <v>-43.560200000000002</v>
      </c>
    </row>
    <row r="190" spans="1:3" hidden="1">
      <c r="A190" s="90" t="s">
        <v>191</v>
      </c>
      <c r="B190" s="90">
        <v>-22.7029</v>
      </c>
      <c r="C190" s="90">
        <v>-43.5334</v>
      </c>
    </row>
    <row r="191" spans="1:3" hidden="1">
      <c r="A191" s="90" t="s">
        <v>192</v>
      </c>
      <c r="B191" s="90">
        <v>-22.708500000000001</v>
      </c>
      <c r="C191" s="90">
        <v>-43.555</v>
      </c>
    </row>
    <row r="192" spans="1:3" hidden="1">
      <c r="A192" s="90" t="s">
        <v>193</v>
      </c>
      <c r="B192" s="90">
        <v>-22.803999999999998</v>
      </c>
      <c r="C192" s="90">
        <v>-43.440800000000003</v>
      </c>
    </row>
    <row r="193" spans="1:3" hidden="1">
      <c r="A193" s="90" t="s">
        <v>194</v>
      </c>
      <c r="B193" s="90">
        <v>-22.685500000000001</v>
      </c>
      <c r="C193" s="90">
        <v>-43.446899999999999</v>
      </c>
    </row>
    <row r="194" spans="1:3" hidden="1">
      <c r="A194" s="90" t="s">
        <v>195</v>
      </c>
      <c r="B194" s="90">
        <v>-22.701799999999999</v>
      </c>
      <c r="C194" s="90">
        <v>-43.431199999999997</v>
      </c>
    </row>
    <row r="195" spans="1:3" hidden="1">
      <c r="A195" s="90" t="s">
        <v>196</v>
      </c>
      <c r="B195" s="90">
        <v>-22.770199999999999</v>
      </c>
      <c r="C195" s="90">
        <v>-43.435600000000001</v>
      </c>
    </row>
    <row r="196" spans="1:3" hidden="1">
      <c r="A196" s="90" t="s">
        <v>197</v>
      </c>
      <c r="B196" s="90">
        <v>-22.7227</v>
      </c>
      <c r="C196" s="90">
        <v>-43.552100000000003</v>
      </c>
    </row>
    <row r="197" spans="1:3" hidden="1">
      <c r="A197" s="90" t="s">
        <v>198</v>
      </c>
      <c r="B197" s="90">
        <v>-22.706800000000001</v>
      </c>
      <c r="C197" s="90">
        <v>-43.535699999999999</v>
      </c>
    </row>
    <row r="198" spans="1:3" hidden="1">
      <c r="A198" s="90" t="s">
        <v>199</v>
      </c>
      <c r="B198" s="90">
        <v>-22.742599999999999</v>
      </c>
      <c r="C198" s="90">
        <v>-43.445799999999998</v>
      </c>
    </row>
    <row r="199" spans="1:3" hidden="1">
      <c r="A199" s="90" t="s">
        <v>200</v>
      </c>
      <c r="B199" s="90">
        <v>-22.761700000000001</v>
      </c>
      <c r="C199" s="90">
        <v>-43.4529</v>
      </c>
    </row>
    <row r="200" spans="1:3" hidden="1">
      <c r="A200" s="90" t="s">
        <v>201</v>
      </c>
      <c r="B200" s="90">
        <v>-22.7121</v>
      </c>
      <c r="C200" s="90">
        <v>-43.551600000000001</v>
      </c>
    </row>
    <row r="201" spans="1:3" hidden="1">
      <c r="A201" s="90" t="s">
        <v>202</v>
      </c>
      <c r="B201" s="90">
        <v>-22.717199999999998</v>
      </c>
      <c r="C201" s="90">
        <v>-43.581899999999997</v>
      </c>
    </row>
    <row r="202" spans="1:3" hidden="1">
      <c r="A202" s="90" t="s">
        <v>203</v>
      </c>
      <c r="B202" s="90">
        <v>-22.7684</v>
      </c>
      <c r="C202" s="90">
        <v>-43.506799999999998</v>
      </c>
    </row>
    <row r="203" spans="1:3" hidden="1">
      <c r="A203" s="90" t="s">
        <v>204</v>
      </c>
      <c r="B203" s="90">
        <v>-22.772300000000001</v>
      </c>
      <c r="C203" s="90">
        <v>-43.514499999999998</v>
      </c>
    </row>
    <row r="204" spans="1:3" hidden="1">
      <c r="A204" s="90" t="s">
        <v>205</v>
      </c>
      <c r="B204" s="90">
        <v>-22.722999999999999</v>
      </c>
      <c r="C204" s="90">
        <v>-43.435600000000001</v>
      </c>
    </row>
    <row r="205" spans="1:3" hidden="1">
      <c r="A205" s="90" t="s">
        <v>206</v>
      </c>
      <c r="B205" s="90">
        <v>-22.659400000000002</v>
      </c>
      <c r="C205" s="90">
        <v>-43.4876</v>
      </c>
    </row>
    <row r="206" spans="1:3" hidden="1">
      <c r="A206" s="90" t="s">
        <v>207</v>
      </c>
      <c r="B206" s="90">
        <v>-22.723700000000001</v>
      </c>
      <c r="C206" s="90">
        <v>-43.4358</v>
      </c>
    </row>
    <row r="207" spans="1:3" hidden="1">
      <c r="A207" s="90" t="s">
        <v>208</v>
      </c>
      <c r="B207" s="90">
        <v>-22.6447</v>
      </c>
      <c r="C207" s="90">
        <v>-43.657699999999998</v>
      </c>
    </row>
    <row r="208" spans="1:3" hidden="1">
      <c r="A208" s="90" t="s">
        <v>209</v>
      </c>
      <c r="B208" s="90">
        <v>-22.7805</v>
      </c>
      <c r="C208" s="90">
        <v>-43.436100000000003</v>
      </c>
    </row>
    <row r="209" spans="1:3" hidden="1">
      <c r="A209" s="90" t="s">
        <v>210</v>
      </c>
      <c r="B209" s="90">
        <v>-22.831199999999999</v>
      </c>
      <c r="C209" s="90">
        <v>-43.600900000000003</v>
      </c>
    </row>
    <row r="210" spans="1:3" hidden="1">
      <c r="A210" s="90" t="s">
        <v>211</v>
      </c>
      <c r="B210" s="90">
        <v>-22.8127</v>
      </c>
      <c r="C210" s="90">
        <v>-43.4116</v>
      </c>
    </row>
    <row r="211" spans="1:3" hidden="1">
      <c r="A211" s="90" t="s">
        <v>212</v>
      </c>
      <c r="B211" s="90">
        <v>-22.738800000000001</v>
      </c>
      <c r="C211" s="90">
        <v>-43.455100000000002</v>
      </c>
    </row>
    <row r="212" spans="1:3" hidden="1">
      <c r="A212" s="90" t="s">
        <v>213</v>
      </c>
      <c r="B212" s="90">
        <v>-22.8035</v>
      </c>
      <c r="C212" s="90">
        <v>-43.408099999999997</v>
      </c>
    </row>
    <row r="213" spans="1:3" hidden="1">
      <c r="A213" s="90" t="s">
        <v>214</v>
      </c>
      <c r="B213" s="90">
        <v>-22.8171</v>
      </c>
      <c r="C213" s="90">
        <v>-43.416800000000002</v>
      </c>
    </row>
    <row r="214" spans="1:3" hidden="1">
      <c r="A214" s="90" t="s">
        <v>215</v>
      </c>
      <c r="B214" s="90">
        <v>-22.777699999999999</v>
      </c>
      <c r="C214" s="90">
        <v>-43.414900000000003</v>
      </c>
    </row>
    <row r="215" spans="1:3" hidden="1">
      <c r="A215" s="90" t="s">
        <v>216</v>
      </c>
      <c r="B215" s="90">
        <v>-22.778700000000001</v>
      </c>
      <c r="C215" s="90">
        <v>-43.528799999999997</v>
      </c>
    </row>
    <row r="216" spans="1:3" hidden="1">
      <c r="A216" s="90" t="s">
        <v>217</v>
      </c>
      <c r="B216" s="90">
        <v>-22.781300000000002</v>
      </c>
      <c r="C216" s="90">
        <v>-43.416699999999999</v>
      </c>
    </row>
    <row r="217" spans="1:3" hidden="1">
      <c r="A217" s="90" t="s">
        <v>218</v>
      </c>
      <c r="B217" s="90">
        <v>-22.768899999999999</v>
      </c>
      <c r="C217" s="90">
        <v>-43.416400000000003</v>
      </c>
    </row>
    <row r="218" spans="1:3" hidden="1">
      <c r="A218" s="90" t="s">
        <v>219</v>
      </c>
      <c r="B218" s="90">
        <v>-22.857700000000001</v>
      </c>
      <c r="C218" s="90">
        <v>-43.597999999999999</v>
      </c>
    </row>
    <row r="219" spans="1:3" hidden="1">
      <c r="A219" s="90" t="s">
        <v>220</v>
      </c>
      <c r="B219" s="90">
        <v>-22.693200000000001</v>
      </c>
      <c r="C219" s="90">
        <v>-43.459600000000002</v>
      </c>
    </row>
    <row r="220" spans="1:3" hidden="1">
      <c r="A220" s="90" t="s">
        <v>221</v>
      </c>
      <c r="B220" s="90">
        <v>-22.848800000000001</v>
      </c>
      <c r="C220" s="90">
        <v>-43.608499999999999</v>
      </c>
    </row>
    <row r="221" spans="1:3" hidden="1">
      <c r="A221" s="90" t="s">
        <v>222</v>
      </c>
      <c r="B221" s="90">
        <v>-22.851400000000002</v>
      </c>
      <c r="C221" s="90">
        <v>-43.606499999999997</v>
      </c>
    </row>
    <row r="222" spans="1:3" hidden="1">
      <c r="A222" s="90" t="s">
        <v>223</v>
      </c>
      <c r="B222" s="90">
        <v>-22.852699999999999</v>
      </c>
      <c r="C222" s="90">
        <v>-43.604100000000003</v>
      </c>
    </row>
    <row r="223" spans="1:3" hidden="1">
      <c r="A223" s="90" t="s">
        <v>224</v>
      </c>
      <c r="B223" s="90">
        <v>-22.833400000000001</v>
      </c>
      <c r="C223" s="90">
        <v>-43.608400000000003</v>
      </c>
    </row>
    <row r="224" spans="1:3" hidden="1">
      <c r="A224" s="90" t="s">
        <v>225</v>
      </c>
      <c r="B224" s="90">
        <v>-22.839400000000001</v>
      </c>
      <c r="C224" s="90">
        <v>-43.606099999999998</v>
      </c>
    </row>
    <row r="225" spans="1:3" hidden="1">
      <c r="A225" s="90" t="s">
        <v>226</v>
      </c>
      <c r="B225" s="90">
        <v>-22.789200000000001</v>
      </c>
      <c r="C225" s="90">
        <v>-43.4099</v>
      </c>
    </row>
    <row r="226" spans="1:3">
      <c r="A226" s="90" t="s">
        <v>227</v>
      </c>
      <c r="B226" s="90"/>
      <c r="C226" s="90">
        <v>-43.427300000000002</v>
      </c>
    </row>
    <row r="227" spans="1:3" hidden="1">
      <c r="A227" s="90" t="s">
        <v>228</v>
      </c>
      <c r="B227" s="90">
        <v>-22.779199999999999</v>
      </c>
      <c r="C227" s="90">
        <v>-43.433</v>
      </c>
    </row>
    <row r="228" spans="1:3" hidden="1">
      <c r="A228" s="90" t="s">
        <v>229</v>
      </c>
      <c r="B228" s="90">
        <v>-22.782800000000002</v>
      </c>
      <c r="C228" s="90">
        <v>-43.433</v>
      </c>
    </row>
    <row r="229" spans="1:3" hidden="1">
      <c r="A229" s="90" t="s">
        <v>230</v>
      </c>
      <c r="B229" s="90">
        <v>-22.796199999999999</v>
      </c>
      <c r="C229" s="90">
        <v>-43.591200000000001</v>
      </c>
    </row>
    <row r="230" spans="1:3" hidden="1">
      <c r="A230" s="90" t="s">
        <v>231</v>
      </c>
      <c r="B230" s="90">
        <v>-22.802700000000002</v>
      </c>
      <c r="C230" s="90">
        <v>-43.5901</v>
      </c>
    </row>
    <row r="231" spans="1:3" hidden="1">
      <c r="A231" s="90" t="s">
        <v>232</v>
      </c>
      <c r="B231" s="90">
        <v>-22.782800000000002</v>
      </c>
      <c r="C231" s="90">
        <v>-43.430199999999999</v>
      </c>
    </row>
    <row r="232" spans="1:3" hidden="1">
      <c r="A232" s="90" t="s">
        <v>233</v>
      </c>
      <c r="B232" s="90">
        <v>-22.643999999999998</v>
      </c>
      <c r="C232" s="90">
        <v>-43.656500000000001</v>
      </c>
    </row>
    <row r="233" spans="1:3" hidden="1">
      <c r="A233" s="90" t="s">
        <v>234</v>
      </c>
      <c r="B233" s="90">
        <v>-22.8095</v>
      </c>
      <c r="C233" s="90">
        <v>-43.415799999999997</v>
      </c>
    </row>
    <row r="234" spans="1:3" hidden="1">
      <c r="A234" s="90" t="s">
        <v>235</v>
      </c>
      <c r="B234" s="90">
        <v>-22.715399999999999</v>
      </c>
      <c r="C234" s="90">
        <v>-43.556899999999999</v>
      </c>
    </row>
    <row r="235" spans="1:3" hidden="1">
      <c r="A235" s="90" t="s">
        <v>236</v>
      </c>
      <c r="B235" s="90">
        <v>-22.811299999999999</v>
      </c>
      <c r="C235" s="90">
        <v>-43.4101</v>
      </c>
    </row>
  </sheetData>
  <autoFilter ref="A1:C235" xr:uid="{61AA1B44-3FB5-48B1-93AF-FC7909C5DEE3}">
    <filterColumn colId="0">
      <filters>
        <filter val="PL-RJB-EEE0073"/>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FC838-57FC-4A1F-B147-12C7F8236652}">
  <dimension ref="B1:K30"/>
  <sheetViews>
    <sheetView workbookViewId="0">
      <selection activeCell="D16" sqref="D16"/>
    </sheetView>
  </sheetViews>
  <sheetFormatPr defaultRowHeight="14.45"/>
  <cols>
    <col min="1" max="1" width="1.5703125" customWidth="1"/>
    <col min="2" max="2" width="20.5703125" customWidth="1"/>
    <col min="3" max="3" width="16.140625" customWidth="1"/>
    <col min="4" max="4" width="20.42578125" bestFit="1" customWidth="1"/>
    <col min="5" max="5" width="20.42578125" customWidth="1"/>
    <col min="6" max="6" width="16" customWidth="1"/>
    <col min="7" max="7" width="20.140625" customWidth="1"/>
    <col min="8" max="8" width="6.5703125" bestFit="1" customWidth="1"/>
    <col min="9" max="9" width="20.140625" customWidth="1"/>
    <col min="10" max="10" width="20.5703125" bestFit="1" customWidth="1"/>
    <col min="11" max="11" width="48.42578125" customWidth="1"/>
  </cols>
  <sheetData>
    <row r="1" spans="2:11">
      <c r="B1" s="78" t="s">
        <v>237</v>
      </c>
      <c r="C1" s="77" t="s">
        <v>238</v>
      </c>
      <c r="D1" s="78" t="s">
        <v>239</v>
      </c>
      <c r="E1" s="78"/>
      <c r="F1" s="78" t="s">
        <v>240</v>
      </c>
      <c r="G1" s="78" t="s">
        <v>241</v>
      </c>
      <c r="H1" s="80" t="s">
        <v>242</v>
      </c>
      <c r="I1" s="80" t="s">
        <v>243</v>
      </c>
      <c r="J1" s="80" t="s">
        <v>244</v>
      </c>
      <c r="K1" s="80" t="s">
        <v>245</v>
      </c>
    </row>
    <row r="2" spans="2:11">
      <c r="B2" s="79" t="s">
        <v>239</v>
      </c>
      <c r="C2" s="81" t="s">
        <v>246</v>
      </c>
      <c r="D2" s="79" t="s">
        <v>247</v>
      </c>
      <c r="E2" s="79"/>
      <c r="F2" s="79" t="s">
        <v>248</v>
      </c>
      <c r="G2" s="82">
        <v>1421</v>
      </c>
    </row>
    <row r="3" spans="2:11">
      <c r="B3" s="79" t="s">
        <v>249</v>
      </c>
      <c r="C3" s="81" t="s">
        <v>246</v>
      </c>
      <c r="D3" s="79" t="s">
        <v>250</v>
      </c>
      <c r="E3" s="79"/>
      <c r="F3" s="79" t="s">
        <v>251</v>
      </c>
      <c r="G3" s="82">
        <v>24707</v>
      </c>
    </row>
    <row r="4" spans="2:11">
      <c r="B4" s="83" t="s">
        <v>249</v>
      </c>
      <c r="C4" s="84" t="s">
        <v>246</v>
      </c>
      <c r="D4" s="83" t="s">
        <v>252</v>
      </c>
      <c r="E4" s="83"/>
      <c r="F4" s="83" t="s">
        <v>251</v>
      </c>
      <c r="G4" s="82">
        <v>596</v>
      </c>
    </row>
    <row r="5" spans="2:11">
      <c r="B5" s="79" t="s">
        <v>249</v>
      </c>
      <c r="C5" s="81" t="s">
        <v>246</v>
      </c>
      <c r="D5" s="79" t="s">
        <v>253</v>
      </c>
      <c r="E5" s="79"/>
      <c r="F5" s="79" t="s">
        <v>254</v>
      </c>
      <c r="G5" s="82">
        <v>581</v>
      </c>
    </row>
    <row r="6" spans="2:11">
      <c r="B6" s="79" t="s">
        <v>255</v>
      </c>
      <c r="C6" s="81" t="s">
        <v>246</v>
      </c>
      <c r="D6" s="79" t="s">
        <v>256</v>
      </c>
      <c r="E6" s="79"/>
      <c r="F6" s="79" t="s">
        <v>248</v>
      </c>
      <c r="G6" s="82"/>
    </row>
    <row r="7" spans="2:11">
      <c r="B7" s="79" t="s">
        <v>255</v>
      </c>
      <c r="C7" s="81" t="s">
        <v>246</v>
      </c>
      <c r="D7" s="79" t="s">
        <v>257</v>
      </c>
      <c r="E7" s="79"/>
      <c r="F7" s="79" t="s">
        <v>248</v>
      </c>
      <c r="G7" s="82"/>
    </row>
    <row r="8" spans="2:11">
      <c r="B8" s="83" t="s">
        <v>249</v>
      </c>
      <c r="C8" s="84" t="s">
        <v>246</v>
      </c>
      <c r="D8" s="83" t="s">
        <v>258</v>
      </c>
      <c r="E8" s="83"/>
      <c r="F8" s="83" t="s">
        <v>248</v>
      </c>
      <c r="G8" s="82"/>
    </row>
    <row r="9" spans="2:11">
      <c r="B9" s="83" t="s">
        <v>255</v>
      </c>
      <c r="C9" s="84" t="s">
        <v>246</v>
      </c>
      <c r="D9" s="83" t="s">
        <v>259</v>
      </c>
      <c r="E9" s="83"/>
      <c r="F9" s="83" t="s">
        <v>248</v>
      </c>
      <c r="G9" s="82"/>
    </row>
    <row r="10" spans="2:11">
      <c r="B10" s="79" t="s">
        <v>255</v>
      </c>
      <c r="C10" s="81" t="s">
        <v>246</v>
      </c>
      <c r="D10" s="79" t="s">
        <v>260</v>
      </c>
      <c r="E10" s="79"/>
      <c r="F10" s="79" t="s">
        <v>254</v>
      </c>
      <c r="G10" s="82">
        <v>1642</v>
      </c>
    </row>
    <row r="11" spans="2:11">
      <c r="B11" s="83" t="s">
        <v>249</v>
      </c>
      <c r="C11" s="84" t="s">
        <v>246</v>
      </c>
      <c r="D11" s="83" t="s">
        <v>261</v>
      </c>
      <c r="E11" s="83"/>
      <c r="F11" s="83" t="s">
        <v>248</v>
      </c>
      <c r="G11" s="82"/>
    </row>
    <row r="12" spans="2:11">
      <c r="B12" s="83" t="s">
        <v>249</v>
      </c>
      <c r="C12" s="84" t="s">
        <v>246</v>
      </c>
      <c r="D12" s="83" t="s">
        <v>262</v>
      </c>
      <c r="E12" s="83"/>
      <c r="F12" s="83" t="s">
        <v>248</v>
      </c>
      <c r="G12" s="82">
        <v>3249</v>
      </c>
    </row>
    <row r="13" spans="2:11">
      <c r="B13" s="1"/>
      <c r="C13" s="84" t="s">
        <v>246</v>
      </c>
      <c r="D13" s="1" t="s">
        <v>263</v>
      </c>
      <c r="E13" s="1"/>
      <c r="F13" s="1"/>
      <c r="G13" s="1"/>
    </row>
    <row r="14" spans="2:11">
      <c r="B14" s="1"/>
      <c r="C14" s="84" t="s">
        <v>246</v>
      </c>
      <c r="D14" s="1" t="s">
        <v>264</v>
      </c>
      <c r="E14" s="1"/>
      <c r="F14" s="1"/>
      <c r="G14" s="1"/>
    </row>
    <row r="15" spans="2:11">
      <c r="B15" s="1"/>
      <c r="C15" s="84" t="s">
        <v>246</v>
      </c>
      <c r="D15" s="1" t="s">
        <v>265</v>
      </c>
      <c r="E15" s="1"/>
      <c r="F15" s="1"/>
      <c r="G15" s="1"/>
    </row>
    <row r="16" spans="2:11">
      <c r="B16" s="83" t="s">
        <v>249</v>
      </c>
      <c r="C16" s="84" t="s">
        <v>246</v>
      </c>
      <c r="D16" s="1" t="s">
        <v>266</v>
      </c>
      <c r="E16" s="1" t="s">
        <v>267</v>
      </c>
      <c r="F16" s="1"/>
      <c r="G16" s="1"/>
    </row>
    <row r="17" spans="2:7">
      <c r="B17" s="1"/>
      <c r="C17" s="84" t="s">
        <v>246</v>
      </c>
      <c r="D17" s="1" t="s">
        <v>268</v>
      </c>
      <c r="E17" s="1"/>
      <c r="F17" s="1"/>
      <c r="G17" s="1"/>
    </row>
    <row r="18" spans="2:7">
      <c r="B18" s="1"/>
      <c r="C18" s="84" t="s">
        <v>246</v>
      </c>
      <c r="D18" s="1" t="s">
        <v>269</v>
      </c>
      <c r="E18" s="1"/>
      <c r="F18" s="1"/>
      <c r="G18" s="1"/>
    </row>
    <row r="19" spans="2:7">
      <c r="B19" s="1" t="s">
        <v>270</v>
      </c>
      <c r="C19" s="84" t="s">
        <v>246</v>
      </c>
      <c r="D19" s="1" t="s">
        <v>271</v>
      </c>
      <c r="E19" s="1" t="s">
        <v>267</v>
      </c>
      <c r="F19" s="1"/>
      <c r="G19" s="1"/>
    </row>
    <row r="20" spans="2:7">
      <c r="B20" s="1"/>
      <c r="C20" s="84" t="s">
        <v>246</v>
      </c>
      <c r="D20" s="1" t="s">
        <v>272</v>
      </c>
      <c r="E20" s="1"/>
      <c r="F20" s="1"/>
      <c r="G20" s="1"/>
    </row>
    <row r="21" spans="2:7">
      <c r="B21" s="1" t="s">
        <v>270</v>
      </c>
      <c r="C21" s="84" t="s">
        <v>246</v>
      </c>
      <c r="D21" s="1" t="s">
        <v>273</v>
      </c>
      <c r="E21" s="1" t="s">
        <v>267</v>
      </c>
      <c r="F21" s="1"/>
      <c r="G21" s="1"/>
    </row>
    <row r="22" spans="2:7">
      <c r="B22" s="1"/>
      <c r="C22" s="84" t="s">
        <v>246</v>
      </c>
      <c r="D22" s="1" t="s">
        <v>274</v>
      </c>
      <c r="E22" s="1"/>
      <c r="F22" s="1"/>
      <c r="G22" s="1"/>
    </row>
    <row r="23" spans="2:7">
      <c r="B23" s="1"/>
      <c r="C23" s="84" t="s">
        <v>246</v>
      </c>
      <c r="D23" s="1" t="s">
        <v>275</v>
      </c>
      <c r="E23" s="1"/>
      <c r="F23" s="1"/>
      <c r="G23" s="1"/>
    </row>
    <row r="24" spans="2:7">
      <c r="B24" s="1"/>
      <c r="C24" s="84" t="s">
        <v>246</v>
      </c>
      <c r="D24" s="1" t="s">
        <v>276</v>
      </c>
      <c r="E24" s="1"/>
      <c r="F24" s="1"/>
      <c r="G24" s="1"/>
    </row>
    <row r="25" spans="2:7">
      <c r="B25" s="1"/>
      <c r="C25" s="84" t="s">
        <v>246</v>
      </c>
      <c r="D25" s="1" t="s">
        <v>277</v>
      </c>
      <c r="E25" s="1"/>
      <c r="F25" s="1"/>
      <c r="G25" s="1"/>
    </row>
    <row r="26" spans="2:7">
      <c r="B26" s="1"/>
      <c r="C26" s="84" t="s">
        <v>246</v>
      </c>
      <c r="D26" s="1" t="s">
        <v>278</v>
      </c>
      <c r="E26" s="1"/>
      <c r="F26" s="1"/>
      <c r="G26" s="1"/>
    </row>
    <row r="27" spans="2:7">
      <c r="B27" s="1"/>
      <c r="C27" s="84" t="s">
        <v>246</v>
      </c>
      <c r="D27" s="1" t="s">
        <v>279</v>
      </c>
      <c r="E27" s="1"/>
      <c r="F27" s="1"/>
      <c r="G27" s="1"/>
    </row>
    <row r="28" spans="2:7">
      <c r="B28" s="1" t="s">
        <v>270</v>
      </c>
      <c r="C28" s="84" t="s">
        <v>246</v>
      </c>
      <c r="D28" s="1" t="s">
        <v>280</v>
      </c>
      <c r="E28" s="1" t="s">
        <v>267</v>
      </c>
      <c r="F28" s="1"/>
      <c r="G28" s="1"/>
    </row>
    <row r="29" spans="2:7">
      <c r="B29" s="1"/>
      <c r="C29" s="84" t="s">
        <v>246</v>
      </c>
      <c r="D29" s="1" t="s">
        <v>281</v>
      </c>
      <c r="E29" s="1"/>
      <c r="F29" s="1"/>
      <c r="G29" s="1"/>
    </row>
    <row r="30" spans="2:7">
      <c r="B30" s="1"/>
      <c r="C30" s="84" t="s">
        <v>246</v>
      </c>
      <c r="D30" s="1" t="s">
        <v>282</v>
      </c>
      <c r="E30" s="1"/>
      <c r="F30" s="1"/>
      <c r="G30" s="1"/>
    </row>
  </sheetData>
  <conditionalFormatting sqref="I1:I1048576 D1:D1048576">
    <cfRule type="duplicateValues" dxfId="28" priority="1"/>
  </conditionalFormatting>
  <conditionalFormatting sqref="J31:J1048576 J1 D1:D1048576">
    <cfRule type="duplicateValues" dxfId="27" priority="2"/>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filterMode="1"/>
  <dimension ref="A1:CE162"/>
  <sheetViews>
    <sheetView tabSelected="1" zoomScale="85" zoomScaleNormal="85" workbookViewId="0">
      <pane xSplit="1" topLeftCell="O1" activePane="topRight" state="frozen"/>
      <selection pane="topRight" activeCell="O33" sqref="O33"/>
    </sheetView>
  </sheetViews>
  <sheetFormatPr defaultColWidth="0" defaultRowHeight="14.45" outlineLevelCol="1"/>
  <cols>
    <col min="1" max="1" width="34" bestFit="1" customWidth="1"/>
    <col min="2" max="2" width="15.5703125" style="92" hidden="1" customWidth="1" outlineLevel="1"/>
    <col min="3" max="3" width="11.5703125" style="92" hidden="1" customWidth="1" outlineLevel="1"/>
    <col min="4" max="4" width="19.5703125" hidden="1" customWidth="1" outlineLevel="1"/>
    <col min="5" max="5" width="78.28515625" hidden="1" customWidth="1" outlineLevel="1"/>
    <col min="6" max="6" width="25.140625" hidden="1" customWidth="1" outlineLevel="1"/>
    <col min="7" max="7" width="14.85546875" hidden="1" customWidth="1" outlineLevel="1"/>
    <col min="8" max="8" width="10.42578125" hidden="1" customWidth="1" outlineLevel="1"/>
    <col min="9" max="9" width="11.5703125" hidden="1" customWidth="1" outlineLevel="1"/>
    <col min="10" max="11" width="11" hidden="1" customWidth="1" outlineLevel="1"/>
    <col min="12" max="12" width="18.28515625" hidden="1" customWidth="1" outlineLevel="1"/>
    <col min="13" max="13" width="9.140625" style="74" hidden="1" customWidth="1" outlineLevel="1"/>
    <col min="14" max="14" width="17.28515625" style="88" hidden="1" customWidth="1" outlineLevel="1"/>
    <col min="15" max="15" width="18.28515625" style="74" customWidth="1" collapsed="1"/>
    <col min="16" max="16" width="16" customWidth="1" outlineLevel="1"/>
    <col min="17" max="17" width="23.7109375" customWidth="1" outlineLevel="1"/>
    <col min="18" max="18" width="11.42578125" customWidth="1" outlineLevel="1"/>
    <col min="19" max="19" width="14.85546875" customWidth="1" outlineLevel="1"/>
    <col min="20" max="20" width="19.7109375" customWidth="1" outlineLevel="1"/>
    <col min="21" max="21" width="18.7109375" customWidth="1" outlineLevel="1"/>
    <col min="22" max="22" width="12.5703125" customWidth="1" outlineLevel="1"/>
    <col min="23" max="23" width="16.140625" customWidth="1" outlineLevel="1"/>
    <col min="24" max="24" width="20" style="99" customWidth="1" outlineLevel="1"/>
    <col min="25" max="25" width="16.28515625" customWidth="1" outlineLevel="1"/>
    <col min="26" max="26" width="28.5703125" customWidth="1" outlineLevel="1"/>
    <col min="27" max="27" width="9.140625" style="99" customWidth="1" outlineLevel="1"/>
    <col min="28" max="28" width="10.5703125" style="99" customWidth="1" outlineLevel="1"/>
    <col min="29" max="29" width="15" customWidth="1" outlineLevel="1"/>
    <col min="30" max="30" width="9.140625" customWidth="1" outlineLevel="1"/>
    <col min="31" max="31" width="15.28515625" customWidth="1" outlineLevel="1"/>
    <col min="32" max="32" width="20" customWidth="1" outlineLevel="1"/>
    <col min="33" max="33" width="9.140625" customWidth="1" outlineLevel="1"/>
    <col min="34" max="34" width="18.140625" customWidth="1" outlineLevel="1"/>
    <col min="35" max="35" width="12.42578125" customWidth="1" outlineLevel="1"/>
    <col min="36" max="36" width="9.140625" customWidth="1" outlineLevel="1"/>
    <col min="37" max="37" width="15.140625" customWidth="1" outlineLevel="1"/>
    <col min="38" max="38" width="18.42578125" customWidth="1" outlineLevel="1"/>
    <col min="39" max="39" width="9.140625" customWidth="1" outlineLevel="1"/>
    <col min="40" max="41" width="9.140625" customWidth="1"/>
    <col min="42" max="42" width="20.85546875" customWidth="1"/>
    <col min="43" max="43" width="10.42578125" customWidth="1" outlineLevel="1"/>
    <col min="44" max="44" width="19.140625" customWidth="1" outlineLevel="1"/>
    <col min="45" max="45" width="102.42578125" customWidth="1" outlineLevel="1"/>
    <col min="46" max="46" width="45.42578125" customWidth="1" outlineLevel="1"/>
    <col min="47" max="47" width="16" customWidth="1"/>
    <col min="48" max="48" width="14.85546875" customWidth="1" outlineLevel="1"/>
    <col min="49" max="50" width="9.140625" customWidth="1" outlineLevel="1"/>
    <col min="51" max="53" width="9.140625" customWidth="1"/>
    <col min="54" max="61" width="9.140625" hidden="1" customWidth="1" outlineLevel="1"/>
    <col min="62" max="62" width="11.140625" bestFit="1" customWidth="1" collapsed="1"/>
    <col min="63" max="63" width="25.140625" customWidth="1" outlineLevel="1"/>
    <col min="64" max="64" width="21.5703125" customWidth="1" outlineLevel="1"/>
    <col min="65" max="65" width="21" customWidth="1" outlineLevel="1"/>
    <col min="66" max="66" width="16.7109375" customWidth="1" outlineLevel="1"/>
    <col min="67" max="67" width="11.42578125" customWidth="1" outlineLevel="1"/>
    <col min="68" max="69" width="9.140625" customWidth="1" outlineLevel="1"/>
    <col min="70" max="70" width="9.140625" customWidth="1"/>
    <col min="71" max="72" width="9.140625" customWidth="1" outlineLevel="1"/>
    <col min="73" max="73" width="9.140625" customWidth="1"/>
    <col min="74" max="81" width="9.140625" customWidth="1" outlineLevel="1"/>
    <col min="82" max="82" width="255.7109375" customWidth="1" outlineLevel="1"/>
    <col min="83" max="83" width="9.140625" customWidth="1"/>
  </cols>
  <sheetData>
    <row r="1" spans="1:83" s="72" customFormat="1" ht="39.75" customHeight="1">
      <c r="A1" s="113" t="s">
        <v>283</v>
      </c>
      <c r="B1" s="114"/>
      <c r="C1" s="114"/>
      <c r="D1" s="115"/>
      <c r="E1" s="115"/>
      <c r="F1" s="115"/>
      <c r="G1" s="116"/>
      <c r="H1" s="116"/>
      <c r="I1" s="115"/>
      <c r="J1" s="115"/>
      <c r="K1" s="115"/>
      <c r="L1" s="116"/>
      <c r="M1" s="116"/>
      <c r="N1" s="117"/>
      <c r="O1" s="130" t="s">
        <v>284</v>
      </c>
      <c r="P1" s="131"/>
      <c r="Q1" s="131"/>
      <c r="R1" s="131"/>
      <c r="S1" s="131"/>
      <c r="T1" s="131"/>
      <c r="U1" s="131"/>
      <c r="V1" s="131"/>
      <c r="W1" s="131"/>
      <c r="X1" s="131"/>
      <c r="Y1" s="131"/>
      <c r="Z1" s="131"/>
      <c r="AA1" s="131"/>
      <c r="AB1" s="131"/>
      <c r="AC1" s="131"/>
      <c r="AD1" s="131"/>
      <c r="AE1" s="131"/>
      <c r="AF1" s="131"/>
      <c r="AG1" s="131"/>
      <c r="AH1" s="131"/>
      <c r="AI1" s="131"/>
      <c r="AJ1" s="131"/>
      <c r="AK1" s="131"/>
      <c r="AL1" s="94"/>
      <c r="AM1" s="94"/>
      <c r="AN1" s="119" t="s">
        <v>285</v>
      </c>
      <c r="AO1" s="120"/>
      <c r="AP1" s="121" t="s">
        <v>286</v>
      </c>
      <c r="AQ1" s="122"/>
      <c r="AR1" s="122"/>
      <c r="AS1" s="122"/>
      <c r="AT1" s="123"/>
      <c r="AU1" s="119" t="s">
        <v>287</v>
      </c>
      <c r="AV1" s="124"/>
      <c r="AW1" s="124"/>
      <c r="AX1" s="120"/>
      <c r="AY1" s="125" t="s">
        <v>288</v>
      </c>
      <c r="AZ1" s="126"/>
      <c r="BA1" s="133" t="s">
        <v>289</v>
      </c>
      <c r="BB1" s="133"/>
      <c r="BC1" s="133"/>
      <c r="BD1" s="133"/>
      <c r="BE1" s="133"/>
      <c r="BF1" s="133"/>
      <c r="BG1" s="133"/>
      <c r="BH1" s="133"/>
      <c r="BI1" s="134"/>
      <c r="BJ1" s="132" t="s">
        <v>290</v>
      </c>
      <c r="BK1" s="133"/>
      <c r="BL1" s="133"/>
      <c r="BM1" s="133"/>
      <c r="BN1" s="133"/>
      <c r="BO1" s="133"/>
      <c r="BP1" s="133"/>
      <c r="BQ1" s="134"/>
      <c r="BR1" s="127" t="s">
        <v>291</v>
      </c>
      <c r="BS1" s="128"/>
      <c r="BT1" s="129"/>
      <c r="BU1" s="118" t="s">
        <v>292</v>
      </c>
      <c r="BV1" s="118" t="s">
        <v>293</v>
      </c>
      <c r="BW1" s="118" t="s">
        <v>294</v>
      </c>
      <c r="BX1" s="118" t="s">
        <v>295</v>
      </c>
      <c r="BY1" s="118" t="s">
        <v>296</v>
      </c>
      <c r="BZ1" s="118" t="s">
        <v>297</v>
      </c>
      <c r="CA1" s="118" t="s">
        <v>298</v>
      </c>
      <c r="CB1" s="118" t="s">
        <v>299</v>
      </c>
      <c r="CC1" s="118" t="s">
        <v>300</v>
      </c>
      <c r="CD1" s="118" t="s">
        <v>301</v>
      </c>
    </row>
    <row r="2" spans="1:83" s="73" customFormat="1" ht="41.25" customHeight="1">
      <c r="A2" s="8" t="s">
        <v>302</v>
      </c>
      <c r="B2" s="8" t="s">
        <v>303</v>
      </c>
      <c r="C2" s="8" t="s">
        <v>304</v>
      </c>
      <c r="D2" s="8" t="s">
        <v>305</v>
      </c>
      <c r="E2" s="8" t="s">
        <v>306</v>
      </c>
      <c r="F2" s="8" t="s">
        <v>307</v>
      </c>
      <c r="G2" s="8" t="s">
        <v>308</v>
      </c>
      <c r="H2" s="8" t="s">
        <v>309</v>
      </c>
      <c r="I2" s="8" t="s">
        <v>310</v>
      </c>
      <c r="J2" s="8" t="s">
        <v>311</v>
      </c>
      <c r="K2" s="8" t="s">
        <v>312</v>
      </c>
      <c r="L2" s="8" t="s">
        <v>313</v>
      </c>
      <c r="M2" s="8" t="s">
        <v>314</v>
      </c>
      <c r="N2" s="87" t="s">
        <v>315</v>
      </c>
      <c r="O2" s="95" t="s">
        <v>316</v>
      </c>
      <c r="P2" s="96" t="s">
        <v>317</v>
      </c>
      <c r="Q2" s="96" t="s">
        <v>318</v>
      </c>
      <c r="R2" s="96" t="s">
        <v>319</v>
      </c>
      <c r="S2" s="95" t="s">
        <v>320</v>
      </c>
      <c r="T2" s="95" t="s">
        <v>321</v>
      </c>
      <c r="U2" s="95" t="s">
        <v>322</v>
      </c>
      <c r="V2" s="96" t="s">
        <v>323</v>
      </c>
      <c r="W2" s="96" t="s">
        <v>324</v>
      </c>
      <c r="X2" s="96" t="s">
        <v>325</v>
      </c>
      <c r="Y2" s="95" t="s">
        <v>326</v>
      </c>
      <c r="Z2" s="95" t="s">
        <v>327</v>
      </c>
      <c r="AA2" s="95" t="s">
        <v>328</v>
      </c>
      <c r="AB2" s="95" t="s">
        <v>329</v>
      </c>
      <c r="AC2" s="95" t="s">
        <v>330</v>
      </c>
      <c r="AD2" s="95" t="s">
        <v>331</v>
      </c>
      <c r="AE2" s="97" t="s">
        <v>332</v>
      </c>
      <c r="AF2" s="95" t="s">
        <v>333</v>
      </c>
      <c r="AG2" s="95" t="s">
        <v>334</v>
      </c>
      <c r="AH2" s="95" t="s">
        <v>335</v>
      </c>
      <c r="AI2" s="98" t="s">
        <v>336</v>
      </c>
      <c r="AJ2" s="95" t="s">
        <v>337</v>
      </c>
      <c r="AK2" s="95" t="s">
        <v>338</v>
      </c>
      <c r="AL2" s="95" t="s">
        <v>339</v>
      </c>
      <c r="AM2" s="95" t="s">
        <v>340</v>
      </c>
      <c r="AN2" s="8" t="s">
        <v>341</v>
      </c>
      <c r="AO2" s="8" t="s">
        <v>342</v>
      </c>
      <c r="AP2" s="71" t="s">
        <v>343</v>
      </c>
      <c r="AQ2" s="71" t="s">
        <v>344</v>
      </c>
      <c r="AR2" s="71" t="s">
        <v>345</v>
      </c>
      <c r="AS2" s="71" t="s">
        <v>346</v>
      </c>
      <c r="AT2" s="71" t="s">
        <v>306</v>
      </c>
      <c r="AU2" s="8" t="s">
        <v>347</v>
      </c>
      <c r="AV2" s="8" t="s">
        <v>348</v>
      </c>
      <c r="AW2" s="8" t="s">
        <v>349</v>
      </c>
      <c r="AX2" s="8" t="s">
        <v>350</v>
      </c>
      <c r="AY2" s="8" t="s">
        <v>351</v>
      </c>
      <c r="AZ2" s="8" t="s">
        <v>352</v>
      </c>
      <c r="BA2" s="69" t="s">
        <v>353</v>
      </c>
      <c r="BB2" s="69" t="s">
        <v>354</v>
      </c>
      <c r="BC2" s="69" t="s">
        <v>355</v>
      </c>
      <c r="BD2" s="69" t="s">
        <v>356</v>
      </c>
      <c r="BE2" s="69" t="s">
        <v>357</v>
      </c>
      <c r="BF2" s="69" t="s">
        <v>358</v>
      </c>
      <c r="BG2" s="69" t="s">
        <v>359</v>
      </c>
      <c r="BH2" s="69" t="s">
        <v>360</v>
      </c>
      <c r="BI2" s="69" t="s">
        <v>361</v>
      </c>
      <c r="BJ2" s="69" t="s">
        <v>362</v>
      </c>
      <c r="BK2" s="69" t="s">
        <v>363</v>
      </c>
      <c r="BL2" s="69" t="s">
        <v>364</v>
      </c>
      <c r="BM2" s="69" t="s">
        <v>365</v>
      </c>
      <c r="BN2" s="69" t="s">
        <v>366</v>
      </c>
      <c r="BO2" s="69" t="s">
        <v>367</v>
      </c>
      <c r="BP2" s="69" t="s">
        <v>368</v>
      </c>
      <c r="BQ2" s="69" t="s">
        <v>369</v>
      </c>
      <c r="BR2" s="54" t="s">
        <v>370</v>
      </c>
      <c r="BS2" s="54" t="s">
        <v>371</v>
      </c>
      <c r="BT2" s="54" t="s">
        <v>348</v>
      </c>
      <c r="BU2" s="118"/>
      <c r="BV2" s="118"/>
      <c r="BW2" s="118"/>
      <c r="BX2" s="118"/>
      <c r="BY2" s="118"/>
      <c r="BZ2" s="118"/>
      <c r="CA2" s="118"/>
      <c r="CB2" s="118"/>
      <c r="CC2" s="118"/>
      <c r="CD2" s="118"/>
    </row>
    <row r="3" spans="1:83" ht="15.75" hidden="1" customHeight="1">
      <c r="A3" s="1" t="s">
        <v>372</v>
      </c>
      <c r="B3" s="1" t="str">
        <f>_xlfn.XLOOKUP(A:A,'Dados Elevatórias'!D:D,'Dados Elevatórias'!B:B)</f>
        <v>PL-RJB-EAT0093</v>
      </c>
      <c r="C3" s="1" t="str">
        <f>_xlfn.XLOOKUP(B:B,'Dados Elevatórias'!B:B,'Dados Elevatórias'!C:C)</f>
        <v>EAT</v>
      </c>
      <c r="D3" s="1" t="s">
        <v>373</v>
      </c>
      <c r="E3" s="1" t="s">
        <v>374</v>
      </c>
      <c r="F3" s="1" t="s">
        <v>375</v>
      </c>
      <c r="G3" s="1" t="s">
        <v>376</v>
      </c>
      <c r="H3" s="1" t="str">
        <f>_xlfn.XLOOKUP(B:B,'Dados Elevatórias'!B:B,'Dados Elevatórias'!G:G)</f>
        <v>26535-330</v>
      </c>
      <c r="I3" s="1">
        <f>_xlfn.XLOOKUP(B3,COORDENADAS!A:A,COORDENADAS!B:B)</f>
        <v>-22.8035</v>
      </c>
      <c r="J3" s="1">
        <f>_xlfn.XLOOKUP(B3,COORDENADAS!A:A,COORDENADAS!C:C)</f>
        <v>-43.408099999999997</v>
      </c>
      <c r="K3" s="1"/>
      <c r="L3" s="1" t="s">
        <v>377</v>
      </c>
      <c r="M3" s="1">
        <v>1</v>
      </c>
      <c r="N3" s="1" t="s">
        <v>378</v>
      </c>
      <c r="O3" s="1" t="s">
        <v>379</v>
      </c>
      <c r="P3" s="1" t="s">
        <v>380</v>
      </c>
      <c r="Q3" s="1"/>
      <c r="R3" s="1"/>
      <c r="S3" s="1"/>
      <c r="T3" s="1">
        <v>220</v>
      </c>
      <c r="U3" s="1">
        <v>68.400000000000006</v>
      </c>
      <c r="V3" s="1"/>
      <c r="W3" s="1"/>
      <c r="X3" s="1" t="s">
        <v>381</v>
      </c>
      <c r="Y3" s="1" t="s">
        <v>382</v>
      </c>
      <c r="Z3" s="1" t="s">
        <v>383</v>
      </c>
      <c r="AA3" s="1">
        <v>3</v>
      </c>
      <c r="AB3" s="1" t="s">
        <v>384</v>
      </c>
      <c r="AC3" s="1" t="s">
        <v>385</v>
      </c>
      <c r="AD3" s="1" t="s">
        <v>386</v>
      </c>
      <c r="AE3" s="1"/>
      <c r="AF3" s="1"/>
      <c r="AG3" s="1"/>
      <c r="AH3" s="1"/>
      <c r="AI3" s="1" t="s">
        <v>387</v>
      </c>
      <c r="AJ3" s="1"/>
      <c r="AK3" s="1"/>
      <c r="AL3" s="1"/>
      <c r="AM3" s="1"/>
      <c r="AN3" s="1" t="str">
        <f>_xlfn.XLOOKUP(A:A,'RELAÇÃO ANTIGA'!A:A,'RELAÇÃO ANTIGA'!AC:AC,X)</f>
        <v>220V</v>
      </c>
      <c r="AO3" s="1"/>
      <c r="AP3" s="1">
        <v>420150274</v>
      </c>
      <c r="AQ3" s="1">
        <v>5241361</v>
      </c>
      <c r="AR3" s="1">
        <v>0</v>
      </c>
      <c r="AS3" s="1" t="s">
        <v>388</v>
      </c>
      <c r="AT3" s="1" t="s">
        <v>389</v>
      </c>
      <c r="AU3" s="1">
        <v>100</v>
      </c>
      <c r="AV3" s="1">
        <v>150</v>
      </c>
      <c r="AW3" s="1">
        <v>0</v>
      </c>
      <c r="AX3" s="1">
        <v>0</v>
      </c>
      <c r="AY3" s="1">
        <v>0</v>
      </c>
      <c r="AZ3" s="1">
        <v>0</v>
      </c>
      <c r="BA3" s="1"/>
      <c r="BB3" s="1"/>
      <c r="BC3" s="1"/>
      <c r="BD3" s="1"/>
      <c r="BE3" s="1"/>
      <c r="BF3" s="1"/>
      <c r="BG3" s="1"/>
      <c r="BH3" s="1"/>
      <c r="BI3" s="1"/>
      <c r="BJ3" s="1" t="s">
        <v>390</v>
      </c>
      <c r="BK3" s="1" t="s">
        <v>391</v>
      </c>
      <c r="BL3" s="1" t="s">
        <v>392</v>
      </c>
      <c r="BM3" s="1" t="s">
        <v>393</v>
      </c>
      <c r="BN3" s="1" t="s">
        <v>394</v>
      </c>
      <c r="BO3" s="1" t="s">
        <v>395</v>
      </c>
      <c r="BP3" s="1" t="s">
        <v>396</v>
      </c>
      <c r="BQ3" s="1"/>
      <c r="BR3" s="1" t="s">
        <v>397</v>
      </c>
      <c r="BS3" s="1" t="s">
        <v>398</v>
      </c>
      <c r="BT3" s="1" t="s">
        <v>399</v>
      </c>
      <c r="BU3" s="1" t="s">
        <v>400</v>
      </c>
      <c r="BV3" s="1" t="s">
        <v>400</v>
      </c>
      <c r="BW3" s="1" t="s">
        <v>396</v>
      </c>
      <c r="BX3" s="1"/>
      <c r="BY3" s="1" t="s">
        <v>401</v>
      </c>
      <c r="BZ3" s="1">
        <v>24</v>
      </c>
      <c r="CA3" s="1">
        <v>53</v>
      </c>
      <c r="CB3" s="1">
        <v>0</v>
      </c>
      <c r="CC3" s="1">
        <v>0</v>
      </c>
      <c r="CD3" s="1" t="s">
        <v>402</v>
      </c>
    </row>
    <row r="4" spans="1:83" ht="15.75" hidden="1" customHeight="1">
      <c r="A4" s="1" t="s">
        <v>372</v>
      </c>
      <c r="B4" s="1" t="str">
        <f>_xlfn.XLOOKUP(A:A,'Dados Elevatórias'!D:D,'Dados Elevatórias'!B:B)</f>
        <v>PL-RJB-EAT0093</v>
      </c>
      <c r="C4" s="1" t="str">
        <f>_xlfn.XLOOKUP(B:B,'Dados Elevatórias'!B:B,'Dados Elevatórias'!C:C)</f>
        <v>EAT</v>
      </c>
      <c r="D4" s="1" t="s">
        <v>373</v>
      </c>
      <c r="E4" s="1" t="s">
        <v>374</v>
      </c>
      <c r="F4" s="1" t="s">
        <v>375</v>
      </c>
      <c r="G4" s="1" t="s">
        <v>376</v>
      </c>
      <c r="H4" s="1" t="str">
        <f>_xlfn.XLOOKUP(B:B,'Dados Elevatórias'!B:B,'Dados Elevatórias'!G:G)</f>
        <v>26535-330</v>
      </c>
      <c r="I4" s="1">
        <f>_xlfn.XLOOKUP(B4,COORDENADAS!A:A,COORDENADAS!B:B)</f>
        <v>-22.8035</v>
      </c>
      <c r="J4" s="1">
        <f>_xlfn.XLOOKUP(B4,COORDENADAS!A:A,COORDENADAS!C:C)</f>
        <v>-43.408099999999997</v>
      </c>
      <c r="K4" s="1"/>
      <c r="L4" s="1" t="s">
        <v>377</v>
      </c>
      <c r="M4" s="1">
        <v>2</v>
      </c>
      <c r="N4" s="1" t="s">
        <v>378</v>
      </c>
      <c r="O4" s="1" t="s">
        <v>379</v>
      </c>
      <c r="P4" s="1" t="s">
        <v>403</v>
      </c>
      <c r="Q4" s="1" t="s">
        <v>404</v>
      </c>
      <c r="R4" s="1" t="s">
        <v>405</v>
      </c>
      <c r="S4" s="1" t="s">
        <v>406</v>
      </c>
      <c r="T4" s="1" t="s">
        <v>407</v>
      </c>
      <c r="U4" s="1" t="s">
        <v>408</v>
      </c>
      <c r="V4" s="1"/>
      <c r="W4" s="1"/>
      <c r="X4" s="1"/>
      <c r="Y4" s="1" t="s">
        <v>409</v>
      </c>
      <c r="Z4" s="1"/>
      <c r="AA4" s="1">
        <v>3</v>
      </c>
      <c r="AB4" s="1"/>
      <c r="AC4" s="1" t="s">
        <v>410</v>
      </c>
      <c r="AD4" s="1"/>
      <c r="AE4" s="1"/>
      <c r="AF4" s="1" t="s">
        <v>411</v>
      </c>
      <c r="AG4" s="1"/>
      <c r="AH4" s="1" t="s">
        <v>412</v>
      </c>
      <c r="AI4" s="1"/>
      <c r="AJ4" s="1"/>
      <c r="AK4" s="1"/>
      <c r="AL4" s="1"/>
      <c r="AM4" s="1"/>
      <c r="AN4" s="1" t="str">
        <f>_xlfn.XLOOKUP(A:A,'RELAÇÃO ANTIGA'!A:A,'RELAÇÃO ANTIGA'!AC:AC,X)</f>
        <v>220V</v>
      </c>
      <c r="AO4" s="1"/>
      <c r="AP4" s="1">
        <v>420150274</v>
      </c>
      <c r="AQ4" s="1">
        <v>5241361</v>
      </c>
      <c r="AR4" s="1">
        <v>0</v>
      </c>
      <c r="AS4" s="1" t="s">
        <v>388</v>
      </c>
      <c r="AT4" s="1" t="s">
        <v>389</v>
      </c>
      <c r="AU4" s="1">
        <v>100</v>
      </c>
      <c r="AV4" s="1">
        <v>150</v>
      </c>
      <c r="AW4" s="1">
        <v>0</v>
      </c>
      <c r="AX4" s="1">
        <v>0</v>
      </c>
      <c r="AY4" s="1">
        <v>0</v>
      </c>
      <c r="AZ4" s="1">
        <v>0</v>
      </c>
      <c r="BA4" s="1"/>
      <c r="BB4" s="1"/>
      <c r="BC4" s="1"/>
      <c r="BD4" s="1"/>
      <c r="BE4" s="1"/>
      <c r="BF4" s="1"/>
      <c r="BG4" s="1"/>
      <c r="BH4" s="1"/>
      <c r="BI4" s="1"/>
      <c r="BJ4" s="1" t="s">
        <v>413</v>
      </c>
      <c r="BK4" s="1" t="s">
        <v>391</v>
      </c>
      <c r="BL4" s="1" t="s">
        <v>414</v>
      </c>
      <c r="BM4" s="1" t="s">
        <v>415</v>
      </c>
      <c r="BN4" s="1" t="s">
        <v>416</v>
      </c>
      <c r="BO4" s="1" t="s">
        <v>417</v>
      </c>
      <c r="BP4" s="1" t="s">
        <v>396</v>
      </c>
      <c r="BQ4" s="1"/>
      <c r="BR4" s="1" t="s">
        <v>397</v>
      </c>
      <c r="BS4" s="1" t="s">
        <v>398</v>
      </c>
      <c r="BT4" s="1" t="s">
        <v>399</v>
      </c>
      <c r="BU4" s="1" t="s">
        <v>400</v>
      </c>
      <c r="BV4" s="1" t="s">
        <v>400</v>
      </c>
      <c r="BW4" s="1" t="s">
        <v>396</v>
      </c>
      <c r="BX4" s="1"/>
      <c r="BY4" s="1" t="s">
        <v>401</v>
      </c>
      <c r="BZ4" s="1">
        <v>24</v>
      </c>
      <c r="CA4" s="1">
        <v>53</v>
      </c>
      <c r="CB4" s="1">
        <v>0</v>
      </c>
      <c r="CC4" s="1">
        <v>0</v>
      </c>
      <c r="CD4" s="1" t="s">
        <v>402</v>
      </c>
    </row>
    <row r="5" spans="1:83" hidden="1">
      <c r="A5" s="1" t="s">
        <v>418</v>
      </c>
      <c r="B5" s="1" t="str">
        <f>_xlfn.XLOOKUP(A:A,'Dados Elevatórias'!D:D,'Dados Elevatórias'!B:B)</f>
        <v>PL-RJB-EAT0687</v>
      </c>
      <c r="C5" s="1" t="str">
        <f>_xlfn.XLOOKUP(B:B,'Dados Elevatórias'!B:B,'Dados Elevatórias'!C:C)</f>
        <v>EAT</v>
      </c>
      <c r="D5" s="1" t="s">
        <v>373</v>
      </c>
      <c r="E5" s="1" t="s">
        <v>419</v>
      </c>
      <c r="F5" s="1" t="s">
        <v>420</v>
      </c>
      <c r="G5" s="1" t="s">
        <v>421</v>
      </c>
      <c r="H5" s="1" t="str">
        <f>_xlfn.XLOOKUP(B:B,'Dados Elevatórias'!B:B,'Dados Elevatórias'!G:G)</f>
        <v>26031-200</v>
      </c>
      <c r="I5" s="1">
        <f>_xlfn.XLOOKUP(B5,COORDENADAS!A:A,COORDENADAS!B:B)</f>
        <v>-22.736000000000001</v>
      </c>
      <c r="J5" s="1">
        <f>_xlfn.XLOOKUP(B5,COORDENADAS!A:A,COORDENADAS!C:C)</f>
        <v>-43.478200000000001</v>
      </c>
      <c r="K5" s="1"/>
      <c r="L5" s="1" t="s">
        <v>377</v>
      </c>
      <c r="M5" s="1">
        <v>1</v>
      </c>
      <c r="N5" s="1" t="s">
        <v>378</v>
      </c>
      <c r="O5" s="1" t="s">
        <v>422</v>
      </c>
      <c r="P5" s="1"/>
      <c r="Q5" s="1"/>
      <c r="R5" s="1"/>
      <c r="S5" s="1"/>
      <c r="T5" s="1"/>
      <c r="U5" s="1"/>
      <c r="V5" s="1"/>
      <c r="W5" s="1"/>
      <c r="X5" s="1"/>
      <c r="Y5" s="1"/>
      <c r="Z5" s="1"/>
      <c r="AA5" s="1"/>
      <c r="AB5" s="1"/>
      <c r="AC5" s="1" t="s">
        <v>385</v>
      </c>
      <c r="AD5" s="1"/>
      <c r="AE5" s="1"/>
      <c r="AF5" s="1" t="s">
        <v>423</v>
      </c>
      <c r="AG5" s="1"/>
      <c r="AH5" s="1" t="s">
        <v>424</v>
      </c>
      <c r="AI5" s="1"/>
      <c r="AJ5" s="1"/>
      <c r="AK5" s="1"/>
      <c r="AL5" s="1"/>
      <c r="AM5" s="1"/>
      <c r="AN5" s="1" t="str">
        <f>_xlfn.XLOOKUP(A:A,'RELAÇÃO ANTIGA'!A:A,'RELAÇÃO ANTIGA'!AC:AC,X)</f>
        <v>220V</v>
      </c>
      <c r="AO5" s="1"/>
      <c r="AP5" s="1">
        <v>430248796</v>
      </c>
      <c r="AQ5" s="1">
        <v>169005</v>
      </c>
      <c r="AR5" s="1">
        <v>0</v>
      </c>
      <c r="AS5" s="1" t="s">
        <v>425</v>
      </c>
      <c r="AT5" s="1" t="s">
        <v>426</v>
      </c>
      <c r="AU5" s="1">
        <v>0</v>
      </c>
      <c r="AV5" s="1">
        <v>0</v>
      </c>
      <c r="AW5" s="1">
        <v>0</v>
      </c>
      <c r="AX5" s="1">
        <v>0</v>
      </c>
      <c r="AY5" s="1">
        <v>0</v>
      </c>
      <c r="AZ5" s="1">
        <v>0</v>
      </c>
      <c r="BA5" s="1"/>
      <c r="BB5" s="1"/>
      <c r="BC5" s="1"/>
      <c r="BD5" s="1"/>
      <c r="BE5" s="1"/>
      <c r="BF5" s="1"/>
      <c r="BG5" s="1"/>
      <c r="BH5" s="1"/>
      <c r="BI5" s="1"/>
      <c r="BJ5" s="1"/>
      <c r="BK5" s="1" t="s">
        <v>427</v>
      </c>
      <c r="BL5" s="1"/>
      <c r="BM5" s="1"/>
      <c r="BN5" s="1"/>
      <c r="BO5" s="1"/>
      <c r="BP5" s="1" t="s">
        <v>386</v>
      </c>
      <c r="BQ5" s="1"/>
      <c r="BR5" s="1">
        <v>0</v>
      </c>
      <c r="BS5" s="1">
        <v>0</v>
      </c>
      <c r="BT5" s="1">
        <v>0</v>
      </c>
      <c r="BU5" s="1">
        <v>0</v>
      </c>
      <c r="BV5" s="1">
        <v>0</v>
      </c>
      <c r="BW5" s="1" t="s">
        <v>396</v>
      </c>
      <c r="BX5" s="1"/>
      <c r="BY5" s="1" t="s">
        <v>401</v>
      </c>
      <c r="BZ5" s="1">
        <v>0</v>
      </c>
      <c r="CA5" s="1">
        <v>0</v>
      </c>
      <c r="CB5" s="1">
        <v>0</v>
      </c>
      <c r="CC5" s="1">
        <v>0</v>
      </c>
      <c r="CD5" s="1">
        <v>0</v>
      </c>
    </row>
    <row r="6" spans="1:83" hidden="1">
      <c r="A6" s="1" t="s">
        <v>428</v>
      </c>
      <c r="B6" s="1" t="str">
        <f>_xlfn.XLOOKUP(A:A,'Dados Elevatórias'!D:D,'Dados Elevatórias'!B:B)</f>
        <v>PL-RJB-EAT0088</v>
      </c>
      <c r="C6" s="1" t="str">
        <f>_xlfn.XLOOKUP(B:B,'Dados Elevatórias'!B:B,'Dados Elevatórias'!C:C)</f>
        <v>EAT</v>
      </c>
      <c r="D6" s="1" t="s">
        <v>373</v>
      </c>
      <c r="E6" s="1" t="s">
        <v>429</v>
      </c>
      <c r="F6" s="1" t="s">
        <v>430</v>
      </c>
      <c r="G6" s="1" t="s">
        <v>421</v>
      </c>
      <c r="H6" s="1" t="str">
        <f>_xlfn.XLOOKUP(B:B,'Dados Elevatórias'!B:B,'Dados Elevatórias'!G:G)</f>
        <v>26030-010</v>
      </c>
      <c r="I6" s="1">
        <f>_xlfn.XLOOKUP(B6,COORDENADAS!A:A,COORDENADAS!B:B)</f>
        <v>-22.738800000000001</v>
      </c>
      <c r="J6" s="1">
        <f>_xlfn.XLOOKUP(B6,COORDENADAS!A:A,COORDENADAS!C:C)</f>
        <v>-43.455100000000002</v>
      </c>
      <c r="K6" s="1"/>
      <c r="L6" s="1" t="s">
        <v>377</v>
      </c>
      <c r="M6" s="1">
        <v>1</v>
      </c>
      <c r="N6" s="1" t="s">
        <v>378</v>
      </c>
      <c r="O6" s="1" t="s">
        <v>431</v>
      </c>
      <c r="P6" s="1"/>
      <c r="Q6" s="1"/>
      <c r="R6" s="1"/>
      <c r="S6" s="1"/>
      <c r="T6" s="1"/>
      <c r="U6" s="1"/>
      <c r="V6" s="1"/>
      <c r="W6" s="1"/>
      <c r="X6" s="1"/>
      <c r="Y6" s="1"/>
      <c r="Z6" s="1"/>
      <c r="AA6" s="1"/>
      <c r="AB6" s="1"/>
      <c r="AC6" s="1" t="s">
        <v>432</v>
      </c>
      <c r="AD6" s="1"/>
      <c r="AE6" s="1"/>
      <c r="AF6" s="1"/>
      <c r="AG6" s="1"/>
      <c r="AH6" s="1"/>
      <c r="AI6" s="1"/>
      <c r="AJ6" s="1"/>
      <c r="AK6" s="1"/>
      <c r="AL6" s="1"/>
      <c r="AM6" s="1"/>
      <c r="AN6" s="1" t="s">
        <v>433</v>
      </c>
      <c r="AO6" s="1"/>
      <c r="AP6" s="1">
        <v>420594529</v>
      </c>
      <c r="AQ6" s="1">
        <v>73520772</v>
      </c>
      <c r="AR6" s="1">
        <v>0</v>
      </c>
      <c r="AS6" s="1" t="s">
        <v>434</v>
      </c>
      <c r="AT6" s="1" t="s">
        <v>435</v>
      </c>
      <c r="AU6" s="1" t="s">
        <v>436</v>
      </c>
      <c r="AV6" s="1" t="s">
        <v>436</v>
      </c>
      <c r="AW6" s="1">
        <v>0</v>
      </c>
      <c r="AX6" s="1">
        <v>0</v>
      </c>
      <c r="AY6" s="1">
        <v>0</v>
      </c>
      <c r="AZ6" s="1">
        <v>0</v>
      </c>
      <c r="BA6" s="1"/>
      <c r="BB6" s="1"/>
      <c r="BC6" s="1"/>
      <c r="BD6" s="1"/>
      <c r="BE6" s="1"/>
      <c r="BF6" s="1"/>
      <c r="BG6" s="1"/>
      <c r="BH6" s="1"/>
      <c r="BI6" s="1"/>
      <c r="BJ6" s="1"/>
      <c r="BK6" s="1" t="s">
        <v>437</v>
      </c>
      <c r="BL6" s="1"/>
      <c r="BM6" s="1"/>
      <c r="BN6" s="1"/>
      <c r="BO6" s="1"/>
      <c r="BP6" s="1" t="s">
        <v>386</v>
      </c>
      <c r="BQ6" s="1"/>
      <c r="BR6" s="1">
        <v>0</v>
      </c>
      <c r="BS6" s="1">
        <v>0</v>
      </c>
      <c r="BT6" s="1">
        <v>0</v>
      </c>
      <c r="BU6" s="1" t="s">
        <v>400</v>
      </c>
      <c r="BV6" s="1" t="s">
        <v>400</v>
      </c>
      <c r="BW6" s="1" t="s">
        <v>396</v>
      </c>
      <c r="BX6" s="1"/>
      <c r="BY6" s="1" t="s">
        <v>401</v>
      </c>
      <c r="BZ6" s="1" t="s">
        <v>438</v>
      </c>
      <c r="CA6" s="1" t="s">
        <v>439</v>
      </c>
      <c r="CB6" s="1" t="s">
        <v>438</v>
      </c>
      <c r="CC6" s="1">
        <v>0</v>
      </c>
      <c r="CD6" s="1">
        <v>0</v>
      </c>
    </row>
    <row r="7" spans="1:83" hidden="1">
      <c r="A7" s="1" t="s">
        <v>440</v>
      </c>
      <c r="B7" s="1" t="str">
        <f>_xlfn.XLOOKUP(A:A,'Dados Elevatórias'!D:D,'Dados Elevatórias'!B:B)</f>
        <v>PL-RJB-EAT0736</v>
      </c>
      <c r="C7" s="1" t="str">
        <f>_xlfn.XLOOKUP(B:B,'Dados Elevatórias'!B:B,'Dados Elevatórias'!C:C)</f>
        <v>EAT</v>
      </c>
      <c r="D7" s="1" t="s">
        <v>373</v>
      </c>
      <c r="E7" s="1" t="s">
        <v>441</v>
      </c>
      <c r="F7" s="1" t="s">
        <v>442</v>
      </c>
      <c r="G7" s="1" t="s">
        <v>443</v>
      </c>
      <c r="H7" s="1" t="str">
        <f>_xlfn.XLOOKUP(B:B,'Dados Elevatórias'!B:B,'Dados Elevatórias'!G:G)</f>
        <v>26385-300</v>
      </c>
      <c r="I7" s="1">
        <f>_xlfn.XLOOKUP(B7,COORDENADAS!A:A,COORDENADAS!B:B)</f>
        <v>-22.704000000000001</v>
      </c>
      <c r="J7" s="1">
        <f>_xlfn.XLOOKUP(B7,COORDENADAS!A:A,COORDENADAS!C:C)</f>
        <v>-43.552900000000001</v>
      </c>
      <c r="K7" s="1"/>
      <c r="L7" s="1" t="s">
        <v>444</v>
      </c>
      <c r="M7" s="1">
        <v>1</v>
      </c>
      <c r="N7" s="1" t="s">
        <v>378</v>
      </c>
      <c r="O7" s="1" t="s">
        <v>445</v>
      </c>
      <c r="P7" s="1" t="s">
        <v>446</v>
      </c>
      <c r="Q7" s="1" t="s">
        <v>447</v>
      </c>
      <c r="R7" s="1" t="s">
        <v>448</v>
      </c>
      <c r="S7" s="1" t="s">
        <v>449</v>
      </c>
      <c r="T7" s="1" t="s">
        <v>407</v>
      </c>
      <c r="U7" s="1" t="s">
        <v>450</v>
      </c>
      <c r="V7" s="1"/>
      <c r="W7" s="1"/>
      <c r="X7" s="1" t="s">
        <v>451</v>
      </c>
      <c r="Y7" s="1" t="s">
        <v>452</v>
      </c>
      <c r="Z7" s="1" t="s">
        <v>453</v>
      </c>
      <c r="AA7" s="1">
        <v>2</v>
      </c>
      <c r="AB7" s="1" t="s">
        <v>454</v>
      </c>
      <c r="AC7" s="1" t="s">
        <v>455</v>
      </c>
      <c r="AD7" s="1" t="s">
        <v>386</v>
      </c>
      <c r="AE7" s="1"/>
      <c r="AF7" s="1" t="s">
        <v>411</v>
      </c>
      <c r="AG7" s="1"/>
      <c r="AH7" s="1" t="s">
        <v>412</v>
      </c>
      <c r="AI7" s="1" t="s">
        <v>456</v>
      </c>
      <c r="AJ7" s="1" t="s">
        <v>457</v>
      </c>
      <c r="AK7" s="1"/>
      <c r="AL7" s="1"/>
      <c r="AM7" s="1"/>
      <c r="AN7" s="1" t="str">
        <f>_xlfn.XLOOKUP(A:A,'RELAÇÃO ANTIGA'!A:A,'RELAÇÃO ANTIGA'!AC:AC,X)</f>
        <v>220V</v>
      </c>
      <c r="AO7" s="1"/>
      <c r="AP7" s="1">
        <v>420630267</v>
      </c>
      <c r="AQ7" s="1">
        <v>8663425</v>
      </c>
      <c r="AR7" s="1">
        <v>0</v>
      </c>
      <c r="AS7" s="1" t="s">
        <v>458</v>
      </c>
      <c r="AT7" s="1" t="s">
        <v>459</v>
      </c>
      <c r="AU7" s="1">
        <v>2</v>
      </c>
      <c r="AV7" s="1" t="s">
        <v>460</v>
      </c>
      <c r="AW7" s="1">
        <v>0</v>
      </c>
      <c r="AX7" s="1">
        <v>0</v>
      </c>
      <c r="AY7" s="1">
        <v>0</v>
      </c>
      <c r="AZ7" s="1">
        <v>0</v>
      </c>
      <c r="BA7" s="1"/>
      <c r="BB7" s="1"/>
      <c r="BC7" s="1"/>
      <c r="BD7" s="1"/>
      <c r="BE7" s="1"/>
      <c r="BF7" s="1"/>
      <c r="BG7" s="1"/>
      <c r="BH7" s="1"/>
      <c r="BI7" s="1"/>
      <c r="BJ7" s="1" t="s">
        <v>461</v>
      </c>
      <c r="BK7" s="1" t="s">
        <v>391</v>
      </c>
      <c r="BL7" s="1" t="s">
        <v>462</v>
      </c>
      <c r="BM7" s="1" t="s">
        <v>463</v>
      </c>
      <c r="BN7" s="1" t="s">
        <v>464</v>
      </c>
      <c r="BO7" s="1" t="s">
        <v>465</v>
      </c>
      <c r="BP7" s="1" t="s">
        <v>396</v>
      </c>
      <c r="BQ7" s="1"/>
      <c r="BR7" s="1" t="s">
        <v>397</v>
      </c>
      <c r="BS7" s="1" t="s">
        <v>466</v>
      </c>
      <c r="BT7" s="1" t="s">
        <v>467</v>
      </c>
      <c r="BU7" s="1" t="s">
        <v>386</v>
      </c>
      <c r="BV7" s="1" t="s">
        <v>386</v>
      </c>
      <c r="BW7" s="1" t="s">
        <v>386</v>
      </c>
      <c r="BX7" s="1" t="s">
        <v>386</v>
      </c>
      <c r="BY7" s="1" t="s">
        <v>401</v>
      </c>
      <c r="BZ7" s="1">
        <v>0</v>
      </c>
      <c r="CA7" s="1">
        <v>0</v>
      </c>
      <c r="CB7" s="1">
        <v>0</v>
      </c>
      <c r="CC7" s="1" t="s">
        <v>468</v>
      </c>
      <c r="CD7" s="1">
        <v>0</v>
      </c>
    </row>
    <row r="8" spans="1:83" s="70" customFormat="1" hidden="1">
      <c r="A8" s="1" t="s">
        <v>469</v>
      </c>
      <c r="B8" s="1" t="str">
        <f>_xlfn.XLOOKUP(A:A,'Dados Elevatórias'!D:D,'Dados Elevatórias'!B:B)</f>
        <v>PL-RJB-EAT0688</v>
      </c>
      <c r="C8" s="1" t="str">
        <f>_xlfn.XLOOKUP(B:B,'Dados Elevatórias'!B:B,'Dados Elevatórias'!C:C)</f>
        <v>EAT</v>
      </c>
      <c r="D8" s="1" t="s">
        <v>373</v>
      </c>
      <c r="E8" s="1" t="s">
        <v>470</v>
      </c>
      <c r="F8" s="1" t="s">
        <v>471</v>
      </c>
      <c r="G8" s="1" t="s">
        <v>421</v>
      </c>
      <c r="H8" s="1" t="s">
        <v>472</v>
      </c>
      <c r="I8" s="1">
        <f>_xlfn.XLOOKUP(B8,COORDENADAS!A:A,COORDENADAS!B:B)</f>
        <v>-22.7027</v>
      </c>
      <c r="J8" s="1">
        <f>_xlfn.XLOOKUP(B8,COORDENADAS!A:A,COORDENADAS!C:C)</f>
        <v>-43.431100000000001</v>
      </c>
      <c r="K8" s="1"/>
      <c r="L8" s="1" t="s">
        <v>444</v>
      </c>
      <c r="M8" s="1">
        <v>1</v>
      </c>
      <c r="N8" s="1" t="s">
        <v>378</v>
      </c>
      <c r="O8" s="1" t="s">
        <v>473</v>
      </c>
      <c r="P8" s="1" t="s">
        <v>403</v>
      </c>
      <c r="Q8" s="1" t="s">
        <v>447</v>
      </c>
      <c r="R8" s="1" t="s">
        <v>405</v>
      </c>
      <c r="S8" s="1" t="s">
        <v>474</v>
      </c>
      <c r="T8" s="1" t="s">
        <v>407</v>
      </c>
      <c r="U8" s="1" t="s">
        <v>475</v>
      </c>
      <c r="V8" s="1" t="s">
        <v>476</v>
      </c>
      <c r="W8" s="1" t="s">
        <v>476</v>
      </c>
      <c r="X8" s="1"/>
      <c r="Y8" s="1" t="s">
        <v>477</v>
      </c>
      <c r="Z8" s="1"/>
      <c r="AA8" s="1"/>
      <c r="AB8" s="1"/>
      <c r="AC8" s="1"/>
      <c r="AD8" s="1"/>
      <c r="AE8" s="1"/>
      <c r="AF8" s="1"/>
      <c r="AG8" s="1"/>
      <c r="AH8" s="1" t="s">
        <v>412</v>
      </c>
      <c r="AI8" s="1"/>
      <c r="AJ8" s="1"/>
      <c r="AK8" s="1"/>
      <c r="AL8" s="1"/>
      <c r="AM8" s="1"/>
      <c r="AN8" s="1"/>
      <c r="AO8" s="1"/>
      <c r="AP8" s="1">
        <v>430086325</v>
      </c>
      <c r="AQ8" s="1">
        <v>8552185</v>
      </c>
      <c r="AR8" s="1"/>
      <c r="AS8" s="1"/>
      <c r="AT8" s="1"/>
      <c r="AU8" s="1"/>
      <c r="AV8" s="1"/>
      <c r="AW8" s="1"/>
      <c r="AX8" s="1"/>
      <c r="AY8" s="1"/>
      <c r="AZ8" s="1"/>
      <c r="BA8" s="1"/>
      <c r="BB8" s="1"/>
      <c r="BC8" s="1"/>
      <c r="BD8" s="1"/>
      <c r="BE8" s="1"/>
      <c r="BF8" s="1"/>
      <c r="BG8" s="1"/>
      <c r="BH8" s="1"/>
      <c r="BI8" s="1"/>
      <c r="BJ8" s="1"/>
      <c r="BK8" s="1" t="s">
        <v>437</v>
      </c>
      <c r="BL8" s="1"/>
      <c r="BM8" s="1"/>
      <c r="BN8" s="1"/>
      <c r="BO8" s="1"/>
      <c r="BP8" s="1" t="s">
        <v>396</v>
      </c>
      <c r="BQ8" s="1"/>
      <c r="BR8" s="1"/>
      <c r="BS8" s="1"/>
      <c r="BT8" s="1"/>
      <c r="BU8" s="1"/>
      <c r="BV8" s="1"/>
      <c r="BW8" s="1"/>
      <c r="BX8" s="1"/>
      <c r="BY8" s="1"/>
      <c r="BZ8" s="1"/>
      <c r="CA8" s="1"/>
      <c r="CB8" s="1"/>
      <c r="CC8" s="1"/>
      <c r="CD8" s="1"/>
      <c r="CE8"/>
    </row>
    <row r="9" spans="1:83" s="70" customFormat="1" hidden="1">
      <c r="A9" s="1" t="s">
        <v>478</v>
      </c>
      <c r="B9" s="1" t="str">
        <f>_xlfn.XLOOKUP(A:A,'Dados Elevatórias'!D:D,'Dados Elevatórias'!B:B)</f>
        <v>PL-RJB-EAT0083</v>
      </c>
      <c r="C9" s="1" t="str">
        <f>_xlfn.XLOOKUP(B:B,'Dados Elevatórias'!B:B,'Dados Elevatórias'!C:C)</f>
        <v>EAT</v>
      </c>
      <c r="D9" s="1" t="s">
        <v>373</v>
      </c>
      <c r="E9" s="1" t="s">
        <v>479</v>
      </c>
      <c r="F9" s="1" t="s">
        <v>480</v>
      </c>
      <c r="G9" s="1" t="s">
        <v>421</v>
      </c>
      <c r="H9" s="1" t="str">
        <f>_xlfn.XLOOKUP(B:B,'Dados Elevatórias'!B:B,'Dados Elevatórias'!G:G)</f>
        <v>26021-630</v>
      </c>
      <c r="I9" s="1">
        <f>_xlfn.XLOOKUP(B9,COORDENADAS!A:A,COORDENADAS!B:B)</f>
        <v>-22.723700000000001</v>
      </c>
      <c r="J9" s="1">
        <f>_xlfn.XLOOKUP(B9,COORDENADAS!A:A,COORDENADAS!C:C)</f>
        <v>-43.4358</v>
      </c>
      <c r="K9" s="1"/>
      <c r="L9" s="1" t="str">
        <f>_xlfn.XLOOKUP(A:A,'RELAÇÃO ANTIGA'!A:A,'RELAÇÃO ANTIGA'!J:J)</f>
        <v>FORMAL</v>
      </c>
      <c r="M9" s="1">
        <v>1</v>
      </c>
      <c r="N9" s="1" t="s">
        <v>378</v>
      </c>
      <c r="O9" s="1" t="s">
        <v>473</v>
      </c>
      <c r="P9" s="1" t="s">
        <v>481</v>
      </c>
      <c r="Q9" s="1"/>
      <c r="R9" s="1"/>
      <c r="S9" s="1" t="s">
        <v>482</v>
      </c>
      <c r="T9" s="1"/>
      <c r="U9" s="1"/>
      <c r="V9" s="1"/>
      <c r="W9" s="1"/>
      <c r="X9" s="1"/>
      <c r="Y9" s="1" t="s">
        <v>483</v>
      </c>
      <c r="Z9" s="1" t="s">
        <v>484</v>
      </c>
      <c r="AA9" s="1">
        <v>2</v>
      </c>
      <c r="AB9" s="1"/>
      <c r="AC9" s="1" t="s">
        <v>455</v>
      </c>
      <c r="AD9" s="1"/>
      <c r="AE9" s="1"/>
      <c r="AF9" s="1" t="s">
        <v>485</v>
      </c>
      <c r="AG9" s="1"/>
      <c r="AH9" s="1" t="s">
        <v>486</v>
      </c>
      <c r="AI9" s="1"/>
      <c r="AJ9" s="1"/>
      <c r="AK9" s="1"/>
      <c r="AL9" s="1"/>
      <c r="AM9" s="1"/>
      <c r="AN9" s="1" t="str">
        <f>_xlfn.XLOOKUP(A:A,'RELAÇÃO ANTIGA'!A:A,'RELAÇÃO ANTIGA'!AC:AC,X)</f>
        <v>220V</v>
      </c>
      <c r="AO9" s="1"/>
      <c r="AP9" s="1">
        <v>412787475</v>
      </c>
      <c r="AQ9" s="1">
        <v>5241353</v>
      </c>
      <c r="AR9" s="1">
        <v>0</v>
      </c>
      <c r="AS9" s="1" t="s">
        <v>487</v>
      </c>
      <c r="AT9" s="1" t="s">
        <v>488</v>
      </c>
      <c r="AU9" s="1" t="s">
        <v>489</v>
      </c>
      <c r="AV9" s="1" t="s">
        <v>490</v>
      </c>
      <c r="AW9" s="1">
        <v>0</v>
      </c>
      <c r="AX9" s="1">
        <v>0</v>
      </c>
      <c r="AY9" s="1">
        <v>0</v>
      </c>
      <c r="AZ9" s="1">
        <v>0</v>
      </c>
      <c r="BA9" s="1"/>
      <c r="BB9" s="1"/>
      <c r="BC9" s="1"/>
      <c r="BD9" s="1"/>
      <c r="BE9" s="1"/>
      <c r="BF9" s="1"/>
      <c r="BG9" s="1"/>
      <c r="BH9" s="1"/>
      <c r="BI9" s="1"/>
      <c r="BJ9" s="1"/>
      <c r="BK9" s="1" t="s">
        <v>391</v>
      </c>
      <c r="BL9" s="1"/>
      <c r="BM9" s="1"/>
      <c r="BN9" s="1"/>
      <c r="BO9" s="1"/>
      <c r="BP9" s="1" t="s">
        <v>386</v>
      </c>
      <c r="BQ9" s="1"/>
      <c r="BR9" s="1" t="s">
        <v>491</v>
      </c>
      <c r="BS9" s="1" t="s">
        <v>492</v>
      </c>
      <c r="BT9" s="1">
        <v>0</v>
      </c>
      <c r="BU9" s="1">
        <v>0</v>
      </c>
      <c r="BV9" s="1">
        <v>0</v>
      </c>
      <c r="BW9" s="1" t="s">
        <v>396</v>
      </c>
      <c r="BX9" s="1"/>
      <c r="BY9" s="1" t="s">
        <v>401</v>
      </c>
      <c r="BZ9" s="1">
        <v>0</v>
      </c>
      <c r="CA9" s="1">
        <v>0</v>
      </c>
      <c r="CB9" s="1">
        <v>0</v>
      </c>
      <c r="CC9" s="1">
        <v>0</v>
      </c>
      <c r="CD9" s="1" t="s">
        <v>493</v>
      </c>
      <c r="CE9"/>
    </row>
    <row r="10" spans="1:83" hidden="1">
      <c r="A10" s="107" t="s">
        <v>494</v>
      </c>
      <c r="B10" s="1" t="str">
        <f>_xlfn.XLOOKUP(A:A,'Dados Elevatórias'!D:D,'Dados Elevatórias'!B:B)</f>
        <v>PL-RJB-EAT0695</v>
      </c>
      <c r="C10" s="1" t="str">
        <f>_xlfn.XLOOKUP(B:B,'Dados Elevatórias'!B:B,'Dados Elevatórias'!C:C)</f>
        <v>EAT</v>
      </c>
      <c r="D10" s="1" t="s">
        <v>373</v>
      </c>
      <c r="E10" s="1" t="s">
        <v>495</v>
      </c>
      <c r="F10" s="1" t="s">
        <v>496</v>
      </c>
      <c r="G10" s="1" t="s">
        <v>443</v>
      </c>
      <c r="H10" s="1" t="s">
        <v>497</v>
      </c>
      <c r="I10" s="1">
        <f>_xlfn.XLOOKUP(B10,COORDENADAS!A:A,COORDENADAS!B:B)</f>
        <v>-22.723800000000001</v>
      </c>
      <c r="J10" s="1">
        <f>_xlfn.XLOOKUP(B10,COORDENADAS!A:A,COORDENADAS!C:C)</f>
        <v>-43.53</v>
      </c>
      <c r="K10" s="1"/>
      <c r="L10" s="1"/>
      <c r="M10" s="1">
        <v>1</v>
      </c>
      <c r="N10" s="1" t="s">
        <v>378</v>
      </c>
      <c r="O10" s="1" t="s">
        <v>498</v>
      </c>
      <c r="P10" s="1" t="s">
        <v>499</v>
      </c>
      <c r="Q10" s="1" t="s">
        <v>404</v>
      </c>
      <c r="R10" s="1" t="s">
        <v>500</v>
      </c>
      <c r="S10" s="1" t="s">
        <v>501</v>
      </c>
      <c r="T10" s="1">
        <v>440</v>
      </c>
      <c r="U10" s="1">
        <v>413</v>
      </c>
      <c r="V10" s="1"/>
      <c r="W10" s="1"/>
      <c r="X10" s="1" t="s">
        <v>502</v>
      </c>
      <c r="Y10" s="1" t="s">
        <v>503</v>
      </c>
      <c r="Z10" s="1" t="s">
        <v>504</v>
      </c>
      <c r="AA10" s="1">
        <v>6</v>
      </c>
      <c r="AB10" s="1" t="s">
        <v>505</v>
      </c>
      <c r="AC10" s="1" t="s">
        <v>455</v>
      </c>
      <c r="AD10" s="1" t="s">
        <v>396</v>
      </c>
      <c r="AE10" s="1" t="s">
        <v>412</v>
      </c>
      <c r="AF10" s="1" t="s">
        <v>485</v>
      </c>
      <c r="AG10" s="1" t="s">
        <v>506</v>
      </c>
      <c r="AH10" s="1" t="s">
        <v>485</v>
      </c>
      <c r="AI10" s="1" t="s">
        <v>507</v>
      </c>
      <c r="AJ10" s="1" t="s">
        <v>508</v>
      </c>
      <c r="AK10" s="1"/>
      <c r="AL10" s="1" t="s">
        <v>509</v>
      </c>
      <c r="AM10" s="1"/>
      <c r="AN10" s="1" t="s">
        <v>510</v>
      </c>
      <c r="AO10" s="1" t="s">
        <v>511</v>
      </c>
      <c r="AP10" s="1">
        <v>0</v>
      </c>
      <c r="AQ10" s="1">
        <v>0</v>
      </c>
      <c r="AR10" s="1">
        <v>0</v>
      </c>
      <c r="AS10" s="1">
        <v>0</v>
      </c>
      <c r="AT10" s="1">
        <v>0</v>
      </c>
      <c r="AU10" s="1"/>
      <c r="AV10" s="1"/>
      <c r="AW10" s="1"/>
      <c r="AX10" s="1"/>
      <c r="AY10" s="1"/>
      <c r="AZ10" s="1"/>
      <c r="BA10" s="1"/>
      <c r="BB10" s="1" t="s">
        <v>512</v>
      </c>
      <c r="BC10" s="1"/>
      <c r="BD10" s="1"/>
      <c r="BE10" s="1"/>
      <c r="BF10" s="1"/>
      <c r="BG10" s="1"/>
      <c r="BH10" s="1"/>
      <c r="BI10" s="1"/>
      <c r="BJ10" s="1" t="s">
        <v>513</v>
      </c>
      <c r="BK10" s="1" t="s">
        <v>391</v>
      </c>
      <c r="BL10" s="1" t="s">
        <v>404</v>
      </c>
      <c r="BM10" s="1" t="s">
        <v>514</v>
      </c>
      <c r="BN10" s="1" t="s">
        <v>515</v>
      </c>
      <c r="BO10" s="1"/>
      <c r="BP10" s="1" t="s">
        <v>396</v>
      </c>
      <c r="BQ10" s="1"/>
      <c r="BR10" s="1" t="s">
        <v>516</v>
      </c>
      <c r="BS10" s="1" t="s">
        <v>517</v>
      </c>
      <c r="BT10" s="1" t="s">
        <v>518</v>
      </c>
      <c r="BU10" s="1">
        <v>0</v>
      </c>
      <c r="BV10" s="1">
        <v>0</v>
      </c>
      <c r="BW10" s="1"/>
      <c r="BX10" s="1"/>
      <c r="BY10" s="1">
        <v>0</v>
      </c>
      <c r="BZ10" s="1">
        <v>0</v>
      </c>
      <c r="CA10" s="1">
        <v>0</v>
      </c>
      <c r="CB10" s="1">
        <v>0</v>
      </c>
      <c r="CC10" s="1">
        <v>0</v>
      </c>
      <c r="CD10" s="1">
        <v>0</v>
      </c>
    </row>
    <row r="11" spans="1:83" hidden="1">
      <c r="A11" s="107" t="s">
        <v>494</v>
      </c>
      <c r="B11" s="1" t="str">
        <f>_xlfn.XLOOKUP(A:A,'Dados Elevatórias'!D:D,'Dados Elevatórias'!B:B)</f>
        <v>PL-RJB-EAT0695</v>
      </c>
      <c r="C11" s="1" t="str">
        <f>_xlfn.XLOOKUP(B:B,'Dados Elevatórias'!B:B,'Dados Elevatórias'!C:C)</f>
        <v>EAT</v>
      </c>
      <c r="D11" s="1" t="s">
        <v>373</v>
      </c>
      <c r="E11" s="1" t="s">
        <v>495</v>
      </c>
      <c r="F11" s="1" t="s">
        <v>496</v>
      </c>
      <c r="G11" s="1" t="s">
        <v>443</v>
      </c>
      <c r="H11" s="1" t="s">
        <v>497</v>
      </c>
      <c r="I11" s="1">
        <f>_xlfn.XLOOKUP(B11,COORDENADAS!A:A,COORDENADAS!B:B)</f>
        <v>-22.723800000000001</v>
      </c>
      <c r="J11" s="1">
        <f>_xlfn.XLOOKUP(B11,COORDENADAS!A:A,COORDENADAS!C:C)</f>
        <v>-43.53</v>
      </c>
      <c r="K11" s="1"/>
      <c r="L11" s="1"/>
      <c r="M11" s="1">
        <v>2</v>
      </c>
      <c r="N11" s="1" t="s">
        <v>378</v>
      </c>
      <c r="O11" s="1" t="s">
        <v>498</v>
      </c>
      <c r="P11" s="1" t="s">
        <v>499</v>
      </c>
      <c r="Q11" s="1" t="s">
        <v>404</v>
      </c>
      <c r="R11" s="1" t="s">
        <v>500</v>
      </c>
      <c r="S11" s="1" t="s">
        <v>519</v>
      </c>
      <c r="T11" s="1">
        <v>440</v>
      </c>
      <c r="U11" s="1">
        <v>413</v>
      </c>
      <c r="V11" s="1"/>
      <c r="W11" s="1"/>
      <c r="X11" s="1" t="s">
        <v>502</v>
      </c>
      <c r="Y11" s="1" t="s">
        <v>520</v>
      </c>
      <c r="Z11" s="1" t="s">
        <v>504</v>
      </c>
      <c r="AA11" s="1">
        <v>6</v>
      </c>
      <c r="AB11" s="1" t="s">
        <v>505</v>
      </c>
      <c r="AC11" s="1" t="s">
        <v>410</v>
      </c>
      <c r="AD11" s="1" t="s">
        <v>396</v>
      </c>
      <c r="AE11" s="1" t="s">
        <v>412</v>
      </c>
      <c r="AF11" s="1" t="s">
        <v>485</v>
      </c>
      <c r="AG11" s="1" t="s">
        <v>506</v>
      </c>
      <c r="AH11" s="1" t="s">
        <v>485</v>
      </c>
      <c r="AI11" s="1" t="s">
        <v>507</v>
      </c>
      <c r="AJ11" s="1" t="s">
        <v>508</v>
      </c>
      <c r="AK11" s="1"/>
      <c r="AL11" s="1"/>
      <c r="AM11" s="1"/>
      <c r="AN11" s="1" t="s">
        <v>510</v>
      </c>
      <c r="AO11" s="1" t="s">
        <v>511</v>
      </c>
      <c r="AP11" s="1">
        <v>0</v>
      </c>
      <c r="AQ11" s="1">
        <v>0</v>
      </c>
      <c r="AR11" s="1">
        <v>0</v>
      </c>
      <c r="AS11" s="1">
        <v>0</v>
      </c>
      <c r="AT11" s="1">
        <v>0</v>
      </c>
      <c r="AU11" s="1"/>
      <c r="AV11" s="1"/>
      <c r="AW11" s="1"/>
      <c r="AX11" s="1"/>
      <c r="AY11" s="1"/>
      <c r="AZ11" s="1"/>
      <c r="BA11" s="1"/>
      <c r="BB11" s="1"/>
      <c r="BC11" s="1"/>
      <c r="BD11" s="1"/>
      <c r="BE11" s="1"/>
      <c r="BF11" s="1"/>
      <c r="BG11" s="1"/>
      <c r="BH11" s="1"/>
      <c r="BI11" s="1"/>
      <c r="BJ11" s="1" t="s">
        <v>521</v>
      </c>
      <c r="BK11" s="1" t="s">
        <v>391</v>
      </c>
      <c r="BL11" s="1" t="s">
        <v>404</v>
      </c>
      <c r="BM11" s="1" t="s">
        <v>514</v>
      </c>
      <c r="BN11" s="1" t="s">
        <v>515</v>
      </c>
      <c r="BO11" s="1"/>
      <c r="BP11" s="1" t="s">
        <v>396</v>
      </c>
      <c r="BQ11" s="1"/>
      <c r="BR11" s="1" t="s">
        <v>516</v>
      </c>
      <c r="BS11" s="1" t="s">
        <v>517</v>
      </c>
      <c r="BT11" s="1" t="s">
        <v>518</v>
      </c>
      <c r="BU11" s="1">
        <v>0</v>
      </c>
      <c r="BV11" s="1">
        <v>0</v>
      </c>
      <c r="BW11" s="1"/>
      <c r="BX11" s="1"/>
      <c r="BY11" s="1">
        <v>0</v>
      </c>
      <c r="BZ11" s="1">
        <v>0</v>
      </c>
      <c r="CA11" s="1">
        <v>0</v>
      </c>
      <c r="CB11" s="1">
        <v>0</v>
      </c>
      <c r="CC11" s="1">
        <v>0</v>
      </c>
      <c r="CD11" s="1">
        <v>0</v>
      </c>
    </row>
    <row r="12" spans="1:83" hidden="1">
      <c r="A12" s="107" t="s">
        <v>494</v>
      </c>
      <c r="B12" s="1" t="str">
        <f>_xlfn.XLOOKUP(A:A,'Dados Elevatórias'!D:D,'Dados Elevatórias'!B:B)</f>
        <v>PL-RJB-EAT0695</v>
      </c>
      <c r="C12" s="1" t="str">
        <f>_xlfn.XLOOKUP(B:B,'Dados Elevatórias'!B:B,'Dados Elevatórias'!C:C)</f>
        <v>EAT</v>
      </c>
      <c r="D12" s="1" t="s">
        <v>373</v>
      </c>
      <c r="E12" s="1" t="s">
        <v>495</v>
      </c>
      <c r="F12" s="1" t="s">
        <v>496</v>
      </c>
      <c r="G12" s="1" t="s">
        <v>443</v>
      </c>
      <c r="H12" s="1" t="s">
        <v>497</v>
      </c>
      <c r="I12" s="1">
        <f>_xlfn.XLOOKUP(B12,COORDENADAS!A:A,COORDENADAS!B:B)</f>
        <v>-22.723800000000001</v>
      </c>
      <c r="J12" s="1">
        <f>_xlfn.XLOOKUP(B12,COORDENADAS!A:A,COORDENADAS!C:C)</f>
        <v>-43.53</v>
      </c>
      <c r="K12" s="1"/>
      <c r="L12" s="1"/>
      <c r="M12" s="1">
        <v>3</v>
      </c>
      <c r="N12" s="1" t="s">
        <v>378</v>
      </c>
      <c r="O12" s="1" t="s">
        <v>498</v>
      </c>
      <c r="P12" s="1" t="s">
        <v>499</v>
      </c>
      <c r="Q12" s="1" t="s">
        <v>404</v>
      </c>
      <c r="R12" s="1" t="s">
        <v>500</v>
      </c>
      <c r="S12" s="1" t="s">
        <v>522</v>
      </c>
      <c r="T12" s="1">
        <v>440</v>
      </c>
      <c r="U12" s="1">
        <v>413</v>
      </c>
      <c r="V12" s="1"/>
      <c r="W12" s="1"/>
      <c r="X12" s="1" t="s">
        <v>502</v>
      </c>
      <c r="Y12" s="1" t="s">
        <v>523</v>
      </c>
      <c r="Z12" s="1" t="s">
        <v>504</v>
      </c>
      <c r="AA12" s="1">
        <v>6</v>
      </c>
      <c r="AB12" s="1" t="s">
        <v>505</v>
      </c>
      <c r="AC12" s="1" t="s">
        <v>410</v>
      </c>
      <c r="AD12" s="1" t="s">
        <v>396</v>
      </c>
      <c r="AE12" s="1" t="s">
        <v>412</v>
      </c>
      <c r="AF12" s="1" t="s">
        <v>485</v>
      </c>
      <c r="AG12" s="1" t="s">
        <v>506</v>
      </c>
      <c r="AH12" s="1" t="s">
        <v>485</v>
      </c>
      <c r="AI12" s="1" t="s">
        <v>507</v>
      </c>
      <c r="AJ12" s="1" t="s">
        <v>508</v>
      </c>
      <c r="AK12" s="1"/>
      <c r="AL12" s="1"/>
      <c r="AM12" s="1"/>
      <c r="AN12" s="1" t="s">
        <v>510</v>
      </c>
      <c r="AO12" s="1" t="s">
        <v>511</v>
      </c>
      <c r="AP12" s="1">
        <v>0</v>
      </c>
      <c r="AQ12" s="1">
        <v>0</v>
      </c>
      <c r="AR12" s="1">
        <v>0</v>
      </c>
      <c r="AS12" s="1">
        <v>0</v>
      </c>
      <c r="AT12" s="1">
        <v>0</v>
      </c>
      <c r="AU12" s="1"/>
      <c r="AV12" s="1"/>
      <c r="AW12" s="1"/>
      <c r="AX12" s="1"/>
      <c r="AY12" s="1"/>
      <c r="AZ12" s="1"/>
      <c r="BA12" s="1"/>
      <c r="BB12" s="1"/>
      <c r="BC12" s="1"/>
      <c r="BD12" s="1"/>
      <c r="BE12" s="1"/>
      <c r="BF12" s="1"/>
      <c r="BG12" s="1"/>
      <c r="BH12" s="1"/>
      <c r="BI12" s="1"/>
      <c r="BJ12" s="1" t="s">
        <v>524</v>
      </c>
      <c r="BK12" s="1" t="s">
        <v>391</v>
      </c>
      <c r="BL12" s="1" t="s">
        <v>404</v>
      </c>
      <c r="BM12" s="1" t="s">
        <v>514</v>
      </c>
      <c r="BN12" s="1" t="s">
        <v>515</v>
      </c>
      <c r="BO12" s="1" t="s">
        <v>525</v>
      </c>
      <c r="BP12" s="1" t="s">
        <v>396</v>
      </c>
      <c r="BQ12" s="1"/>
      <c r="BR12" s="1" t="s">
        <v>516</v>
      </c>
      <c r="BS12" s="1" t="s">
        <v>517</v>
      </c>
      <c r="BT12" s="1" t="s">
        <v>518</v>
      </c>
      <c r="BU12" s="1">
        <v>0</v>
      </c>
      <c r="BV12" s="1">
        <v>0</v>
      </c>
      <c r="BW12" s="1"/>
      <c r="BX12" s="1"/>
      <c r="BY12" s="1">
        <v>0</v>
      </c>
      <c r="BZ12" s="1">
        <v>0</v>
      </c>
      <c r="CA12" s="1">
        <v>0</v>
      </c>
      <c r="CB12" s="1">
        <v>0</v>
      </c>
      <c r="CC12" s="1">
        <v>0</v>
      </c>
      <c r="CD12" s="1">
        <v>0</v>
      </c>
    </row>
    <row r="13" spans="1:83" hidden="1">
      <c r="A13" s="107" t="s">
        <v>526</v>
      </c>
      <c r="B13" s="1" t="str">
        <f>_xlfn.XLOOKUP(A:A,'Dados Elevatórias'!D:D,'Dados Elevatórias'!B:B)</f>
        <v>PL-RJB-EAT1005</v>
      </c>
      <c r="C13" s="1" t="str">
        <f>_xlfn.XLOOKUP(B:B,'Dados Elevatórias'!B:B,'Dados Elevatórias'!C:C)</f>
        <v>EAT</v>
      </c>
      <c r="D13" s="1" t="s">
        <v>373</v>
      </c>
      <c r="E13" s="1" t="s">
        <v>527</v>
      </c>
      <c r="F13" s="1" t="s">
        <v>528</v>
      </c>
      <c r="G13" s="1" t="s">
        <v>421</v>
      </c>
      <c r="H13" s="1" t="str">
        <f>_xlfn.XLOOKUP(B:B,'Dados Elevatórias'!B:B,'Dados Elevatórias'!G:G)</f>
        <v>26220-100</v>
      </c>
      <c r="I13" s="1">
        <f>_xlfn.XLOOKUP(B13,COORDENADAS!A:A,COORDENADAS!B:B)</f>
        <v>-22.759599999999999</v>
      </c>
      <c r="J13" s="1">
        <f>_xlfn.XLOOKUP(B13,COORDENADAS!A:A,COORDENADAS!C:C)</f>
        <v>-43.445500000000003</v>
      </c>
      <c r="K13" s="1"/>
      <c r="L13" s="1" t="s">
        <v>377</v>
      </c>
      <c r="M13" s="1">
        <v>1</v>
      </c>
      <c r="N13" s="1" t="s">
        <v>378</v>
      </c>
      <c r="O13" s="1" t="s">
        <v>529</v>
      </c>
      <c r="P13" s="1" t="s">
        <v>530</v>
      </c>
      <c r="Q13" s="1" t="s">
        <v>531</v>
      </c>
      <c r="R13" s="1" t="s">
        <v>532</v>
      </c>
      <c r="S13" s="1" t="s">
        <v>533</v>
      </c>
      <c r="T13" s="1" t="s">
        <v>407</v>
      </c>
      <c r="U13" s="1" t="s">
        <v>534</v>
      </c>
      <c r="V13" s="1" t="s">
        <v>535</v>
      </c>
      <c r="W13" s="1" t="s">
        <v>535</v>
      </c>
      <c r="X13" s="1" t="s">
        <v>536</v>
      </c>
      <c r="Y13" s="1" t="s">
        <v>537</v>
      </c>
      <c r="Z13" s="1" t="s">
        <v>538</v>
      </c>
      <c r="AA13" s="1">
        <v>7</v>
      </c>
      <c r="AB13" s="1" t="s">
        <v>539</v>
      </c>
      <c r="AC13" s="1" t="s">
        <v>455</v>
      </c>
      <c r="AD13" s="1"/>
      <c r="AE13" s="1"/>
      <c r="AF13" s="1" t="s">
        <v>411</v>
      </c>
      <c r="AG13" s="1"/>
      <c r="AH13" s="1" t="s">
        <v>411</v>
      </c>
      <c r="AI13" s="1" t="s">
        <v>540</v>
      </c>
      <c r="AJ13" s="1" t="s">
        <v>541</v>
      </c>
      <c r="AK13" s="1"/>
      <c r="AL13" s="1"/>
      <c r="AM13" s="1"/>
      <c r="AN13" s="1" t="str">
        <f>_xlfn.XLOOKUP(A:A,'RELAÇÃO ANTIGA'!A:A,'RELAÇÃO ANTIGA'!AC:AC,X)</f>
        <v>220v</v>
      </c>
      <c r="AO13" s="1"/>
      <c r="AP13" s="1">
        <v>0</v>
      </c>
      <c r="AQ13" s="1">
        <v>0</v>
      </c>
      <c r="AR13" s="1">
        <v>0</v>
      </c>
      <c r="AS13" s="1">
        <v>0</v>
      </c>
      <c r="AT13" s="1">
        <v>0</v>
      </c>
      <c r="AU13" s="1"/>
      <c r="AV13" s="1"/>
      <c r="AW13" s="1"/>
      <c r="AX13" s="1"/>
      <c r="AY13" s="1"/>
      <c r="AZ13" s="1"/>
      <c r="BA13" s="1"/>
      <c r="BB13" s="1"/>
      <c r="BC13" s="1"/>
      <c r="BD13" s="1"/>
      <c r="BE13" s="1"/>
      <c r="BF13" s="1"/>
      <c r="BG13" s="1"/>
      <c r="BH13" s="1"/>
      <c r="BI13" s="1"/>
      <c r="BJ13" s="1"/>
      <c r="BK13" s="1" t="s">
        <v>391</v>
      </c>
      <c r="BL13" s="1"/>
      <c r="BM13" s="1"/>
      <c r="BN13" s="1"/>
      <c r="BO13" s="1"/>
      <c r="BP13" s="1" t="s">
        <v>396</v>
      </c>
      <c r="BQ13" s="1"/>
      <c r="BR13" s="1" t="s">
        <v>542</v>
      </c>
      <c r="BS13" s="1" t="s">
        <v>543</v>
      </c>
      <c r="BT13" s="1" t="s">
        <v>544</v>
      </c>
      <c r="BU13" s="1">
        <v>0</v>
      </c>
      <c r="BV13" s="1">
        <v>0</v>
      </c>
      <c r="BW13" s="1"/>
      <c r="BX13" s="1"/>
      <c r="BY13" s="1">
        <v>0</v>
      </c>
      <c r="BZ13" s="1">
        <v>0</v>
      </c>
      <c r="CA13" s="1">
        <v>0</v>
      </c>
      <c r="CB13" s="1">
        <v>0</v>
      </c>
      <c r="CC13" s="1">
        <v>0</v>
      </c>
      <c r="CD13" s="1">
        <v>0</v>
      </c>
    </row>
    <row r="14" spans="1:83" hidden="1">
      <c r="A14" s="107" t="s">
        <v>526</v>
      </c>
      <c r="B14" s="1" t="str">
        <f>_xlfn.XLOOKUP(A:A,'Dados Elevatórias'!D:D,'Dados Elevatórias'!B:B)</f>
        <v>PL-RJB-EAT1005</v>
      </c>
      <c r="C14" s="1" t="str">
        <f>_xlfn.XLOOKUP(B:B,'Dados Elevatórias'!B:B,'Dados Elevatórias'!C:C)</f>
        <v>EAT</v>
      </c>
      <c r="D14" s="1" t="s">
        <v>373</v>
      </c>
      <c r="E14" s="1" t="s">
        <v>527</v>
      </c>
      <c r="F14" s="1" t="s">
        <v>528</v>
      </c>
      <c r="G14" s="1" t="s">
        <v>421</v>
      </c>
      <c r="H14" s="1" t="str">
        <f>_xlfn.XLOOKUP(B:B,'Dados Elevatórias'!B:B,'Dados Elevatórias'!G:G)</f>
        <v>26220-100</v>
      </c>
      <c r="I14" s="1">
        <f>_xlfn.XLOOKUP(B14,COORDENADAS!A:A,COORDENADAS!B:B)</f>
        <v>-22.759599999999999</v>
      </c>
      <c r="J14" s="1">
        <f>_xlfn.XLOOKUP(B14,COORDENADAS!A:A,COORDENADAS!C:C)</f>
        <v>-43.445500000000003</v>
      </c>
      <c r="K14" s="1"/>
      <c r="L14" s="1" t="s">
        <v>377</v>
      </c>
      <c r="M14" s="1">
        <v>2</v>
      </c>
      <c r="N14" s="1" t="s">
        <v>378</v>
      </c>
      <c r="O14" s="1" t="s">
        <v>529</v>
      </c>
      <c r="P14" s="1" t="s">
        <v>530</v>
      </c>
      <c r="Q14" s="1" t="s">
        <v>531</v>
      </c>
      <c r="R14" s="1" t="s">
        <v>532</v>
      </c>
      <c r="S14" s="1" t="s">
        <v>545</v>
      </c>
      <c r="T14" s="1" t="s">
        <v>407</v>
      </c>
      <c r="U14" s="1" t="s">
        <v>534</v>
      </c>
      <c r="V14" s="1" t="s">
        <v>535</v>
      </c>
      <c r="W14" s="1" t="s">
        <v>535</v>
      </c>
      <c r="X14" s="1" t="s">
        <v>536</v>
      </c>
      <c r="Y14" s="1" t="s">
        <v>546</v>
      </c>
      <c r="Z14" s="1" t="s">
        <v>538</v>
      </c>
      <c r="AA14" s="1">
        <v>7</v>
      </c>
      <c r="AB14" s="1" t="s">
        <v>539</v>
      </c>
      <c r="AC14" s="1" t="s">
        <v>455</v>
      </c>
      <c r="AD14" s="1"/>
      <c r="AE14" s="1"/>
      <c r="AF14" s="1" t="s">
        <v>411</v>
      </c>
      <c r="AG14" s="1"/>
      <c r="AH14" s="1" t="s">
        <v>411</v>
      </c>
      <c r="AI14" s="1" t="s">
        <v>540</v>
      </c>
      <c r="AJ14" s="1" t="s">
        <v>541</v>
      </c>
      <c r="AK14" s="1"/>
      <c r="AL14" s="1"/>
      <c r="AM14" s="1"/>
      <c r="AN14" s="1" t="str">
        <f>_xlfn.XLOOKUP(A:A,'RELAÇÃO ANTIGA'!A:A,'RELAÇÃO ANTIGA'!AC:AC,X)</f>
        <v>220v</v>
      </c>
      <c r="AO14" s="1"/>
      <c r="AP14" s="1">
        <v>0</v>
      </c>
      <c r="AQ14" s="1">
        <v>0</v>
      </c>
      <c r="AR14" s="1">
        <v>0</v>
      </c>
      <c r="AS14" s="1">
        <v>0</v>
      </c>
      <c r="AT14" s="1">
        <v>0</v>
      </c>
      <c r="AU14" s="1"/>
      <c r="AV14" s="1"/>
      <c r="AW14" s="1"/>
      <c r="AX14" s="1"/>
      <c r="AY14" s="1"/>
      <c r="AZ14" s="1"/>
      <c r="BA14" s="1"/>
      <c r="BB14" s="1"/>
      <c r="BC14" s="1"/>
      <c r="BD14" s="1"/>
      <c r="BE14" s="1"/>
      <c r="BF14" s="1"/>
      <c r="BG14" s="1"/>
      <c r="BH14" s="1"/>
      <c r="BI14" s="1"/>
      <c r="BJ14" s="1"/>
      <c r="BK14" s="1" t="s">
        <v>391</v>
      </c>
      <c r="BL14" s="1"/>
      <c r="BM14" s="1"/>
      <c r="BN14" s="1"/>
      <c r="BO14" s="1"/>
      <c r="BP14" s="1" t="s">
        <v>396</v>
      </c>
      <c r="BQ14" s="1"/>
      <c r="BR14" s="1" t="s">
        <v>542</v>
      </c>
      <c r="BS14" s="1" t="s">
        <v>543</v>
      </c>
      <c r="BT14" s="1" t="s">
        <v>544</v>
      </c>
      <c r="BU14" s="1">
        <v>0</v>
      </c>
      <c r="BV14" s="1">
        <v>0</v>
      </c>
      <c r="BW14" s="1"/>
      <c r="BX14" s="1"/>
      <c r="BY14" s="1">
        <v>0</v>
      </c>
      <c r="BZ14" s="1">
        <v>0</v>
      </c>
      <c r="CA14" s="1">
        <v>0</v>
      </c>
      <c r="CB14" s="1">
        <v>0</v>
      </c>
      <c r="CC14" s="1">
        <v>0</v>
      </c>
      <c r="CD14" s="1">
        <v>0</v>
      </c>
    </row>
    <row r="15" spans="1:83" hidden="1">
      <c r="A15" s="107" t="s">
        <v>526</v>
      </c>
      <c r="B15" s="1" t="str">
        <f>_xlfn.XLOOKUP(A:A,'Dados Elevatórias'!D:D,'Dados Elevatórias'!B:B)</f>
        <v>PL-RJB-EAT1005</v>
      </c>
      <c r="C15" s="1" t="str">
        <f>_xlfn.XLOOKUP(B:B,'Dados Elevatórias'!B:B,'Dados Elevatórias'!C:C)</f>
        <v>EAT</v>
      </c>
      <c r="D15" s="1" t="s">
        <v>373</v>
      </c>
      <c r="E15" s="1" t="s">
        <v>527</v>
      </c>
      <c r="F15" s="1" t="s">
        <v>528</v>
      </c>
      <c r="G15" s="1" t="s">
        <v>421</v>
      </c>
      <c r="H15" s="1" t="str">
        <f>_xlfn.XLOOKUP(B:B,'Dados Elevatórias'!B:B,'Dados Elevatórias'!G:G)</f>
        <v>26220-100</v>
      </c>
      <c r="I15" s="1">
        <f>_xlfn.XLOOKUP(B15,COORDENADAS!A:A,COORDENADAS!B:B)</f>
        <v>-22.759599999999999</v>
      </c>
      <c r="J15" s="1">
        <f>_xlfn.XLOOKUP(B15,COORDENADAS!A:A,COORDENADAS!C:C)</f>
        <v>-43.445500000000003</v>
      </c>
      <c r="K15" s="1"/>
      <c r="L15" s="1" t="s">
        <v>377</v>
      </c>
      <c r="M15" s="1">
        <v>3</v>
      </c>
      <c r="N15" s="1" t="s">
        <v>378</v>
      </c>
      <c r="O15" s="1" t="s">
        <v>529</v>
      </c>
      <c r="P15" s="1" t="s">
        <v>530</v>
      </c>
      <c r="Q15" s="1" t="s">
        <v>531</v>
      </c>
      <c r="R15" s="1" t="s">
        <v>532</v>
      </c>
      <c r="S15" s="1" t="s">
        <v>547</v>
      </c>
      <c r="T15" s="1" t="s">
        <v>407</v>
      </c>
      <c r="U15" s="1" t="s">
        <v>534</v>
      </c>
      <c r="V15" s="1" t="s">
        <v>535</v>
      </c>
      <c r="W15" s="1" t="s">
        <v>535</v>
      </c>
      <c r="X15" s="1" t="s">
        <v>536</v>
      </c>
      <c r="Y15" s="1" t="s">
        <v>548</v>
      </c>
      <c r="Z15" s="1" t="s">
        <v>538</v>
      </c>
      <c r="AA15" s="1">
        <v>7</v>
      </c>
      <c r="AB15" s="1" t="s">
        <v>539</v>
      </c>
      <c r="AC15" s="1" t="s">
        <v>455</v>
      </c>
      <c r="AD15" s="1"/>
      <c r="AE15" s="1"/>
      <c r="AF15" s="1" t="s">
        <v>411</v>
      </c>
      <c r="AG15" s="1"/>
      <c r="AH15" s="1" t="s">
        <v>411</v>
      </c>
      <c r="AI15" s="1" t="s">
        <v>540</v>
      </c>
      <c r="AJ15" s="1" t="s">
        <v>541</v>
      </c>
      <c r="AK15" s="1"/>
      <c r="AL15" s="1"/>
      <c r="AM15" s="1"/>
      <c r="AN15" s="1" t="str">
        <f>_xlfn.XLOOKUP(A:A,'RELAÇÃO ANTIGA'!A:A,'RELAÇÃO ANTIGA'!AC:AC,X)</f>
        <v>220v</v>
      </c>
      <c r="AO15" s="1"/>
      <c r="AP15" s="1">
        <v>0</v>
      </c>
      <c r="AQ15" s="1">
        <v>0</v>
      </c>
      <c r="AR15" s="1">
        <v>0</v>
      </c>
      <c r="AS15" s="1">
        <v>0</v>
      </c>
      <c r="AT15" s="1">
        <v>0</v>
      </c>
      <c r="AU15" s="1"/>
      <c r="AV15" s="1"/>
      <c r="AW15" s="1"/>
      <c r="AX15" s="1"/>
      <c r="AY15" s="1"/>
      <c r="AZ15" s="1"/>
      <c r="BA15" s="1"/>
      <c r="BB15" s="1"/>
      <c r="BC15" s="1"/>
      <c r="BD15" s="1"/>
      <c r="BE15" s="1"/>
      <c r="BF15" s="1"/>
      <c r="BG15" s="1"/>
      <c r="BH15" s="1"/>
      <c r="BI15" s="1"/>
      <c r="BJ15" s="1"/>
      <c r="BK15" s="1" t="s">
        <v>391</v>
      </c>
      <c r="BL15" s="1"/>
      <c r="BM15" s="1"/>
      <c r="BN15" s="1"/>
      <c r="BO15" s="1"/>
      <c r="BP15" s="1" t="s">
        <v>396</v>
      </c>
      <c r="BQ15" s="1"/>
      <c r="BR15" s="1" t="s">
        <v>542</v>
      </c>
      <c r="BS15" s="1" t="s">
        <v>543</v>
      </c>
      <c r="BT15" s="1" t="s">
        <v>544</v>
      </c>
      <c r="BU15" s="1">
        <v>0</v>
      </c>
      <c r="BV15" s="1">
        <v>0</v>
      </c>
      <c r="BW15" s="1"/>
      <c r="BX15" s="1"/>
      <c r="BY15" s="1">
        <v>0</v>
      </c>
      <c r="BZ15" s="1">
        <v>0</v>
      </c>
      <c r="CA15" s="1">
        <v>0</v>
      </c>
      <c r="CB15" s="1">
        <v>0</v>
      </c>
      <c r="CC15" s="1">
        <v>0</v>
      </c>
      <c r="CD15" s="1">
        <v>0</v>
      </c>
    </row>
    <row r="16" spans="1:83" hidden="1">
      <c r="A16" s="107" t="s">
        <v>549</v>
      </c>
      <c r="B16" s="1" t="str">
        <f>_xlfn.XLOOKUP(A:A,'Dados Elevatórias'!D:D,'Dados Elevatórias'!B:B)</f>
        <v>PL-RJB-EAT0689</v>
      </c>
      <c r="C16" s="1" t="str">
        <f>_xlfn.XLOOKUP(B:B,'Dados Elevatórias'!B:B,'Dados Elevatórias'!C:C)</f>
        <v>EAT</v>
      </c>
      <c r="D16" s="1" t="s">
        <v>373</v>
      </c>
      <c r="E16" s="1" t="s">
        <v>550</v>
      </c>
      <c r="F16" s="1" t="s">
        <v>551</v>
      </c>
      <c r="G16" s="1" t="s">
        <v>421</v>
      </c>
      <c r="H16" s="1" t="str">
        <f>_xlfn.XLOOKUP(B:B,'Dados Elevatórias'!B:B,'Dados Elevatórias'!G:G)</f>
        <v>26290-048</v>
      </c>
      <c r="I16" s="1">
        <f>_xlfn.XLOOKUP(B16,COORDENADAS!A:A,COORDENADAS!B:B)</f>
        <v>-22.763999999999999</v>
      </c>
      <c r="J16" s="1">
        <f>_xlfn.XLOOKUP(B16,COORDENADAS!A:A,COORDENADAS!C:C)</f>
        <v>-43.536999999999999</v>
      </c>
      <c r="K16" s="1"/>
      <c r="L16" s="1" t="s">
        <v>377</v>
      </c>
      <c r="M16" s="1">
        <v>1</v>
      </c>
      <c r="N16" s="1" t="s">
        <v>378</v>
      </c>
      <c r="O16" s="1" t="s">
        <v>552</v>
      </c>
      <c r="P16" s="1" t="s">
        <v>553</v>
      </c>
      <c r="Q16" s="1" t="s">
        <v>404</v>
      </c>
      <c r="R16" s="1" t="s">
        <v>554</v>
      </c>
      <c r="S16" s="1" t="s">
        <v>555</v>
      </c>
      <c r="T16" s="1" t="s">
        <v>407</v>
      </c>
      <c r="U16" s="1" t="s">
        <v>556</v>
      </c>
      <c r="V16" s="1" t="s">
        <v>557</v>
      </c>
      <c r="W16" s="1" t="s">
        <v>558</v>
      </c>
      <c r="X16" s="1" t="s">
        <v>536</v>
      </c>
      <c r="Y16" s="1" t="s">
        <v>559</v>
      </c>
      <c r="Z16" s="1" t="s">
        <v>538</v>
      </c>
      <c r="AA16" s="1">
        <v>4</v>
      </c>
      <c r="AB16" s="1" t="s">
        <v>560</v>
      </c>
      <c r="AC16" s="1" t="s">
        <v>455</v>
      </c>
      <c r="AD16" s="1" t="s">
        <v>386</v>
      </c>
      <c r="AE16" s="1"/>
      <c r="AF16" s="1" t="s">
        <v>411</v>
      </c>
      <c r="AG16" s="1"/>
      <c r="AH16" s="1" t="s">
        <v>411</v>
      </c>
      <c r="AI16" s="1" t="s">
        <v>561</v>
      </c>
      <c r="AJ16" s="1" t="s">
        <v>562</v>
      </c>
      <c r="AK16" s="1"/>
      <c r="AL16" s="1"/>
      <c r="AM16" s="1"/>
      <c r="AN16" s="1" t="s">
        <v>563</v>
      </c>
      <c r="AO16" s="1"/>
      <c r="AP16" s="1">
        <v>430053078</v>
      </c>
      <c r="AQ16" s="1">
        <v>7891998</v>
      </c>
      <c r="AR16" s="1">
        <v>0</v>
      </c>
      <c r="AS16" s="1" t="s">
        <v>564</v>
      </c>
      <c r="AT16" s="1" t="s">
        <v>565</v>
      </c>
      <c r="AU16" s="1"/>
      <c r="AV16" s="1"/>
      <c r="AW16" s="1"/>
      <c r="AX16" s="1"/>
      <c r="AY16" s="1"/>
      <c r="AZ16" s="1"/>
      <c r="BA16" s="1"/>
      <c r="BB16" s="1"/>
      <c r="BC16" s="1"/>
      <c r="BD16" s="1"/>
      <c r="BE16" s="1"/>
      <c r="BF16" s="1"/>
      <c r="BG16" s="1"/>
      <c r="BH16" s="1"/>
      <c r="BI16" s="1"/>
      <c r="BJ16" s="1"/>
      <c r="BK16" s="1" t="s">
        <v>391</v>
      </c>
      <c r="BL16" s="1"/>
      <c r="BM16" s="1"/>
      <c r="BN16" s="1"/>
      <c r="BO16" s="1"/>
      <c r="BP16" s="1" t="s">
        <v>396</v>
      </c>
      <c r="BQ16" s="1"/>
      <c r="BR16" s="1" t="s">
        <v>566</v>
      </c>
      <c r="BS16" s="1" t="s">
        <v>567</v>
      </c>
      <c r="BT16" s="1" t="s">
        <v>518</v>
      </c>
      <c r="BU16" s="1">
        <v>0</v>
      </c>
      <c r="BV16" s="1">
        <v>0</v>
      </c>
      <c r="BW16" s="1"/>
      <c r="BX16" s="1"/>
      <c r="BY16" s="1">
        <v>0</v>
      </c>
      <c r="BZ16" s="1">
        <v>0</v>
      </c>
      <c r="CA16" s="1">
        <v>0</v>
      </c>
      <c r="CB16" s="1">
        <v>0</v>
      </c>
      <c r="CC16" s="1">
        <v>0</v>
      </c>
      <c r="CD16" s="1">
        <v>0</v>
      </c>
    </row>
    <row r="17" spans="1:82" hidden="1">
      <c r="A17" s="107" t="s">
        <v>549</v>
      </c>
      <c r="B17" s="1" t="str">
        <f>_xlfn.XLOOKUP(A:A,'Dados Elevatórias'!D:D,'Dados Elevatórias'!B:B)</f>
        <v>PL-RJB-EAT0689</v>
      </c>
      <c r="C17" s="1" t="str">
        <f>_xlfn.XLOOKUP(B:B,'Dados Elevatórias'!B:B,'Dados Elevatórias'!C:C)</f>
        <v>EAT</v>
      </c>
      <c r="D17" s="1" t="s">
        <v>373</v>
      </c>
      <c r="E17" s="1" t="s">
        <v>550</v>
      </c>
      <c r="F17" s="1" t="s">
        <v>551</v>
      </c>
      <c r="G17" s="1" t="s">
        <v>421</v>
      </c>
      <c r="H17" s="1" t="str">
        <f>_xlfn.XLOOKUP(B:B,'Dados Elevatórias'!B:B,'Dados Elevatórias'!G:G)</f>
        <v>26290-048</v>
      </c>
      <c r="I17" s="1">
        <f>_xlfn.XLOOKUP(B17,COORDENADAS!A:A,COORDENADAS!B:B)</f>
        <v>-22.763999999999999</v>
      </c>
      <c r="J17" s="1">
        <f>_xlfn.XLOOKUP(B17,COORDENADAS!A:A,COORDENADAS!C:C)</f>
        <v>-43.536999999999999</v>
      </c>
      <c r="K17" s="1"/>
      <c r="L17" s="1" t="s">
        <v>377</v>
      </c>
      <c r="M17" s="1">
        <v>2</v>
      </c>
      <c r="N17" s="1" t="s">
        <v>378</v>
      </c>
      <c r="O17" s="1" t="s">
        <v>552</v>
      </c>
      <c r="P17" s="1" t="s">
        <v>553</v>
      </c>
      <c r="Q17" s="1" t="s">
        <v>404</v>
      </c>
      <c r="R17" s="1" t="s">
        <v>554</v>
      </c>
      <c r="S17" s="1" t="s">
        <v>568</v>
      </c>
      <c r="T17" s="1" t="s">
        <v>407</v>
      </c>
      <c r="U17" s="1" t="s">
        <v>556</v>
      </c>
      <c r="V17" s="1" t="s">
        <v>557</v>
      </c>
      <c r="W17" s="1" t="s">
        <v>558</v>
      </c>
      <c r="X17" s="1" t="s">
        <v>536</v>
      </c>
      <c r="Y17" s="1" t="s">
        <v>569</v>
      </c>
      <c r="Z17" s="1" t="s">
        <v>538</v>
      </c>
      <c r="AA17" s="1">
        <v>4</v>
      </c>
      <c r="AB17" s="1" t="s">
        <v>560</v>
      </c>
      <c r="AC17" s="1" t="s">
        <v>455</v>
      </c>
      <c r="AD17" s="1" t="s">
        <v>386</v>
      </c>
      <c r="AE17" s="1"/>
      <c r="AF17" s="1" t="s">
        <v>411</v>
      </c>
      <c r="AG17" s="1"/>
      <c r="AH17" s="1" t="s">
        <v>411</v>
      </c>
      <c r="AI17" s="1" t="s">
        <v>561</v>
      </c>
      <c r="AJ17" s="1" t="s">
        <v>562</v>
      </c>
      <c r="AK17" s="1"/>
      <c r="AL17" s="1"/>
      <c r="AM17" s="1"/>
      <c r="AN17" s="1" t="s">
        <v>563</v>
      </c>
      <c r="AO17" s="1"/>
      <c r="AP17" s="1">
        <v>430053078</v>
      </c>
      <c r="AQ17" s="1">
        <v>7891998</v>
      </c>
      <c r="AR17" s="1">
        <v>0</v>
      </c>
      <c r="AS17" s="1" t="s">
        <v>564</v>
      </c>
      <c r="AT17" s="1" t="s">
        <v>565</v>
      </c>
      <c r="AU17" s="1"/>
      <c r="AV17" s="1"/>
      <c r="AW17" s="1"/>
      <c r="AX17" s="1"/>
      <c r="AY17" s="1"/>
      <c r="AZ17" s="1"/>
      <c r="BA17" s="1"/>
      <c r="BB17" s="1"/>
      <c r="BC17" s="1"/>
      <c r="BD17" s="1"/>
      <c r="BE17" s="1"/>
      <c r="BF17" s="1"/>
      <c r="BG17" s="1"/>
      <c r="BH17" s="1"/>
      <c r="BI17" s="1"/>
      <c r="BJ17" s="1"/>
      <c r="BK17" s="1" t="s">
        <v>391</v>
      </c>
      <c r="BL17" s="1"/>
      <c r="BM17" s="1"/>
      <c r="BN17" s="1"/>
      <c r="BO17" s="1"/>
      <c r="BP17" s="1" t="s">
        <v>396</v>
      </c>
      <c r="BQ17" s="1"/>
      <c r="BR17" s="1" t="s">
        <v>566</v>
      </c>
      <c r="BS17" s="1" t="s">
        <v>567</v>
      </c>
      <c r="BT17" s="1" t="s">
        <v>518</v>
      </c>
      <c r="BU17" s="1">
        <v>0</v>
      </c>
      <c r="BV17" s="1">
        <v>0</v>
      </c>
      <c r="BW17" s="1"/>
      <c r="BX17" s="1"/>
      <c r="BY17" s="1">
        <v>0</v>
      </c>
      <c r="BZ17" s="1">
        <v>0</v>
      </c>
      <c r="CA17" s="1">
        <v>0</v>
      </c>
      <c r="CB17" s="1">
        <v>0</v>
      </c>
      <c r="CC17" s="1">
        <v>0</v>
      </c>
      <c r="CD17" s="1">
        <v>0</v>
      </c>
    </row>
    <row r="18" spans="1:82" hidden="1">
      <c r="A18" s="107" t="s">
        <v>549</v>
      </c>
      <c r="B18" s="1" t="str">
        <f>_xlfn.XLOOKUP(A:A,'Dados Elevatórias'!D:D,'Dados Elevatórias'!B:B)</f>
        <v>PL-RJB-EAT0689</v>
      </c>
      <c r="C18" s="1" t="str">
        <f>_xlfn.XLOOKUP(B:B,'Dados Elevatórias'!B:B,'Dados Elevatórias'!C:C)</f>
        <v>EAT</v>
      </c>
      <c r="D18" s="1" t="s">
        <v>373</v>
      </c>
      <c r="E18" s="1" t="s">
        <v>550</v>
      </c>
      <c r="F18" s="1" t="s">
        <v>551</v>
      </c>
      <c r="G18" s="1" t="s">
        <v>421</v>
      </c>
      <c r="H18" s="1" t="str">
        <f>_xlfn.XLOOKUP(B:B,'Dados Elevatórias'!B:B,'Dados Elevatórias'!G:G)</f>
        <v>26290-048</v>
      </c>
      <c r="I18" s="1">
        <f>_xlfn.XLOOKUP(B18,COORDENADAS!A:A,COORDENADAS!B:B)</f>
        <v>-22.763999999999999</v>
      </c>
      <c r="J18" s="1">
        <f>_xlfn.XLOOKUP(B18,COORDENADAS!A:A,COORDENADAS!C:C)</f>
        <v>-43.536999999999999</v>
      </c>
      <c r="K18" s="1"/>
      <c r="L18" s="1" t="s">
        <v>377</v>
      </c>
      <c r="M18" s="1">
        <v>3</v>
      </c>
      <c r="N18" s="1" t="s">
        <v>570</v>
      </c>
      <c r="O18" s="1" t="s">
        <v>552</v>
      </c>
      <c r="P18" s="1" t="s">
        <v>553</v>
      </c>
      <c r="Q18" s="1" t="s">
        <v>404</v>
      </c>
      <c r="R18" s="1" t="s">
        <v>554</v>
      </c>
      <c r="S18" s="1" t="s">
        <v>571</v>
      </c>
      <c r="T18" s="1" t="s">
        <v>407</v>
      </c>
      <c r="U18" s="1" t="s">
        <v>556</v>
      </c>
      <c r="V18" s="1" t="s">
        <v>557</v>
      </c>
      <c r="W18" s="1" t="s">
        <v>558</v>
      </c>
      <c r="X18" s="1" t="s">
        <v>536</v>
      </c>
      <c r="Y18" s="1" t="s">
        <v>572</v>
      </c>
      <c r="Z18" s="1" t="s">
        <v>538</v>
      </c>
      <c r="AA18" s="1">
        <v>4</v>
      </c>
      <c r="AB18" s="1" t="s">
        <v>560</v>
      </c>
      <c r="AC18" s="1" t="s">
        <v>455</v>
      </c>
      <c r="AD18" s="1" t="s">
        <v>386</v>
      </c>
      <c r="AE18" s="1"/>
      <c r="AF18" s="1" t="s">
        <v>411</v>
      </c>
      <c r="AG18" s="1"/>
      <c r="AH18" s="1" t="s">
        <v>411</v>
      </c>
      <c r="AI18" s="1" t="s">
        <v>561</v>
      </c>
      <c r="AJ18" s="1" t="s">
        <v>562</v>
      </c>
      <c r="AK18" s="1"/>
      <c r="AL18" s="1"/>
      <c r="AM18" s="1"/>
      <c r="AN18" s="1" t="s">
        <v>563</v>
      </c>
      <c r="AO18" s="1"/>
      <c r="AP18" s="1">
        <v>430053078</v>
      </c>
      <c r="AQ18" s="1">
        <v>7891998</v>
      </c>
      <c r="AR18" s="1">
        <v>0</v>
      </c>
      <c r="AS18" s="1" t="s">
        <v>564</v>
      </c>
      <c r="AT18" s="1" t="s">
        <v>565</v>
      </c>
      <c r="AU18" s="1"/>
      <c r="AV18" s="1"/>
      <c r="AW18" s="1"/>
      <c r="AX18" s="1"/>
      <c r="AY18" s="1"/>
      <c r="AZ18" s="1"/>
      <c r="BA18" s="1"/>
      <c r="BB18" s="1"/>
      <c r="BC18" s="1"/>
      <c r="BD18" s="1"/>
      <c r="BE18" s="1"/>
      <c r="BF18" s="1"/>
      <c r="BG18" s="1"/>
      <c r="BH18" s="1"/>
      <c r="BI18" s="1"/>
      <c r="BJ18" s="1"/>
      <c r="BK18" s="1" t="s">
        <v>391</v>
      </c>
      <c r="BL18" s="1"/>
      <c r="BM18" s="1"/>
      <c r="BN18" s="1"/>
      <c r="BO18" s="1"/>
      <c r="BP18" s="1" t="s">
        <v>396</v>
      </c>
      <c r="BQ18" s="1"/>
      <c r="BR18" s="1" t="s">
        <v>566</v>
      </c>
      <c r="BS18" s="1" t="s">
        <v>567</v>
      </c>
      <c r="BT18" s="1" t="s">
        <v>518</v>
      </c>
      <c r="BU18" s="1">
        <v>0</v>
      </c>
      <c r="BV18" s="1">
        <v>0</v>
      </c>
      <c r="BW18" s="1"/>
      <c r="BX18" s="1"/>
      <c r="BY18" s="1">
        <v>0</v>
      </c>
      <c r="BZ18" s="1">
        <v>0</v>
      </c>
      <c r="CA18" s="1">
        <v>0</v>
      </c>
      <c r="CB18" s="1">
        <v>0</v>
      </c>
      <c r="CC18" s="1">
        <v>0</v>
      </c>
      <c r="CD18" s="1">
        <v>0</v>
      </c>
    </row>
    <row r="19" spans="1:82" hidden="1">
      <c r="A19" s="107" t="s">
        <v>573</v>
      </c>
      <c r="B19" s="1" t="str">
        <f>_xlfn.XLOOKUP(A:A,'Dados Elevatórias'!D:D,'Dados Elevatórias'!B:B)</f>
        <v>PL-RJB-EAT0122</v>
      </c>
      <c r="C19" s="1" t="str">
        <f>_xlfn.XLOOKUP(B:B,'Dados Elevatórias'!B:B,'Dados Elevatórias'!C:C)</f>
        <v>EAT</v>
      </c>
      <c r="D19" s="1" t="s">
        <v>373</v>
      </c>
      <c r="E19" s="1" t="s">
        <v>574</v>
      </c>
      <c r="F19" s="1" t="s">
        <v>575</v>
      </c>
      <c r="G19" s="1" t="s">
        <v>576</v>
      </c>
      <c r="H19" s="1" t="str">
        <f>_xlfn.XLOOKUP(B:B,'Dados Elevatórias'!B:B,'Dados Elevatórias'!G:G)</f>
        <v>26420-243</v>
      </c>
      <c r="I19" s="1">
        <f>_xlfn.XLOOKUP(B19,COORDENADAS!A:A,COORDENADAS!B:B)</f>
        <v>-22.7075</v>
      </c>
      <c r="J19" s="1">
        <f>_xlfn.XLOOKUP(B19,COORDENADAS!A:A,COORDENADAS!C:C)</f>
        <v>-43.628700000000002</v>
      </c>
      <c r="K19" s="1"/>
      <c r="L19" s="1"/>
      <c r="M19" s="1">
        <v>1</v>
      </c>
      <c r="N19" s="1" t="s">
        <v>378</v>
      </c>
      <c r="O19" s="1" t="s">
        <v>577</v>
      </c>
      <c r="P19" s="1" t="s">
        <v>578</v>
      </c>
      <c r="Q19" s="1" t="s">
        <v>579</v>
      </c>
      <c r="R19" s="1" t="s">
        <v>500</v>
      </c>
      <c r="S19" s="1" t="s">
        <v>580</v>
      </c>
      <c r="T19" s="1" t="s">
        <v>407</v>
      </c>
      <c r="U19" s="1" t="s">
        <v>581</v>
      </c>
      <c r="V19" s="1" t="s">
        <v>582</v>
      </c>
      <c r="W19" s="1" t="s">
        <v>583</v>
      </c>
      <c r="X19" s="1" t="s">
        <v>584</v>
      </c>
      <c r="Y19" s="1" t="s">
        <v>585</v>
      </c>
      <c r="Z19" s="1" t="s">
        <v>538</v>
      </c>
      <c r="AA19" s="1">
        <v>4</v>
      </c>
      <c r="AB19" s="1"/>
      <c r="AC19" s="1" t="s">
        <v>455</v>
      </c>
      <c r="AD19" s="1" t="s">
        <v>386</v>
      </c>
      <c r="AE19" s="1"/>
      <c r="AF19" s="1" t="s">
        <v>411</v>
      </c>
      <c r="AG19" s="1"/>
      <c r="AH19" s="1" t="s">
        <v>411</v>
      </c>
      <c r="AI19" s="1" t="s">
        <v>586</v>
      </c>
      <c r="AJ19" s="1" t="s">
        <v>587</v>
      </c>
      <c r="AK19" s="1"/>
      <c r="AL19" s="1" t="s">
        <v>588</v>
      </c>
      <c r="AM19" s="1"/>
      <c r="AN19" s="1" t="s">
        <v>433</v>
      </c>
      <c r="AO19" s="1">
        <v>250</v>
      </c>
      <c r="AP19" s="1">
        <v>0</v>
      </c>
      <c r="AQ19" s="1">
        <v>0</v>
      </c>
      <c r="AR19" s="1">
        <v>0</v>
      </c>
      <c r="AS19" s="1">
        <v>0</v>
      </c>
      <c r="AT19" s="1">
        <v>0</v>
      </c>
      <c r="AU19" s="1"/>
      <c r="AV19" s="1"/>
      <c r="AW19" s="1"/>
      <c r="AX19" s="1"/>
      <c r="AY19" s="1"/>
      <c r="AZ19" s="1"/>
      <c r="BA19" s="1"/>
      <c r="BB19" s="1"/>
      <c r="BC19" s="1"/>
      <c r="BD19" s="1"/>
      <c r="BE19" s="1"/>
      <c r="BF19" s="1"/>
      <c r="BG19" s="1"/>
      <c r="BH19" s="1"/>
      <c r="BI19" s="1"/>
      <c r="BJ19" s="1"/>
      <c r="BK19" s="1" t="s">
        <v>391</v>
      </c>
      <c r="BL19" s="1" t="s">
        <v>589</v>
      </c>
      <c r="BM19" s="1" t="s">
        <v>590</v>
      </c>
      <c r="BN19" s="1" t="s">
        <v>591</v>
      </c>
      <c r="BO19" s="1" t="s">
        <v>592</v>
      </c>
      <c r="BP19" s="1" t="s">
        <v>396</v>
      </c>
      <c r="BQ19" s="1"/>
      <c r="BR19" s="1" t="s">
        <v>593</v>
      </c>
      <c r="BS19" s="1" t="s">
        <v>594</v>
      </c>
      <c r="BT19" s="1">
        <v>99.9</v>
      </c>
      <c r="BU19" s="1">
        <v>0</v>
      </c>
      <c r="BV19" s="1">
        <v>0</v>
      </c>
      <c r="BW19" s="1"/>
      <c r="BX19" s="1"/>
      <c r="BY19" s="1">
        <v>0</v>
      </c>
      <c r="BZ19" s="1">
        <v>0</v>
      </c>
      <c r="CA19" s="1">
        <v>0</v>
      </c>
      <c r="CB19" s="1">
        <v>0</v>
      </c>
      <c r="CC19" s="1">
        <v>0</v>
      </c>
      <c r="CD19" s="1">
        <v>0</v>
      </c>
    </row>
    <row r="20" spans="1:82" hidden="1">
      <c r="A20" s="107" t="s">
        <v>573</v>
      </c>
      <c r="B20" s="1" t="str">
        <f>_xlfn.XLOOKUP(A:A,'Dados Elevatórias'!D:D,'Dados Elevatórias'!B:B)</f>
        <v>PL-RJB-EAT0122</v>
      </c>
      <c r="C20" s="1" t="str">
        <f>_xlfn.XLOOKUP(B:B,'Dados Elevatórias'!B:B,'Dados Elevatórias'!C:C)</f>
        <v>EAT</v>
      </c>
      <c r="D20" s="1" t="s">
        <v>373</v>
      </c>
      <c r="E20" s="1" t="s">
        <v>574</v>
      </c>
      <c r="F20" s="1" t="s">
        <v>575</v>
      </c>
      <c r="G20" s="1" t="s">
        <v>576</v>
      </c>
      <c r="H20" s="1" t="str">
        <f>_xlfn.XLOOKUP(B:B,'Dados Elevatórias'!B:B,'Dados Elevatórias'!G:G)</f>
        <v>26420-243</v>
      </c>
      <c r="I20" s="1">
        <f>_xlfn.XLOOKUP(B20,COORDENADAS!A:A,COORDENADAS!B:B)</f>
        <v>-22.7075</v>
      </c>
      <c r="J20" s="1">
        <f>_xlfn.XLOOKUP(B20,COORDENADAS!A:A,COORDENADAS!C:C)</f>
        <v>-43.628700000000002</v>
      </c>
      <c r="K20" s="1"/>
      <c r="L20" s="1"/>
      <c r="M20" s="1">
        <v>2</v>
      </c>
      <c r="N20" s="1" t="s">
        <v>378</v>
      </c>
      <c r="O20" s="1" t="s">
        <v>577</v>
      </c>
      <c r="P20" s="1" t="s">
        <v>578</v>
      </c>
      <c r="Q20" s="1" t="s">
        <v>579</v>
      </c>
      <c r="R20" s="1" t="s">
        <v>500</v>
      </c>
      <c r="S20" s="1" t="s">
        <v>595</v>
      </c>
      <c r="T20" s="1" t="s">
        <v>407</v>
      </c>
      <c r="U20" s="1" t="s">
        <v>596</v>
      </c>
      <c r="V20" s="1" t="s">
        <v>582</v>
      </c>
      <c r="W20" s="1" t="s">
        <v>597</v>
      </c>
      <c r="X20" s="1" t="s">
        <v>598</v>
      </c>
      <c r="Y20" s="1" t="s">
        <v>599</v>
      </c>
      <c r="Z20" s="1" t="s">
        <v>538</v>
      </c>
      <c r="AA20" s="1">
        <v>4</v>
      </c>
      <c r="AB20" s="1"/>
      <c r="AC20" s="1" t="s">
        <v>455</v>
      </c>
      <c r="AD20" s="1" t="s">
        <v>386</v>
      </c>
      <c r="AE20" s="1"/>
      <c r="AF20" s="1" t="s">
        <v>411</v>
      </c>
      <c r="AG20" s="1"/>
      <c r="AH20" s="1" t="s">
        <v>411</v>
      </c>
      <c r="AI20" s="1" t="s">
        <v>586</v>
      </c>
      <c r="AJ20" s="1" t="s">
        <v>587</v>
      </c>
      <c r="AK20" s="1"/>
      <c r="AL20" s="1" t="s">
        <v>588</v>
      </c>
      <c r="AM20" s="1"/>
      <c r="AN20" s="1" t="s">
        <v>433</v>
      </c>
      <c r="AO20" s="1">
        <v>250</v>
      </c>
      <c r="AP20" s="1">
        <v>0</v>
      </c>
      <c r="AQ20" s="1">
        <v>0</v>
      </c>
      <c r="AR20" s="1">
        <v>0</v>
      </c>
      <c r="AS20" s="1">
        <v>0</v>
      </c>
      <c r="AT20" s="1">
        <v>0</v>
      </c>
      <c r="AU20" s="1"/>
      <c r="AV20" s="1"/>
      <c r="AW20" s="1"/>
      <c r="AX20" s="1"/>
      <c r="AY20" s="1"/>
      <c r="AZ20" s="1"/>
      <c r="BA20" s="1"/>
      <c r="BB20" s="1"/>
      <c r="BC20" s="1"/>
      <c r="BD20" s="1"/>
      <c r="BE20" s="1"/>
      <c r="BF20" s="1"/>
      <c r="BG20" s="1"/>
      <c r="BH20" s="1"/>
      <c r="BI20" s="1"/>
      <c r="BJ20" s="1"/>
      <c r="BK20" s="1" t="s">
        <v>391</v>
      </c>
      <c r="BL20" s="1" t="s">
        <v>589</v>
      </c>
      <c r="BM20" s="1" t="s">
        <v>590</v>
      </c>
      <c r="BN20" s="1" t="s">
        <v>600</v>
      </c>
      <c r="BO20" s="1" t="s">
        <v>601</v>
      </c>
      <c r="BP20" s="1" t="s">
        <v>396</v>
      </c>
      <c r="BQ20" s="1"/>
      <c r="BR20" s="1" t="s">
        <v>593</v>
      </c>
      <c r="BS20" s="1" t="s">
        <v>594</v>
      </c>
      <c r="BT20" s="1">
        <v>99.9</v>
      </c>
      <c r="BU20" s="1">
        <v>0</v>
      </c>
      <c r="BV20" s="1">
        <v>0</v>
      </c>
      <c r="BW20" s="1"/>
      <c r="BX20" s="1"/>
      <c r="BY20" s="1">
        <v>0</v>
      </c>
      <c r="BZ20" s="1">
        <v>0</v>
      </c>
      <c r="CA20" s="1">
        <v>0</v>
      </c>
      <c r="CB20" s="1">
        <v>0</v>
      </c>
      <c r="CC20" s="1">
        <v>0</v>
      </c>
      <c r="CD20" s="1">
        <v>0</v>
      </c>
    </row>
    <row r="21" spans="1:82" hidden="1">
      <c r="A21" s="107" t="s">
        <v>602</v>
      </c>
      <c r="B21" s="1" t="str">
        <f>_xlfn.XLOOKUP(A:A,'Dados Elevatórias'!D:D,'Dados Elevatórias'!B:B)</f>
        <v>PL-RJB-EAT0746</v>
      </c>
      <c r="C21" s="1" t="str">
        <f>_xlfn.XLOOKUP(B:B,'Dados Elevatórias'!B:B,'Dados Elevatórias'!C:C)</f>
        <v>EAT</v>
      </c>
      <c r="D21" s="1" t="s">
        <v>373</v>
      </c>
      <c r="E21" s="1" t="s">
        <v>603</v>
      </c>
      <c r="F21" s="1" t="s">
        <v>604</v>
      </c>
      <c r="G21" s="1" t="s">
        <v>605</v>
      </c>
      <c r="H21" s="1" t="str">
        <f>_xlfn.XLOOKUP(B:B,'Dados Elevatórias'!B:B,'Dados Elevatórias'!G:G)</f>
        <v>26557-700</v>
      </c>
      <c r="I21" s="1">
        <f>_xlfn.XLOOKUP(B21,COORDENADAS!A:A,COORDENADAS!B:B)</f>
        <v>-22.770199999999999</v>
      </c>
      <c r="J21" s="1">
        <f>_xlfn.XLOOKUP(B21,COORDENADAS!A:A,COORDENADAS!C:C)</f>
        <v>-43.435600000000001</v>
      </c>
      <c r="K21" s="1"/>
      <c r="L21" s="1"/>
      <c r="M21" s="1">
        <v>1</v>
      </c>
      <c r="N21" s="1" t="s">
        <v>378</v>
      </c>
      <c r="O21" s="1" t="s">
        <v>606</v>
      </c>
      <c r="P21" s="1" t="s">
        <v>607</v>
      </c>
      <c r="Q21" s="1" t="s">
        <v>404</v>
      </c>
      <c r="R21" s="1" t="s">
        <v>608</v>
      </c>
      <c r="S21" s="1" t="s">
        <v>609</v>
      </c>
      <c r="T21" s="1">
        <v>440</v>
      </c>
      <c r="U21" s="1">
        <v>515</v>
      </c>
      <c r="V21" s="1"/>
      <c r="W21" s="1"/>
      <c r="X21" s="1" t="s">
        <v>610</v>
      </c>
      <c r="Y21" s="1" t="s">
        <v>611</v>
      </c>
      <c r="Z21" s="1" t="s">
        <v>538</v>
      </c>
      <c r="AA21" s="1">
        <v>4</v>
      </c>
      <c r="AB21" s="1"/>
      <c r="AC21" s="1" t="s">
        <v>455</v>
      </c>
      <c r="AD21" s="1" t="s">
        <v>386</v>
      </c>
      <c r="AE21" s="1"/>
      <c r="AF21" s="1" t="s">
        <v>411</v>
      </c>
      <c r="AG21" s="1"/>
      <c r="AH21" s="1" t="s">
        <v>411</v>
      </c>
      <c r="AI21" s="1" t="s">
        <v>612</v>
      </c>
      <c r="AJ21" s="1" t="s">
        <v>613</v>
      </c>
      <c r="AK21" s="1"/>
      <c r="AL21" s="1"/>
      <c r="AM21" s="1"/>
      <c r="AN21" s="1" t="s">
        <v>563</v>
      </c>
      <c r="AO21" s="1" t="s">
        <v>511</v>
      </c>
      <c r="AP21" s="1">
        <v>0</v>
      </c>
      <c r="AQ21" s="1">
        <v>0</v>
      </c>
      <c r="AR21" s="1">
        <v>0</v>
      </c>
      <c r="AS21" s="1">
        <v>0</v>
      </c>
      <c r="AT21" s="1">
        <v>0</v>
      </c>
      <c r="AU21" s="1"/>
      <c r="AV21" s="1"/>
      <c r="AW21" s="1"/>
      <c r="AX21" s="1"/>
      <c r="AY21" s="1"/>
      <c r="AZ21" s="1"/>
      <c r="BA21" s="1"/>
      <c r="BB21" s="1"/>
      <c r="BC21" s="1"/>
      <c r="BD21" s="1"/>
      <c r="BE21" s="1"/>
      <c r="BF21" s="1"/>
      <c r="BG21" s="1"/>
      <c r="BH21" s="1"/>
      <c r="BI21" s="1"/>
      <c r="BJ21" s="1"/>
      <c r="BK21" s="1" t="s">
        <v>391</v>
      </c>
      <c r="BL21" s="1" t="s">
        <v>589</v>
      </c>
      <c r="BM21" s="1" t="s">
        <v>590</v>
      </c>
      <c r="BN21" s="1"/>
      <c r="BO21" s="1"/>
      <c r="BP21" s="1" t="s">
        <v>396</v>
      </c>
      <c r="BQ21" s="1"/>
      <c r="BR21" s="1">
        <v>2</v>
      </c>
      <c r="BS21" s="1">
        <v>2</v>
      </c>
      <c r="BT21" s="1">
        <v>0</v>
      </c>
      <c r="BU21" s="1">
        <v>0</v>
      </c>
      <c r="BV21" s="1">
        <v>0</v>
      </c>
      <c r="BW21" s="1"/>
      <c r="BX21" s="1"/>
      <c r="BY21" s="1">
        <v>0</v>
      </c>
      <c r="BZ21" s="1">
        <v>0</v>
      </c>
      <c r="CA21" s="1">
        <v>0</v>
      </c>
      <c r="CB21" s="1">
        <v>0</v>
      </c>
      <c r="CC21" s="1">
        <v>0</v>
      </c>
      <c r="CD21" s="1">
        <v>0</v>
      </c>
    </row>
    <row r="22" spans="1:82" hidden="1">
      <c r="A22" s="107" t="s">
        <v>602</v>
      </c>
      <c r="B22" s="1" t="str">
        <f>_xlfn.XLOOKUP(A:A,'Dados Elevatórias'!D:D,'Dados Elevatórias'!B:B)</f>
        <v>PL-RJB-EAT0746</v>
      </c>
      <c r="C22" s="1" t="str">
        <f>_xlfn.XLOOKUP(B:B,'Dados Elevatórias'!B:B,'Dados Elevatórias'!C:C)</f>
        <v>EAT</v>
      </c>
      <c r="D22" s="1" t="s">
        <v>373</v>
      </c>
      <c r="E22" s="1" t="s">
        <v>603</v>
      </c>
      <c r="F22" s="1" t="s">
        <v>604</v>
      </c>
      <c r="G22" s="1" t="s">
        <v>605</v>
      </c>
      <c r="H22" s="1" t="str">
        <f>_xlfn.XLOOKUP(B:B,'Dados Elevatórias'!B:B,'Dados Elevatórias'!G:G)</f>
        <v>26557-700</v>
      </c>
      <c r="I22" s="1">
        <f>_xlfn.XLOOKUP(B22,COORDENADAS!A:A,COORDENADAS!B:B)</f>
        <v>-22.770199999999999</v>
      </c>
      <c r="J22" s="1">
        <f>_xlfn.XLOOKUP(B22,COORDENADAS!A:A,COORDENADAS!C:C)</f>
        <v>-43.435600000000001</v>
      </c>
      <c r="K22" s="1"/>
      <c r="L22" s="1"/>
      <c r="M22" s="1">
        <v>2</v>
      </c>
      <c r="N22" s="1" t="s">
        <v>378</v>
      </c>
      <c r="O22" s="1" t="s">
        <v>606</v>
      </c>
      <c r="P22" s="1" t="s">
        <v>607</v>
      </c>
      <c r="Q22" s="1" t="s">
        <v>404</v>
      </c>
      <c r="R22" s="1" t="s">
        <v>614</v>
      </c>
      <c r="S22" s="1" t="s">
        <v>615</v>
      </c>
      <c r="T22" s="1">
        <v>440</v>
      </c>
      <c r="U22" s="1">
        <v>515</v>
      </c>
      <c r="V22" s="1"/>
      <c r="W22" s="1"/>
      <c r="X22" s="1" t="s">
        <v>610</v>
      </c>
      <c r="Y22" s="1" t="s">
        <v>616</v>
      </c>
      <c r="Z22" s="1" t="s">
        <v>538</v>
      </c>
      <c r="AA22" s="1">
        <v>4</v>
      </c>
      <c r="AB22" s="1"/>
      <c r="AC22" s="1" t="s">
        <v>455</v>
      </c>
      <c r="AD22" s="1" t="s">
        <v>386</v>
      </c>
      <c r="AE22" s="1"/>
      <c r="AF22" s="1" t="s">
        <v>411</v>
      </c>
      <c r="AG22" s="1"/>
      <c r="AH22" s="1" t="s">
        <v>411</v>
      </c>
      <c r="AI22" s="1" t="s">
        <v>612</v>
      </c>
      <c r="AJ22" s="1" t="s">
        <v>613</v>
      </c>
      <c r="AK22" s="1"/>
      <c r="AL22" s="1"/>
      <c r="AM22" s="1"/>
      <c r="AN22" s="1" t="s">
        <v>563</v>
      </c>
      <c r="AO22" s="1" t="s">
        <v>511</v>
      </c>
      <c r="AP22" s="1">
        <v>0</v>
      </c>
      <c r="AQ22" s="1">
        <v>0</v>
      </c>
      <c r="AR22" s="1">
        <v>0</v>
      </c>
      <c r="AS22" s="1">
        <v>0</v>
      </c>
      <c r="AT22" s="1">
        <v>0</v>
      </c>
      <c r="AU22" s="1"/>
      <c r="AV22" s="1"/>
      <c r="AW22" s="1"/>
      <c r="AX22" s="1"/>
      <c r="AY22" s="1"/>
      <c r="AZ22" s="1"/>
      <c r="BA22" s="1"/>
      <c r="BB22" s="1"/>
      <c r="BC22" s="1"/>
      <c r="BD22" s="1"/>
      <c r="BE22" s="1"/>
      <c r="BF22" s="1"/>
      <c r="BG22" s="1"/>
      <c r="BH22" s="1"/>
      <c r="BI22" s="1"/>
      <c r="BJ22" s="1"/>
      <c r="BK22" s="1" t="s">
        <v>391</v>
      </c>
      <c r="BL22" s="1" t="s">
        <v>589</v>
      </c>
      <c r="BM22" s="1" t="s">
        <v>590</v>
      </c>
      <c r="BN22" s="1"/>
      <c r="BO22" s="1"/>
      <c r="BP22" s="1" t="s">
        <v>396</v>
      </c>
      <c r="BQ22" s="1"/>
      <c r="BR22" s="1">
        <v>2</v>
      </c>
      <c r="BS22" s="1">
        <v>2</v>
      </c>
      <c r="BT22" s="1">
        <v>0</v>
      </c>
      <c r="BU22" s="1">
        <v>0</v>
      </c>
      <c r="BV22" s="1">
        <v>0</v>
      </c>
      <c r="BW22" s="1"/>
      <c r="BX22" s="1"/>
      <c r="BY22" s="1">
        <v>0</v>
      </c>
      <c r="BZ22" s="1">
        <v>0</v>
      </c>
      <c r="CA22" s="1">
        <v>0</v>
      </c>
      <c r="CB22" s="1">
        <v>0</v>
      </c>
      <c r="CC22" s="1">
        <v>0</v>
      </c>
      <c r="CD22" s="1">
        <v>0</v>
      </c>
    </row>
    <row r="23" spans="1:82" hidden="1">
      <c r="A23" s="107" t="s">
        <v>602</v>
      </c>
      <c r="B23" s="1" t="str">
        <f>_xlfn.XLOOKUP(A:A,'Dados Elevatórias'!D:D,'Dados Elevatórias'!B:B)</f>
        <v>PL-RJB-EAT0746</v>
      </c>
      <c r="C23" s="1" t="str">
        <f>_xlfn.XLOOKUP(B:B,'Dados Elevatórias'!B:B,'Dados Elevatórias'!C:C)</f>
        <v>EAT</v>
      </c>
      <c r="D23" s="1" t="s">
        <v>373</v>
      </c>
      <c r="E23" s="1" t="s">
        <v>603</v>
      </c>
      <c r="F23" s="1" t="s">
        <v>604</v>
      </c>
      <c r="G23" s="1" t="s">
        <v>605</v>
      </c>
      <c r="H23" s="1" t="str">
        <f>_xlfn.XLOOKUP(B:B,'Dados Elevatórias'!B:B,'Dados Elevatórias'!G:G)</f>
        <v>26557-700</v>
      </c>
      <c r="I23" s="1">
        <f>_xlfn.XLOOKUP(B23,COORDENADAS!A:A,COORDENADAS!B:B)</f>
        <v>-22.770199999999999</v>
      </c>
      <c r="J23" s="1">
        <f>_xlfn.XLOOKUP(B23,COORDENADAS!A:A,COORDENADAS!C:C)</f>
        <v>-43.435600000000001</v>
      </c>
      <c r="K23" s="1"/>
      <c r="L23" s="1"/>
      <c r="M23" s="1">
        <v>3</v>
      </c>
      <c r="N23" s="1" t="s">
        <v>378</v>
      </c>
      <c r="O23" s="1" t="s">
        <v>617</v>
      </c>
      <c r="P23" s="1" t="s">
        <v>578</v>
      </c>
      <c r="Q23" s="1" t="s">
        <v>404</v>
      </c>
      <c r="R23" s="1"/>
      <c r="S23" s="1" t="s">
        <v>618</v>
      </c>
      <c r="T23" s="1" t="s">
        <v>619</v>
      </c>
      <c r="U23" s="1" t="s">
        <v>620</v>
      </c>
      <c r="V23" s="1"/>
      <c r="W23" s="1"/>
      <c r="X23" s="1"/>
      <c r="Y23" s="1" t="s">
        <v>621</v>
      </c>
      <c r="Z23" s="1" t="s">
        <v>622</v>
      </c>
      <c r="AA23" s="1">
        <v>4</v>
      </c>
      <c r="AB23" s="1"/>
      <c r="AC23" s="1" t="s">
        <v>455</v>
      </c>
      <c r="AD23" s="1" t="s">
        <v>386</v>
      </c>
      <c r="AE23" s="1"/>
      <c r="AF23" s="1" t="s">
        <v>411</v>
      </c>
      <c r="AG23" s="1"/>
      <c r="AH23" s="1" t="s">
        <v>411</v>
      </c>
      <c r="AI23" s="1"/>
      <c r="AJ23" s="1"/>
      <c r="AK23" s="1"/>
      <c r="AL23" s="1"/>
      <c r="AM23" s="1"/>
      <c r="AN23" s="1" t="s">
        <v>563</v>
      </c>
      <c r="AO23" s="1" t="s">
        <v>511</v>
      </c>
      <c r="AP23" s="1">
        <v>0</v>
      </c>
      <c r="AQ23" s="1">
        <v>0</v>
      </c>
      <c r="AR23" s="1">
        <v>0</v>
      </c>
      <c r="AS23" s="1">
        <v>0</v>
      </c>
      <c r="AT23" s="1">
        <v>0</v>
      </c>
      <c r="AU23" s="1"/>
      <c r="AV23" s="1"/>
      <c r="AW23" s="1"/>
      <c r="AX23" s="1"/>
      <c r="AY23" s="1"/>
      <c r="AZ23" s="1"/>
      <c r="BA23" s="1"/>
      <c r="BB23" s="1"/>
      <c r="BC23" s="1"/>
      <c r="BD23" s="1"/>
      <c r="BE23" s="1"/>
      <c r="BF23" s="1"/>
      <c r="BG23" s="1"/>
      <c r="BH23" s="1"/>
      <c r="BI23" s="1"/>
      <c r="BJ23" s="1"/>
      <c r="BK23" s="1" t="s">
        <v>391</v>
      </c>
      <c r="BL23" s="1" t="s">
        <v>589</v>
      </c>
      <c r="BM23" s="1" t="s">
        <v>623</v>
      </c>
      <c r="BN23" s="1" t="s">
        <v>624</v>
      </c>
      <c r="BO23" s="1" t="s">
        <v>625</v>
      </c>
      <c r="BP23" s="1" t="s">
        <v>396</v>
      </c>
      <c r="BQ23" s="1"/>
      <c r="BR23" s="1">
        <v>2</v>
      </c>
      <c r="BS23" s="1">
        <v>2</v>
      </c>
      <c r="BT23" s="1">
        <v>0</v>
      </c>
      <c r="BU23" s="1">
        <v>0</v>
      </c>
      <c r="BV23" s="1">
        <v>0</v>
      </c>
      <c r="BW23" s="1"/>
      <c r="BX23" s="1"/>
      <c r="BY23" s="1">
        <v>0</v>
      </c>
      <c r="BZ23" s="1">
        <v>0</v>
      </c>
      <c r="CA23" s="1">
        <v>0</v>
      </c>
      <c r="CB23" s="1">
        <v>0</v>
      </c>
      <c r="CC23" s="1">
        <v>0</v>
      </c>
      <c r="CD23" s="1">
        <v>0</v>
      </c>
    </row>
    <row r="24" spans="1:82" hidden="1">
      <c r="A24" s="107" t="s">
        <v>602</v>
      </c>
      <c r="B24" s="1" t="str">
        <f>_xlfn.XLOOKUP(A:A,'Dados Elevatórias'!D:D,'Dados Elevatórias'!B:B)</f>
        <v>PL-RJB-EAT0746</v>
      </c>
      <c r="C24" s="1" t="str">
        <f>_xlfn.XLOOKUP(B:B,'Dados Elevatórias'!B:B,'Dados Elevatórias'!C:C)</f>
        <v>EAT</v>
      </c>
      <c r="D24" s="1" t="s">
        <v>373</v>
      </c>
      <c r="E24" s="1" t="s">
        <v>603</v>
      </c>
      <c r="F24" s="1" t="s">
        <v>604</v>
      </c>
      <c r="G24" s="1" t="s">
        <v>605</v>
      </c>
      <c r="H24" s="1" t="str">
        <f>_xlfn.XLOOKUP(B:B,'Dados Elevatórias'!B:B,'Dados Elevatórias'!G:G)</f>
        <v>26557-700</v>
      </c>
      <c r="I24" s="1">
        <f>_xlfn.XLOOKUP(B24,COORDENADAS!A:A,COORDENADAS!B:B)</f>
        <v>-22.770199999999999</v>
      </c>
      <c r="J24" s="1">
        <f>_xlfn.XLOOKUP(B24,COORDENADAS!A:A,COORDENADAS!C:C)</f>
        <v>-43.435600000000001</v>
      </c>
      <c r="K24" s="1"/>
      <c r="L24" s="1"/>
      <c r="M24" s="1">
        <v>4</v>
      </c>
      <c r="N24" s="1" t="s">
        <v>378</v>
      </c>
      <c r="O24" s="1" t="s">
        <v>617</v>
      </c>
      <c r="P24" s="1" t="s">
        <v>626</v>
      </c>
      <c r="Q24" s="1" t="s">
        <v>404</v>
      </c>
      <c r="R24" s="1"/>
      <c r="S24" s="1" t="s">
        <v>627</v>
      </c>
      <c r="T24" s="1" t="s">
        <v>407</v>
      </c>
      <c r="U24" s="1"/>
      <c r="V24" s="1"/>
      <c r="W24" s="1"/>
      <c r="X24" s="1"/>
      <c r="Y24" s="1" t="s">
        <v>628</v>
      </c>
      <c r="Z24" s="1" t="s">
        <v>629</v>
      </c>
      <c r="AA24" s="1">
        <v>4</v>
      </c>
      <c r="AB24" s="1"/>
      <c r="AC24" s="1" t="s">
        <v>455</v>
      </c>
      <c r="AD24" s="1" t="s">
        <v>386</v>
      </c>
      <c r="AE24" s="1"/>
      <c r="AF24" s="1" t="s">
        <v>411</v>
      </c>
      <c r="AG24" s="1"/>
      <c r="AH24" s="1" t="s">
        <v>411</v>
      </c>
      <c r="AI24" s="1"/>
      <c r="AJ24" s="1"/>
      <c r="AK24" s="1"/>
      <c r="AL24" s="1"/>
      <c r="AM24" s="1"/>
      <c r="AN24" s="1" t="s">
        <v>563</v>
      </c>
      <c r="AO24" s="1" t="s">
        <v>511</v>
      </c>
      <c r="AP24" s="1">
        <v>0</v>
      </c>
      <c r="AQ24" s="1">
        <v>0</v>
      </c>
      <c r="AR24" s="1">
        <v>0</v>
      </c>
      <c r="AS24" s="1">
        <v>0</v>
      </c>
      <c r="AT24" s="1">
        <v>0</v>
      </c>
      <c r="AU24" s="1"/>
      <c r="AV24" s="1"/>
      <c r="AW24" s="1"/>
      <c r="AX24" s="1"/>
      <c r="AY24" s="1"/>
      <c r="AZ24" s="1"/>
      <c r="BA24" s="1"/>
      <c r="BB24" s="1"/>
      <c r="BC24" s="1"/>
      <c r="BD24" s="1"/>
      <c r="BE24" s="1"/>
      <c r="BF24" s="1"/>
      <c r="BG24" s="1"/>
      <c r="BH24" s="1"/>
      <c r="BI24" s="1"/>
      <c r="BJ24" s="1"/>
      <c r="BK24" s="1" t="s">
        <v>391</v>
      </c>
      <c r="BL24" s="1" t="s">
        <v>589</v>
      </c>
      <c r="BM24" s="1" t="s">
        <v>630</v>
      </c>
      <c r="BN24" s="1" t="s">
        <v>631</v>
      </c>
      <c r="BO24" s="1" t="s">
        <v>632</v>
      </c>
      <c r="BP24" s="1" t="s">
        <v>396</v>
      </c>
      <c r="BQ24" s="1"/>
      <c r="BR24" s="1">
        <v>2</v>
      </c>
      <c r="BS24" s="1">
        <v>2</v>
      </c>
      <c r="BT24" s="1">
        <v>0</v>
      </c>
      <c r="BU24" s="1">
        <v>0</v>
      </c>
      <c r="BV24" s="1">
        <v>0</v>
      </c>
      <c r="BW24" s="1"/>
      <c r="BX24" s="1"/>
      <c r="BY24" s="1">
        <v>0</v>
      </c>
      <c r="BZ24" s="1">
        <v>0</v>
      </c>
      <c r="CA24" s="1">
        <v>0</v>
      </c>
      <c r="CB24" s="1">
        <v>0</v>
      </c>
      <c r="CC24" s="1">
        <v>0</v>
      </c>
      <c r="CD24" s="1">
        <v>0</v>
      </c>
    </row>
    <row r="25" spans="1:82" hidden="1">
      <c r="A25" s="107" t="s">
        <v>633</v>
      </c>
      <c r="B25" s="1" t="str">
        <f>_xlfn.XLOOKUP(A:A,'Dados Elevatórias'!D:D,'Dados Elevatórias'!B:B)</f>
        <v>PL-RJB-EAT0042</v>
      </c>
      <c r="C25" s="1" t="str">
        <f>_xlfn.XLOOKUP(B:B,'Dados Elevatórias'!B:B,'Dados Elevatórias'!C:C)</f>
        <v>EAT</v>
      </c>
      <c r="D25" s="1" t="s">
        <v>373</v>
      </c>
      <c r="E25" s="1" t="s">
        <v>634</v>
      </c>
      <c r="F25" s="1" t="s">
        <v>471</v>
      </c>
      <c r="G25" s="1" t="s">
        <v>421</v>
      </c>
      <c r="H25" s="1" t="s">
        <v>635</v>
      </c>
      <c r="I25" s="1">
        <f>_xlfn.XLOOKUP(B25,COORDENADAS!A:A,COORDENADAS!B:B)</f>
        <v>-22.709599999999998</v>
      </c>
      <c r="J25" s="1">
        <f>_xlfn.XLOOKUP(B25,COORDENADAS!A:A,COORDENADAS!C:C)</f>
        <v>-43.428699999999999</v>
      </c>
      <c r="K25" s="1"/>
      <c r="L25" s="1" t="s">
        <v>377</v>
      </c>
      <c r="M25" s="1">
        <v>1</v>
      </c>
      <c r="N25" s="1" t="s">
        <v>378</v>
      </c>
      <c r="O25" s="1" t="s">
        <v>636</v>
      </c>
      <c r="P25" s="1" t="s">
        <v>637</v>
      </c>
      <c r="Q25" s="1" t="s">
        <v>404</v>
      </c>
      <c r="R25" s="1"/>
      <c r="S25" s="1" t="s">
        <v>638</v>
      </c>
      <c r="T25" s="1" t="s">
        <v>619</v>
      </c>
      <c r="U25" s="1" t="s">
        <v>639</v>
      </c>
      <c r="V25" s="1"/>
      <c r="W25" s="1"/>
      <c r="X25" s="1" t="s">
        <v>598</v>
      </c>
      <c r="Y25" s="1" t="s">
        <v>638</v>
      </c>
      <c r="Z25" s="1" t="s">
        <v>538</v>
      </c>
      <c r="AA25" s="1">
        <v>4</v>
      </c>
      <c r="AB25" s="1" t="s">
        <v>640</v>
      </c>
      <c r="AC25" s="1" t="s">
        <v>455</v>
      </c>
      <c r="AD25" s="1" t="s">
        <v>386</v>
      </c>
      <c r="AE25" s="1" t="s">
        <v>412</v>
      </c>
      <c r="AF25" s="1" t="s">
        <v>411</v>
      </c>
      <c r="AG25" s="1" t="s">
        <v>412</v>
      </c>
      <c r="AH25" s="1" t="s">
        <v>411</v>
      </c>
      <c r="AI25" s="1" t="s">
        <v>641</v>
      </c>
      <c r="AJ25" s="1" t="s">
        <v>642</v>
      </c>
      <c r="AK25" s="1"/>
      <c r="AL25" s="1"/>
      <c r="AM25" s="1"/>
      <c r="AN25" s="1" t="s">
        <v>563</v>
      </c>
      <c r="AO25" s="1" t="s">
        <v>643</v>
      </c>
      <c r="AP25" s="1">
        <v>0</v>
      </c>
      <c r="AQ25" s="1">
        <v>0</v>
      </c>
      <c r="AR25" s="1">
        <v>0</v>
      </c>
      <c r="AS25" s="1">
        <v>0</v>
      </c>
      <c r="AT25" s="1">
        <v>0</v>
      </c>
      <c r="AU25" s="1"/>
      <c r="AV25" s="1"/>
      <c r="AW25" s="1"/>
      <c r="AX25" s="1"/>
      <c r="AY25" s="1"/>
      <c r="AZ25" s="1"/>
      <c r="BA25" s="1"/>
      <c r="BB25" s="1"/>
      <c r="BC25" s="1"/>
      <c r="BD25" s="1"/>
      <c r="BE25" s="1"/>
      <c r="BF25" s="1"/>
      <c r="BG25" s="1"/>
      <c r="BH25" s="1"/>
      <c r="BI25" s="1"/>
      <c r="BJ25" s="1"/>
      <c r="BK25" s="1" t="s">
        <v>391</v>
      </c>
      <c r="BL25" s="1" t="s">
        <v>462</v>
      </c>
      <c r="BM25" s="1" t="s">
        <v>644</v>
      </c>
      <c r="BN25" s="1" t="s">
        <v>645</v>
      </c>
      <c r="BO25" s="1"/>
      <c r="BP25" s="1" t="s">
        <v>396</v>
      </c>
      <c r="BQ25" s="1"/>
      <c r="BR25" s="1" t="s">
        <v>646</v>
      </c>
      <c r="BS25" s="1" t="s">
        <v>647</v>
      </c>
      <c r="BT25" s="1" t="s">
        <v>648</v>
      </c>
      <c r="BU25" s="1">
        <v>0</v>
      </c>
      <c r="BV25" s="1">
        <v>0</v>
      </c>
      <c r="BW25" s="1"/>
      <c r="BX25" s="1"/>
      <c r="BY25" s="1">
        <v>0</v>
      </c>
      <c r="BZ25" s="1">
        <v>0</v>
      </c>
      <c r="CA25" s="1">
        <v>0</v>
      </c>
      <c r="CB25" s="1">
        <v>0</v>
      </c>
      <c r="CC25" s="1">
        <v>0</v>
      </c>
      <c r="CD25" s="1">
        <v>0</v>
      </c>
    </row>
    <row r="26" spans="1:82" hidden="1">
      <c r="A26" s="107" t="s">
        <v>633</v>
      </c>
      <c r="B26" s="1" t="str">
        <f>_xlfn.XLOOKUP(A:A,'Dados Elevatórias'!D:D,'Dados Elevatórias'!B:B)</f>
        <v>PL-RJB-EAT0042</v>
      </c>
      <c r="C26" s="1" t="str">
        <f>_xlfn.XLOOKUP(B:B,'Dados Elevatórias'!B:B,'Dados Elevatórias'!C:C)</f>
        <v>EAT</v>
      </c>
      <c r="D26" s="1" t="s">
        <v>373</v>
      </c>
      <c r="E26" s="1" t="s">
        <v>634</v>
      </c>
      <c r="F26" s="1" t="s">
        <v>471</v>
      </c>
      <c r="G26" s="1" t="s">
        <v>421</v>
      </c>
      <c r="H26" s="1" t="s">
        <v>635</v>
      </c>
      <c r="I26" s="1">
        <f>_xlfn.XLOOKUP(B26,COORDENADAS!A:A,COORDENADAS!B:B)</f>
        <v>-22.709599999999998</v>
      </c>
      <c r="J26" s="1">
        <f>_xlfn.XLOOKUP(B26,COORDENADAS!A:A,COORDENADAS!C:C)</f>
        <v>-43.428699999999999</v>
      </c>
      <c r="K26" s="1"/>
      <c r="L26" s="1" t="s">
        <v>377</v>
      </c>
      <c r="M26" s="1">
        <v>2</v>
      </c>
      <c r="N26" s="1" t="s">
        <v>378</v>
      </c>
      <c r="O26" s="1" t="s">
        <v>636</v>
      </c>
      <c r="P26" s="1" t="s">
        <v>637</v>
      </c>
      <c r="Q26" s="1" t="s">
        <v>404</v>
      </c>
      <c r="R26" s="1"/>
      <c r="S26" s="1" t="s">
        <v>649</v>
      </c>
      <c r="T26" s="1" t="s">
        <v>619</v>
      </c>
      <c r="U26" s="1" t="s">
        <v>639</v>
      </c>
      <c r="V26" s="1"/>
      <c r="W26" s="1"/>
      <c r="X26" s="1" t="s">
        <v>598</v>
      </c>
      <c r="Y26" s="1" t="s">
        <v>650</v>
      </c>
      <c r="Z26" s="1" t="s">
        <v>538</v>
      </c>
      <c r="AA26" s="1">
        <v>4</v>
      </c>
      <c r="AB26" s="1" t="s">
        <v>640</v>
      </c>
      <c r="AC26" s="1" t="s">
        <v>455</v>
      </c>
      <c r="AD26" s="1" t="s">
        <v>386</v>
      </c>
      <c r="AE26" s="1" t="s">
        <v>412</v>
      </c>
      <c r="AF26" s="1" t="s">
        <v>411</v>
      </c>
      <c r="AG26" s="1" t="s">
        <v>412</v>
      </c>
      <c r="AH26" s="1" t="s">
        <v>411</v>
      </c>
      <c r="AI26" s="1" t="s">
        <v>641</v>
      </c>
      <c r="AJ26" s="1" t="s">
        <v>642</v>
      </c>
      <c r="AK26" s="1"/>
      <c r="AL26" s="1"/>
      <c r="AM26" s="1"/>
      <c r="AN26" s="1" t="s">
        <v>563</v>
      </c>
      <c r="AO26" s="1" t="s">
        <v>643</v>
      </c>
      <c r="AP26" s="1">
        <v>0</v>
      </c>
      <c r="AQ26" s="1">
        <v>0</v>
      </c>
      <c r="AR26" s="1">
        <v>0</v>
      </c>
      <c r="AS26" s="1">
        <v>0</v>
      </c>
      <c r="AT26" s="1">
        <v>0</v>
      </c>
      <c r="AU26" s="1"/>
      <c r="AV26" s="1"/>
      <c r="AW26" s="1"/>
      <c r="AX26" s="1"/>
      <c r="AY26" s="1"/>
      <c r="AZ26" s="1"/>
      <c r="BA26" s="1"/>
      <c r="BB26" s="1"/>
      <c r="BC26" s="1"/>
      <c r="BD26" s="1"/>
      <c r="BE26" s="1"/>
      <c r="BF26" s="1"/>
      <c r="BG26" s="1"/>
      <c r="BH26" s="1"/>
      <c r="BI26" s="1"/>
      <c r="BJ26" s="1" t="s">
        <v>651</v>
      </c>
      <c r="BK26" s="1" t="s">
        <v>391</v>
      </c>
      <c r="BL26" s="1" t="s">
        <v>462</v>
      </c>
      <c r="BM26" s="1" t="s">
        <v>644</v>
      </c>
      <c r="BN26" s="1" t="s">
        <v>645</v>
      </c>
      <c r="BO26" s="1" t="s">
        <v>651</v>
      </c>
      <c r="BP26" s="1" t="s">
        <v>396</v>
      </c>
      <c r="BQ26" s="1"/>
      <c r="BR26" s="1" t="s">
        <v>542</v>
      </c>
      <c r="BS26" s="1" t="s">
        <v>647</v>
      </c>
      <c r="BT26" s="1" t="s">
        <v>648</v>
      </c>
      <c r="BU26" s="1">
        <v>0</v>
      </c>
      <c r="BV26" s="1">
        <v>0</v>
      </c>
      <c r="BW26" s="1"/>
      <c r="BX26" s="1"/>
      <c r="BY26" s="1">
        <v>0</v>
      </c>
      <c r="BZ26" s="1">
        <v>0</v>
      </c>
      <c r="CA26" s="1">
        <v>0</v>
      </c>
      <c r="CB26" s="1">
        <v>0</v>
      </c>
      <c r="CC26" s="1">
        <v>0</v>
      </c>
      <c r="CD26" s="1">
        <v>0</v>
      </c>
    </row>
    <row r="27" spans="1:82" hidden="1">
      <c r="A27" s="107" t="s">
        <v>633</v>
      </c>
      <c r="B27" s="1" t="str">
        <f>_xlfn.XLOOKUP(A:A,'Dados Elevatórias'!D:D,'Dados Elevatórias'!B:B)</f>
        <v>PL-RJB-EAT0042</v>
      </c>
      <c r="C27" s="1" t="str">
        <f>_xlfn.XLOOKUP(B:B,'Dados Elevatórias'!B:B,'Dados Elevatórias'!C:C)</f>
        <v>EAT</v>
      </c>
      <c r="D27" s="1" t="s">
        <v>373</v>
      </c>
      <c r="E27" s="1" t="s">
        <v>634</v>
      </c>
      <c r="F27" s="1" t="s">
        <v>471</v>
      </c>
      <c r="G27" s="1" t="s">
        <v>421</v>
      </c>
      <c r="H27" s="1" t="s">
        <v>635</v>
      </c>
      <c r="I27" s="1">
        <f>_xlfn.XLOOKUP(B27,COORDENADAS!A:A,COORDENADAS!B:B)</f>
        <v>-22.709599999999998</v>
      </c>
      <c r="J27" s="1">
        <f>_xlfn.XLOOKUP(B27,COORDENADAS!A:A,COORDENADAS!C:C)</f>
        <v>-43.428699999999999</v>
      </c>
      <c r="K27" s="1"/>
      <c r="L27" s="1" t="s">
        <v>377</v>
      </c>
      <c r="M27" s="1">
        <v>3</v>
      </c>
      <c r="N27" s="1" t="s">
        <v>378</v>
      </c>
      <c r="O27" s="1" t="s">
        <v>636</v>
      </c>
      <c r="P27" s="1" t="s">
        <v>637</v>
      </c>
      <c r="Q27" s="1" t="s">
        <v>404</v>
      </c>
      <c r="R27" s="1"/>
      <c r="S27" s="1" t="s">
        <v>638</v>
      </c>
      <c r="T27" s="1" t="s">
        <v>619</v>
      </c>
      <c r="U27" s="1" t="s">
        <v>639</v>
      </c>
      <c r="V27" s="1"/>
      <c r="W27" s="1"/>
      <c r="X27" s="1" t="s">
        <v>598</v>
      </c>
      <c r="Y27" s="1" t="s">
        <v>652</v>
      </c>
      <c r="Z27" s="1" t="s">
        <v>538</v>
      </c>
      <c r="AA27" s="1">
        <v>4</v>
      </c>
      <c r="AB27" s="1" t="s">
        <v>640</v>
      </c>
      <c r="AC27" s="1" t="s">
        <v>455</v>
      </c>
      <c r="AD27" s="1" t="s">
        <v>386</v>
      </c>
      <c r="AE27" s="1" t="s">
        <v>412</v>
      </c>
      <c r="AF27" s="1" t="s">
        <v>411</v>
      </c>
      <c r="AG27" s="1" t="s">
        <v>412</v>
      </c>
      <c r="AH27" s="1" t="s">
        <v>411</v>
      </c>
      <c r="AI27" s="1" t="s">
        <v>641</v>
      </c>
      <c r="AJ27" s="1" t="s">
        <v>642</v>
      </c>
      <c r="AK27" s="1"/>
      <c r="AL27" s="1"/>
      <c r="AM27" s="1"/>
      <c r="AN27" s="1" t="s">
        <v>563</v>
      </c>
      <c r="AO27" s="1" t="s">
        <v>643</v>
      </c>
      <c r="AP27" s="1">
        <v>0</v>
      </c>
      <c r="AQ27" s="1">
        <v>0</v>
      </c>
      <c r="AR27" s="1">
        <v>0</v>
      </c>
      <c r="AS27" s="1">
        <v>0</v>
      </c>
      <c r="AT27" s="1">
        <v>0</v>
      </c>
      <c r="AU27" s="1"/>
      <c r="AV27" s="1"/>
      <c r="AW27" s="1"/>
      <c r="AX27" s="1"/>
      <c r="AY27" s="1"/>
      <c r="AZ27" s="1"/>
      <c r="BA27" s="1"/>
      <c r="BB27" s="1"/>
      <c r="BC27" s="1"/>
      <c r="BD27" s="1"/>
      <c r="BE27" s="1"/>
      <c r="BF27" s="1"/>
      <c r="BG27" s="1"/>
      <c r="BH27" s="1"/>
      <c r="BI27" s="1"/>
      <c r="BJ27" s="1" t="s">
        <v>653</v>
      </c>
      <c r="BK27" s="1" t="s">
        <v>391</v>
      </c>
      <c r="BL27" s="1" t="s">
        <v>589</v>
      </c>
      <c r="BM27" s="1" t="s">
        <v>654</v>
      </c>
      <c r="BN27" s="1"/>
      <c r="BO27" s="1" t="s">
        <v>653</v>
      </c>
      <c r="BP27" s="1" t="s">
        <v>396</v>
      </c>
      <c r="BQ27" s="1"/>
      <c r="BR27" s="1" t="s">
        <v>655</v>
      </c>
      <c r="BS27" s="1" t="s">
        <v>647</v>
      </c>
      <c r="BT27" s="1" t="s">
        <v>648</v>
      </c>
      <c r="BU27" s="1">
        <v>0</v>
      </c>
      <c r="BV27" s="1">
        <v>0</v>
      </c>
      <c r="BW27" s="1"/>
      <c r="BX27" s="1"/>
      <c r="BY27" s="1">
        <v>0</v>
      </c>
      <c r="BZ27" s="1">
        <v>0</v>
      </c>
      <c r="CA27" s="1">
        <v>0</v>
      </c>
      <c r="CB27" s="1">
        <v>0</v>
      </c>
      <c r="CC27" s="1">
        <v>0</v>
      </c>
      <c r="CD27" s="1">
        <v>0</v>
      </c>
    </row>
    <row r="28" spans="1:82" hidden="1">
      <c r="A28" s="107" t="s">
        <v>633</v>
      </c>
      <c r="B28" s="1" t="str">
        <f>_xlfn.XLOOKUP(A:A,'Dados Elevatórias'!D:D,'Dados Elevatórias'!B:B)</f>
        <v>PL-RJB-EAT0042</v>
      </c>
      <c r="C28" s="1" t="str">
        <f>_xlfn.XLOOKUP(B:B,'Dados Elevatórias'!B:B,'Dados Elevatórias'!C:C)</f>
        <v>EAT</v>
      </c>
      <c r="D28" s="1" t="s">
        <v>373</v>
      </c>
      <c r="E28" s="1" t="s">
        <v>634</v>
      </c>
      <c r="F28" s="1" t="s">
        <v>471</v>
      </c>
      <c r="G28" s="1" t="s">
        <v>421</v>
      </c>
      <c r="H28" s="1" t="s">
        <v>635</v>
      </c>
      <c r="I28" s="1">
        <f>_xlfn.XLOOKUP(B28,COORDENADAS!A:A,COORDENADAS!B:B)</f>
        <v>-22.709599999999998</v>
      </c>
      <c r="J28" s="1">
        <f>_xlfn.XLOOKUP(B28,COORDENADAS!A:A,COORDENADAS!C:C)</f>
        <v>-43.428699999999999</v>
      </c>
      <c r="K28" s="1"/>
      <c r="L28" s="1" t="s">
        <v>377</v>
      </c>
      <c r="M28" s="1">
        <v>4</v>
      </c>
      <c r="N28" s="1" t="s">
        <v>378</v>
      </c>
      <c r="O28" s="1" t="s">
        <v>636</v>
      </c>
      <c r="P28" s="1" t="s">
        <v>637</v>
      </c>
      <c r="Q28" s="1" t="s">
        <v>404</v>
      </c>
      <c r="R28" s="1"/>
      <c r="S28" s="1" t="s">
        <v>638</v>
      </c>
      <c r="T28" s="1" t="s">
        <v>619</v>
      </c>
      <c r="U28" s="1" t="s">
        <v>639</v>
      </c>
      <c r="V28" s="1"/>
      <c r="W28" s="1"/>
      <c r="X28" s="1" t="s">
        <v>598</v>
      </c>
      <c r="Y28" s="1" t="s">
        <v>638</v>
      </c>
      <c r="Z28" s="1" t="s">
        <v>538</v>
      </c>
      <c r="AA28" s="1">
        <v>4</v>
      </c>
      <c r="AB28" s="1" t="s">
        <v>640</v>
      </c>
      <c r="AC28" s="1" t="s">
        <v>455</v>
      </c>
      <c r="AD28" s="1" t="s">
        <v>386</v>
      </c>
      <c r="AE28" s="1" t="s">
        <v>412</v>
      </c>
      <c r="AF28" s="1" t="s">
        <v>411</v>
      </c>
      <c r="AG28" s="1" t="s">
        <v>412</v>
      </c>
      <c r="AH28" s="1" t="s">
        <v>411</v>
      </c>
      <c r="AI28" s="1" t="s">
        <v>641</v>
      </c>
      <c r="AJ28" s="1" t="s">
        <v>642</v>
      </c>
      <c r="AK28" s="1"/>
      <c r="AL28" s="1"/>
      <c r="AM28" s="1"/>
      <c r="AN28" s="1" t="s">
        <v>563</v>
      </c>
      <c r="AO28" s="1" t="s">
        <v>643</v>
      </c>
      <c r="AP28" s="1">
        <v>0</v>
      </c>
      <c r="AQ28" s="1">
        <v>0</v>
      </c>
      <c r="AR28" s="1">
        <v>0</v>
      </c>
      <c r="AS28" s="1">
        <v>0</v>
      </c>
      <c r="AT28" s="1">
        <v>0</v>
      </c>
      <c r="AU28" s="1"/>
      <c r="AV28" s="1"/>
      <c r="AW28" s="1"/>
      <c r="AX28" s="1"/>
      <c r="AY28" s="1"/>
      <c r="AZ28" s="1"/>
      <c r="BA28" s="1"/>
      <c r="BB28" s="1"/>
      <c r="BC28" s="1"/>
      <c r="BD28" s="1"/>
      <c r="BE28" s="1"/>
      <c r="BF28" s="1"/>
      <c r="BG28" s="1"/>
      <c r="BH28" s="1"/>
      <c r="BI28" s="1"/>
      <c r="BJ28" s="1"/>
      <c r="BK28" s="1" t="s">
        <v>391</v>
      </c>
      <c r="BL28" s="1" t="s">
        <v>392</v>
      </c>
      <c r="BM28" s="1"/>
      <c r="BN28" s="1" t="s">
        <v>656</v>
      </c>
      <c r="BO28" s="1"/>
      <c r="BP28" s="1" t="s">
        <v>396</v>
      </c>
      <c r="BQ28" s="1"/>
      <c r="BR28" s="1"/>
      <c r="BS28" s="1" t="s">
        <v>647</v>
      </c>
      <c r="BT28" s="1" t="s">
        <v>648</v>
      </c>
      <c r="BU28" s="1">
        <v>0</v>
      </c>
      <c r="BV28" s="1">
        <v>0</v>
      </c>
      <c r="BW28" s="1"/>
      <c r="BX28" s="1"/>
      <c r="BY28" s="1">
        <v>0</v>
      </c>
      <c r="BZ28" s="1">
        <v>0</v>
      </c>
      <c r="CA28" s="1">
        <v>0</v>
      </c>
      <c r="CB28" s="1">
        <v>0</v>
      </c>
      <c r="CC28" s="1">
        <v>0</v>
      </c>
      <c r="CD28" s="1">
        <v>0</v>
      </c>
    </row>
    <row r="29" spans="1:82" hidden="1">
      <c r="A29" s="1" t="s">
        <v>657</v>
      </c>
      <c r="B29" s="1" t="str">
        <f>_xlfn.XLOOKUP(A:A,'Dados Elevatórias'!D:D,'Dados Elevatórias'!B:B)</f>
        <v>PL-RJB-EAT0684</v>
      </c>
      <c r="C29" s="1" t="str">
        <f>_xlfn.XLOOKUP(B:B,'Dados Elevatórias'!B:B,'Dados Elevatórias'!C:C)</f>
        <v>EAT</v>
      </c>
      <c r="D29" s="1" t="s">
        <v>373</v>
      </c>
      <c r="E29" s="1" t="s">
        <v>658</v>
      </c>
      <c r="F29" s="1" t="s">
        <v>659</v>
      </c>
      <c r="G29" s="1" t="s">
        <v>576</v>
      </c>
      <c r="H29" s="1" t="str">
        <f>_xlfn.XLOOKUP(B:B,'Dados Elevatórias'!B:B,'Dados Elevatórias'!G:G)</f>
        <v>26453-325</v>
      </c>
      <c r="I29" s="1">
        <f>_xlfn.XLOOKUP(B29,COORDENADAS!A:A,COORDENADAS!B:B)</f>
        <v>-22.673100000000002</v>
      </c>
      <c r="J29" s="1">
        <f>_xlfn.XLOOKUP(B29,COORDENADAS!A:A,COORDENADAS!C:C)</f>
        <v>-43.611199999999997</v>
      </c>
      <c r="K29" s="1"/>
      <c r="L29" s="1" t="str">
        <f>_xlfn.XLOOKUP(A:A,'RELAÇÃO ANTIGA'!A:A,'RELAÇÃO ANTIGA'!J:J)</f>
        <v>INFORMAL</v>
      </c>
      <c r="M29" s="1">
        <v>1</v>
      </c>
      <c r="N29" s="1" t="s">
        <v>378</v>
      </c>
      <c r="O29" s="1" t="s">
        <v>660</v>
      </c>
      <c r="P29" s="1"/>
      <c r="Q29" s="1"/>
      <c r="R29" s="1"/>
      <c r="S29" s="1" t="s">
        <v>661</v>
      </c>
      <c r="T29" s="1"/>
      <c r="U29" s="1"/>
      <c r="V29" s="1" t="s">
        <v>662</v>
      </c>
      <c r="W29" s="1"/>
      <c r="X29" s="1" t="s">
        <v>663</v>
      </c>
      <c r="Y29" s="1" t="s">
        <v>664</v>
      </c>
      <c r="Z29" s="1" t="s">
        <v>665</v>
      </c>
      <c r="AA29" s="1">
        <v>2</v>
      </c>
      <c r="AB29" s="1" t="s">
        <v>666</v>
      </c>
      <c r="AC29" s="1" t="s">
        <v>455</v>
      </c>
      <c r="AD29" s="1"/>
      <c r="AE29" s="1"/>
      <c r="AF29" s="1" t="s">
        <v>411</v>
      </c>
      <c r="AG29" s="1"/>
      <c r="AH29" s="1" t="s">
        <v>412</v>
      </c>
      <c r="AI29" s="1" t="s">
        <v>667</v>
      </c>
      <c r="AJ29" s="1" t="s">
        <v>668</v>
      </c>
      <c r="AK29" s="1"/>
      <c r="AL29" s="1"/>
      <c r="AM29" s="1"/>
      <c r="AN29" s="1" t="str">
        <f>_xlfn.XLOOKUP(A:A,'RELAÇÃO ANTIGA'!A:A,'RELAÇÃO ANTIGA'!AC:AC,X)</f>
        <v>220V</v>
      </c>
      <c r="AO29" s="1"/>
      <c r="AP29" s="1">
        <v>0</v>
      </c>
      <c r="AQ29" s="1">
        <v>0</v>
      </c>
      <c r="AR29" s="1">
        <v>0</v>
      </c>
      <c r="AS29" s="1">
        <v>0</v>
      </c>
      <c r="AT29" s="1">
        <v>0</v>
      </c>
      <c r="AU29" s="1" t="s">
        <v>669</v>
      </c>
      <c r="AV29" s="1" t="s">
        <v>460</v>
      </c>
      <c r="AW29" s="1">
        <v>0</v>
      </c>
      <c r="AX29" s="1">
        <v>0</v>
      </c>
      <c r="AY29" s="1">
        <v>0</v>
      </c>
      <c r="AZ29" s="1">
        <v>0</v>
      </c>
      <c r="BA29" s="1"/>
      <c r="BB29" s="1"/>
      <c r="BC29" s="1"/>
      <c r="BD29" s="1"/>
      <c r="BE29" s="1"/>
      <c r="BF29" s="1"/>
      <c r="BG29" s="1"/>
      <c r="BH29" s="1"/>
      <c r="BI29" s="1"/>
      <c r="BJ29" s="1" t="s">
        <v>670</v>
      </c>
      <c r="BK29" s="1" t="s">
        <v>437</v>
      </c>
      <c r="BL29" s="1"/>
      <c r="BM29" s="1"/>
      <c r="BN29" s="1"/>
      <c r="BO29" s="1"/>
      <c r="BP29" s="1" t="s">
        <v>386</v>
      </c>
      <c r="BQ29" s="1"/>
      <c r="BR29" s="1">
        <v>0</v>
      </c>
      <c r="BS29" s="1">
        <v>0</v>
      </c>
      <c r="BT29" s="1">
        <v>0</v>
      </c>
      <c r="BU29" s="1" t="s">
        <v>671</v>
      </c>
      <c r="BV29" s="1">
        <v>0</v>
      </c>
      <c r="BW29" s="1"/>
      <c r="BX29" s="1"/>
      <c r="BY29" s="1" t="s">
        <v>401</v>
      </c>
      <c r="BZ29" s="1">
        <v>0</v>
      </c>
      <c r="CA29" s="1">
        <v>0</v>
      </c>
      <c r="CB29" s="1">
        <v>0</v>
      </c>
      <c r="CC29" s="1">
        <v>0</v>
      </c>
      <c r="CD29" s="1">
        <v>0</v>
      </c>
    </row>
    <row r="30" spans="1:82" hidden="1">
      <c r="A30" s="1" t="s">
        <v>672</v>
      </c>
      <c r="B30" s="1" t="str">
        <f>_xlfn.XLOOKUP(A:A,'Dados Elevatórias'!D:D,'Dados Elevatórias'!B:B)</f>
        <v>PL-RJB-EAT0048</v>
      </c>
      <c r="C30" s="1" t="str">
        <f>_xlfn.XLOOKUP(B:B,'Dados Elevatórias'!B:B,'Dados Elevatórias'!C:C)</f>
        <v>EAT</v>
      </c>
      <c r="D30" s="1" t="s">
        <v>373</v>
      </c>
      <c r="E30" s="1" t="s">
        <v>673</v>
      </c>
      <c r="F30" s="1" t="s">
        <v>430</v>
      </c>
      <c r="G30" s="1" t="s">
        <v>421</v>
      </c>
      <c r="H30" s="1" t="str">
        <f>_xlfn.XLOOKUP(B:B,'Dados Elevatórias'!B:B,'Dados Elevatórias'!G:G)</f>
        <v>26021-072</v>
      </c>
      <c r="I30" s="1">
        <f>_xlfn.XLOOKUP(B30,COORDENADAS!A:A,COORDENADAS!B:B)</f>
        <v>-22.728400000000001</v>
      </c>
      <c r="J30" s="1">
        <f>_xlfn.XLOOKUP(B30,COORDENADAS!A:A,COORDENADAS!C:C)</f>
        <v>-43.443300000000001</v>
      </c>
      <c r="K30" s="1"/>
      <c r="L30" s="1" t="str">
        <f>_xlfn.XLOOKUP(A:A,'RELAÇÃO ANTIGA'!A:A,'RELAÇÃO ANTIGA'!J:J)</f>
        <v>FORMAL</v>
      </c>
      <c r="M30" s="1">
        <v>1</v>
      </c>
      <c r="N30" s="1" t="s">
        <v>378</v>
      </c>
      <c r="O30" s="1" t="s">
        <v>445</v>
      </c>
      <c r="P30" s="1" t="s">
        <v>446</v>
      </c>
      <c r="Q30" s="1" t="s">
        <v>404</v>
      </c>
      <c r="R30" s="1"/>
      <c r="S30" s="1" t="s">
        <v>674</v>
      </c>
      <c r="T30" s="1" t="s">
        <v>675</v>
      </c>
      <c r="U30" s="1" t="s">
        <v>676</v>
      </c>
      <c r="V30" s="1"/>
      <c r="W30" s="1"/>
      <c r="X30" s="1" t="s">
        <v>677</v>
      </c>
      <c r="Y30" s="1" t="s">
        <v>678</v>
      </c>
      <c r="Z30" s="1" t="s">
        <v>679</v>
      </c>
      <c r="AA30" s="1">
        <v>2</v>
      </c>
      <c r="AB30" s="1" t="s">
        <v>680</v>
      </c>
      <c r="AC30" s="1" t="s">
        <v>455</v>
      </c>
      <c r="AD30" s="1" t="s">
        <v>386</v>
      </c>
      <c r="AE30" s="1"/>
      <c r="AF30" s="1" t="s">
        <v>411</v>
      </c>
      <c r="AG30" s="1"/>
      <c r="AH30" s="1" t="s">
        <v>412</v>
      </c>
      <c r="AI30" s="1"/>
      <c r="AJ30" s="1"/>
      <c r="AK30" s="1"/>
      <c r="AL30" s="1"/>
      <c r="AM30" s="1"/>
      <c r="AN30" s="1"/>
      <c r="AO30" s="1"/>
      <c r="AP30" s="1">
        <v>413110570</v>
      </c>
      <c r="AQ30" s="1">
        <v>5028144</v>
      </c>
      <c r="AR30" s="1">
        <v>0</v>
      </c>
      <c r="AS30" s="1" t="s">
        <v>681</v>
      </c>
      <c r="AT30" s="1" t="s">
        <v>682</v>
      </c>
      <c r="AU30" s="1" t="s">
        <v>489</v>
      </c>
      <c r="AV30" s="1" t="s">
        <v>683</v>
      </c>
      <c r="AW30" s="1">
        <v>0</v>
      </c>
      <c r="AX30" s="1">
        <v>0</v>
      </c>
      <c r="AY30" s="1">
        <v>0</v>
      </c>
      <c r="AZ30" s="1">
        <v>0</v>
      </c>
      <c r="BA30" s="1"/>
      <c r="BB30" s="1"/>
      <c r="BC30" s="1"/>
      <c r="BD30" s="1"/>
      <c r="BE30" s="1"/>
      <c r="BF30" s="1"/>
      <c r="BG30" s="1"/>
      <c r="BH30" s="1"/>
      <c r="BI30" s="1"/>
      <c r="BJ30" s="1" t="s">
        <v>684</v>
      </c>
      <c r="BK30" s="1" t="s">
        <v>391</v>
      </c>
      <c r="BL30" s="1" t="s">
        <v>392</v>
      </c>
      <c r="BM30" s="1" t="s">
        <v>685</v>
      </c>
      <c r="BN30" s="1" t="s">
        <v>686</v>
      </c>
      <c r="BO30" s="1" t="s">
        <v>687</v>
      </c>
      <c r="BP30" s="1" t="s">
        <v>386</v>
      </c>
      <c r="BQ30" s="1"/>
      <c r="BR30" s="1" t="s">
        <v>397</v>
      </c>
      <c r="BS30" s="1" t="s">
        <v>397</v>
      </c>
      <c r="BT30" s="1"/>
      <c r="BU30" s="1">
        <v>0</v>
      </c>
      <c r="BV30" s="1">
        <v>0</v>
      </c>
      <c r="BW30" s="1" t="s">
        <v>396</v>
      </c>
      <c r="BX30" s="1"/>
      <c r="BY30" s="1" t="s">
        <v>401</v>
      </c>
      <c r="BZ30" s="1">
        <v>0</v>
      </c>
      <c r="CA30" s="1">
        <v>0</v>
      </c>
      <c r="CB30" s="1">
        <v>0</v>
      </c>
      <c r="CC30" s="1">
        <v>0</v>
      </c>
      <c r="CD30" s="1" t="s">
        <v>688</v>
      </c>
    </row>
    <row r="31" spans="1:82" hidden="1">
      <c r="A31" s="1" t="s">
        <v>689</v>
      </c>
      <c r="B31" s="1" t="str">
        <f>_xlfn.XLOOKUP(A:A,'Dados Elevatórias'!D:D,'Dados Elevatórias'!B:B)</f>
        <v>PL-RJB-EAT0011</v>
      </c>
      <c r="C31" s="1" t="str">
        <f>_xlfn.XLOOKUP(B:B,'Dados Elevatórias'!B:B,'Dados Elevatórias'!C:C)</f>
        <v>EAT</v>
      </c>
      <c r="D31" s="1" t="s">
        <v>373</v>
      </c>
      <c r="E31" s="1" t="s">
        <v>690</v>
      </c>
      <c r="F31" s="1" t="s">
        <v>528</v>
      </c>
      <c r="G31" s="1" t="s">
        <v>421</v>
      </c>
      <c r="H31" s="1" t="s">
        <v>691</v>
      </c>
      <c r="I31" s="1">
        <f>_xlfn.XLOOKUP(B31,COORDENADAS!A:A,COORDENADAS!B:B)</f>
        <v>-22.763100000000001</v>
      </c>
      <c r="J31" s="1">
        <f>_xlfn.XLOOKUP(B31,COORDENADAS!A:A,COORDENADAS!C:C)</f>
        <v>-43.453099999999999</v>
      </c>
      <c r="K31" s="1"/>
      <c r="L31" s="1" t="str">
        <f>_xlfn.XLOOKUP(A:A,'RELAÇÃO ANTIGA'!A:A,'RELAÇÃO ANTIGA'!J:J)</f>
        <v>FORMAL</v>
      </c>
      <c r="M31" s="1">
        <v>1</v>
      </c>
      <c r="N31" s="1" t="s">
        <v>378</v>
      </c>
      <c r="O31" s="1" t="s">
        <v>692</v>
      </c>
      <c r="P31" s="1" t="s">
        <v>403</v>
      </c>
      <c r="Q31" s="1" t="s">
        <v>404</v>
      </c>
      <c r="R31" s="1"/>
      <c r="S31" s="1" t="s">
        <v>693</v>
      </c>
      <c r="T31" s="1" t="s">
        <v>675</v>
      </c>
      <c r="U31" s="1" t="s">
        <v>694</v>
      </c>
      <c r="V31" s="1"/>
      <c r="W31" s="1"/>
      <c r="X31" s="1"/>
      <c r="Y31" s="1" t="s">
        <v>695</v>
      </c>
      <c r="Z31" s="1"/>
      <c r="AA31" s="1">
        <v>2</v>
      </c>
      <c r="AB31" s="1"/>
      <c r="AC31" s="1" t="s">
        <v>455</v>
      </c>
      <c r="AD31" s="1" t="s">
        <v>386</v>
      </c>
      <c r="AE31" s="1"/>
      <c r="AF31" s="1" t="s">
        <v>485</v>
      </c>
      <c r="AG31" s="1"/>
      <c r="AH31" s="1" t="s">
        <v>486</v>
      </c>
      <c r="AI31" s="1"/>
      <c r="AJ31" s="1"/>
      <c r="AK31" s="1"/>
      <c r="AL31" s="1"/>
      <c r="AM31" s="1"/>
      <c r="AN31" s="1" t="str">
        <f>_xlfn.XLOOKUP(A:A,'RELAÇÃO ANTIGA'!A:A,'RELAÇÃO ANTIGA'!AC:AC,X)</f>
        <v>220V</v>
      </c>
      <c r="AO31" s="1"/>
      <c r="AP31" s="1">
        <v>411457794</v>
      </c>
      <c r="AQ31" s="1">
        <v>7516646</v>
      </c>
      <c r="AR31" s="1">
        <v>0</v>
      </c>
      <c r="AS31" s="1" t="s">
        <v>696</v>
      </c>
      <c r="AT31" s="1" t="s">
        <v>697</v>
      </c>
      <c r="AU31" s="1" t="s">
        <v>489</v>
      </c>
      <c r="AV31" s="1" t="s">
        <v>698</v>
      </c>
      <c r="AW31" s="1">
        <v>0</v>
      </c>
      <c r="AX31" s="1">
        <v>0</v>
      </c>
      <c r="AY31" s="1">
        <v>0</v>
      </c>
      <c r="AZ31" s="1">
        <v>0</v>
      </c>
      <c r="BA31" s="1"/>
      <c r="BB31" s="1"/>
      <c r="BC31" s="1"/>
      <c r="BD31" s="1"/>
      <c r="BE31" s="1"/>
      <c r="BF31" s="1"/>
      <c r="BG31" s="1"/>
      <c r="BH31" s="1"/>
      <c r="BI31" s="1"/>
      <c r="BJ31" s="1" t="s">
        <v>699</v>
      </c>
      <c r="BK31" s="1" t="s">
        <v>391</v>
      </c>
      <c r="BL31" s="1" t="s">
        <v>392</v>
      </c>
      <c r="BM31" s="1" t="s">
        <v>393</v>
      </c>
      <c r="BN31" s="1"/>
      <c r="BO31" s="1" t="s">
        <v>700</v>
      </c>
      <c r="BP31" s="1" t="s">
        <v>396</v>
      </c>
      <c r="BQ31" s="1"/>
      <c r="BR31" s="1" t="s">
        <v>397</v>
      </c>
      <c r="BS31" s="1" t="s">
        <v>397</v>
      </c>
      <c r="BT31" s="1" t="s">
        <v>648</v>
      </c>
      <c r="BU31" s="1">
        <v>0</v>
      </c>
      <c r="BV31" s="1">
        <v>0</v>
      </c>
      <c r="BW31" s="1" t="s">
        <v>396</v>
      </c>
      <c r="BX31" s="1"/>
      <c r="BY31" s="1" t="s">
        <v>401</v>
      </c>
      <c r="BZ31" s="1">
        <v>0</v>
      </c>
      <c r="CA31" s="1">
        <v>0</v>
      </c>
      <c r="CB31" s="1">
        <v>0</v>
      </c>
      <c r="CC31" s="1">
        <v>0</v>
      </c>
      <c r="CD31" s="1" t="s">
        <v>701</v>
      </c>
    </row>
    <row r="32" spans="1:82" hidden="1">
      <c r="A32" s="1" t="s">
        <v>702</v>
      </c>
      <c r="B32" s="1" t="str">
        <f>_xlfn.XLOOKUP(A:A,'Dados Elevatórias'!D:D,'Dados Elevatórias'!B:B)</f>
        <v>PL-RJB-EAT0847</v>
      </c>
      <c r="C32" s="1" t="str">
        <f>_xlfn.XLOOKUP(B:B,'Dados Elevatórias'!B:B,'Dados Elevatórias'!C:C)</f>
        <v>EAT</v>
      </c>
      <c r="D32" s="1" t="s">
        <v>373</v>
      </c>
      <c r="E32" s="1" t="s">
        <v>703</v>
      </c>
      <c r="F32" s="1" t="s">
        <v>704</v>
      </c>
      <c r="G32" s="1" t="s">
        <v>421</v>
      </c>
      <c r="H32" s="1" t="str">
        <f>_xlfn.XLOOKUP(B:B,'Dados Elevatórias'!B:B,'Dados Elevatórias'!G:G)</f>
        <v>26290-717</v>
      </c>
      <c r="I32" s="1">
        <f>_xlfn.XLOOKUP(B32,COORDENADAS!A:A,COORDENADAS!B:B)</f>
        <v>-22.7759</v>
      </c>
      <c r="J32" s="1">
        <f>_xlfn.XLOOKUP(B32,COORDENADAS!A:A,COORDENADAS!C:C)</f>
        <v>-43.531500000000001</v>
      </c>
      <c r="K32" s="1"/>
      <c r="L32" s="1"/>
      <c r="M32" s="1">
        <v>1</v>
      </c>
      <c r="N32" s="1" t="s">
        <v>378</v>
      </c>
      <c r="O32" s="1" t="s">
        <v>705</v>
      </c>
      <c r="P32" s="1" t="s">
        <v>481</v>
      </c>
      <c r="Q32" s="1" t="s">
        <v>706</v>
      </c>
      <c r="R32" s="1"/>
      <c r="S32" s="1"/>
      <c r="T32" s="1" t="s">
        <v>707</v>
      </c>
      <c r="U32" s="1" t="s">
        <v>708</v>
      </c>
      <c r="V32" s="1"/>
      <c r="W32" s="1"/>
      <c r="X32" s="1" t="s">
        <v>709</v>
      </c>
      <c r="Y32" s="1"/>
      <c r="Z32" s="1" t="s">
        <v>710</v>
      </c>
      <c r="AA32" s="1"/>
      <c r="AB32" s="1"/>
      <c r="AC32" s="1" t="s">
        <v>455</v>
      </c>
      <c r="AD32" s="1" t="s">
        <v>396</v>
      </c>
      <c r="AE32" s="1"/>
      <c r="AF32" s="1" t="s">
        <v>423</v>
      </c>
      <c r="AG32" s="1"/>
      <c r="AH32" s="1"/>
      <c r="AI32" s="1" t="s">
        <v>711</v>
      </c>
      <c r="AJ32" s="1" t="s">
        <v>712</v>
      </c>
      <c r="AK32" s="1"/>
      <c r="AL32" s="1"/>
      <c r="AM32" s="1"/>
      <c r="AN32" s="1" t="s">
        <v>713</v>
      </c>
      <c r="AO32" s="1"/>
      <c r="AP32" s="1">
        <v>0</v>
      </c>
      <c r="AQ32" s="1">
        <v>0</v>
      </c>
      <c r="AR32" s="1">
        <v>0</v>
      </c>
      <c r="AS32" s="1">
        <v>0</v>
      </c>
      <c r="AT32" s="1">
        <v>0</v>
      </c>
      <c r="AU32" s="1">
        <v>0</v>
      </c>
      <c r="AV32" s="1">
        <v>0</v>
      </c>
      <c r="AW32" s="1">
        <v>0</v>
      </c>
      <c r="AX32" s="1">
        <v>0</v>
      </c>
      <c r="AY32" s="1">
        <v>0</v>
      </c>
      <c r="AZ32" s="1">
        <v>0</v>
      </c>
      <c r="BA32" s="1"/>
      <c r="BB32" s="1"/>
      <c r="BC32" s="1"/>
      <c r="BD32" s="1"/>
      <c r="BE32" s="1"/>
      <c r="BF32" s="1"/>
      <c r="BG32" s="1"/>
      <c r="BH32" s="1"/>
      <c r="BI32" s="1"/>
      <c r="BJ32" s="1" t="s">
        <v>714</v>
      </c>
      <c r="BK32" s="1" t="s">
        <v>391</v>
      </c>
      <c r="BL32" s="1" t="s">
        <v>462</v>
      </c>
      <c r="BM32" s="1"/>
      <c r="BN32" s="1" t="s">
        <v>715</v>
      </c>
      <c r="BO32" s="1" t="s">
        <v>716</v>
      </c>
      <c r="BP32" s="1" t="s">
        <v>396</v>
      </c>
      <c r="BQ32" s="1"/>
      <c r="BR32" s="1">
        <v>0</v>
      </c>
      <c r="BS32" s="1">
        <v>0</v>
      </c>
      <c r="BT32" s="1">
        <v>0</v>
      </c>
      <c r="BU32" s="1">
        <v>0</v>
      </c>
      <c r="BV32" s="1">
        <v>0</v>
      </c>
      <c r="BW32" s="1"/>
      <c r="BX32" s="1"/>
      <c r="BY32" s="1">
        <v>0</v>
      </c>
      <c r="BZ32" s="1">
        <v>0</v>
      </c>
      <c r="CA32" s="1">
        <v>0</v>
      </c>
      <c r="CB32" s="1">
        <v>0</v>
      </c>
      <c r="CC32" s="1">
        <v>0</v>
      </c>
      <c r="CD32" s="1">
        <v>0</v>
      </c>
    </row>
    <row r="33" spans="1:82">
      <c r="A33" s="1" t="s">
        <v>717</v>
      </c>
      <c r="B33" s="1" t="str">
        <f>_xlfn.XLOOKUP(A:A,'Dados Elevatórias'!D:D,'Dados Elevatórias'!B:B)</f>
        <v>PL-RJB-EAT0056</v>
      </c>
      <c r="C33" s="1" t="str">
        <f>_xlfn.XLOOKUP(B:B,'Dados Elevatórias'!B:B,'Dados Elevatórias'!C:C)</f>
        <v>EAT</v>
      </c>
      <c r="D33" s="1" t="s">
        <v>373</v>
      </c>
      <c r="E33" s="1" t="s">
        <v>718</v>
      </c>
      <c r="F33" s="1" t="s">
        <v>719</v>
      </c>
      <c r="G33" s="1" t="s">
        <v>376</v>
      </c>
      <c r="H33" s="1" t="str">
        <f>_xlfn.XLOOKUP(B:B,'Dados Elevatórias'!B:B,'Dados Elevatórias'!G:G)</f>
        <v>26545-470</v>
      </c>
      <c r="I33" s="1">
        <f>_xlfn.XLOOKUP(B33,COORDENADAS!A:A,COORDENADAS!B:B)</f>
        <v>-22.813700000000001</v>
      </c>
      <c r="J33" s="1">
        <f>_xlfn.XLOOKUP(B33,COORDENADAS!A:A,COORDENADAS!C:C)</f>
        <v>-43.394500000000001</v>
      </c>
      <c r="K33" s="1"/>
      <c r="L33" s="1" t="str">
        <f>_xlfn.XLOOKUP(A:A,'RELAÇÃO ANTIGA'!A:A,'RELAÇÃO ANTIGA'!J:J)</f>
        <v>INFORMAL</v>
      </c>
      <c r="M33" s="1">
        <v>1</v>
      </c>
      <c r="N33" s="1" t="s">
        <v>378</v>
      </c>
      <c r="O33" s="1" t="s">
        <v>720</v>
      </c>
      <c r="P33" s="1" t="s">
        <v>721</v>
      </c>
      <c r="Q33" s="1" t="s">
        <v>722</v>
      </c>
      <c r="R33" s="1" t="s">
        <v>723</v>
      </c>
      <c r="S33" s="1"/>
      <c r="T33" s="1" t="s">
        <v>407</v>
      </c>
      <c r="U33" s="1" t="s">
        <v>724</v>
      </c>
      <c r="V33" s="1"/>
      <c r="W33" s="1"/>
      <c r="X33" s="1" t="s">
        <v>725</v>
      </c>
      <c r="Y33" s="1"/>
      <c r="Z33" s="1" t="s">
        <v>722</v>
      </c>
      <c r="AA33" s="1">
        <v>2</v>
      </c>
      <c r="AB33" s="1" t="s">
        <v>726</v>
      </c>
      <c r="AC33" s="1" t="s">
        <v>727</v>
      </c>
      <c r="AD33" s="1"/>
      <c r="AE33" s="1"/>
      <c r="AF33" s="1" t="s">
        <v>728</v>
      </c>
      <c r="AG33" s="1"/>
      <c r="AH33" s="1" t="s">
        <v>727</v>
      </c>
      <c r="AI33" s="1" t="s">
        <v>729</v>
      </c>
      <c r="AJ33" s="1" t="s">
        <v>730</v>
      </c>
      <c r="AK33" s="1"/>
      <c r="AL33" s="1" t="s">
        <v>731</v>
      </c>
      <c r="AM33" s="1">
        <v>5501608</v>
      </c>
      <c r="AN33" s="1" t="s">
        <v>433</v>
      </c>
      <c r="AO33" s="1"/>
      <c r="AP33" s="1">
        <v>420149824</v>
      </c>
      <c r="AQ33" s="1">
        <v>5404178</v>
      </c>
      <c r="AR33" s="1">
        <v>0</v>
      </c>
      <c r="AS33" s="1" t="s">
        <v>732</v>
      </c>
      <c r="AT33" s="1" t="s">
        <v>733</v>
      </c>
      <c r="AU33" s="1">
        <v>0</v>
      </c>
      <c r="AV33" s="1">
        <v>0</v>
      </c>
      <c r="AW33" s="1">
        <v>0</v>
      </c>
      <c r="AX33" s="1">
        <v>0</v>
      </c>
      <c r="AY33" s="1">
        <v>0</v>
      </c>
      <c r="AZ33" s="1">
        <v>0</v>
      </c>
      <c r="BA33" s="1"/>
      <c r="BB33" s="1"/>
      <c r="BC33" s="1"/>
      <c r="BD33" s="1"/>
      <c r="BE33" s="1"/>
      <c r="BF33" s="1"/>
      <c r="BG33" s="1"/>
      <c r="BH33" s="1"/>
      <c r="BI33" s="1"/>
      <c r="BJ33" s="1"/>
      <c r="BK33" s="1" t="s">
        <v>427</v>
      </c>
      <c r="BL33" s="1" t="s">
        <v>404</v>
      </c>
      <c r="BM33" s="1" t="s">
        <v>734</v>
      </c>
      <c r="BN33" s="1"/>
      <c r="BO33" s="1"/>
      <c r="BP33" s="1" t="s">
        <v>386</v>
      </c>
      <c r="BQ33" s="1"/>
      <c r="BR33" s="1">
        <v>0</v>
      </c>
      <c r="BS33" s="1">
        <v>0</v>
      </c>
      <c r="BT33" s="1">
        <v>0</v>
      </c>
      <c r="BU33" s="1">
        <v>0</v>
      </c>
      <c r="BV33" s="1">
        <v>0</v>
      </c>
      <c r="BW33" s="1" t="s">
        <v>396</v>
      </c>
      <c r="BX33" s="1"/>
      <c r="BY33" s="1" t="s">
        <v>401</v>
      </c>
      <c r="BZ33" s="1">
        <v>0</v>
      </c>
      <c r="CA33" s="1">
        <v>0</v>
      </c>
      <c r="CB33" s="1">
        <v>0</v>
      </c>
      <c r="CC33" s="1" t="s">
        <v>735</v>
      </c>
      <c r="CD33" s="1" t="s">
        <v>736</v>
      </c>
    </row>
    <row r="34" spans="1:82" hidden="1">
      <c r="A34" s="1" t="s">
        <v>737</v>
      </c>
      <c r="B34" s="1" t="str">
        <f>_xlfn.XLOOKUP(A:A,'Dados Elevatórias'!D:D,'Dados Elevatórias'!B:B)</f>
        <v>PL-RJB-EAT0835</v>
      </c>
      <c r="C34" s="1" t="str">
        <f>_xlfn.XLOOKUP(B:B,'Dados Elevatórias'!B:B,'Dados Elevatórias'!C:C)</f>
        <v>EAT</v>
      </c>
      <c r="D34" s="1" t="s">
        <v>373</v>
      </c>
      <c r="E34" s="1" t="s">
        <v>738</v>
      </c>
      <c r="F34" s="1" t="s">
        <v>739</v>
      </c>
      <c r="G34" s="1" t="s">
        <v>443</v>
      </c>
      <c r="H34" s="1" t="str">
        <f>_xlfn.XLOOKUP(B:B,'Dados Elevatórias'!B:B,'Dados Elevatórias'!G:G)</f>
        <v>26320-330</v>
      </c>
      <c r="I34" s="1">
        <f>_xlfn.XLOOKUP(B34,COORDENADAS!A:A,COORDENADAS!B:B)</f>
        <v>-22.706299999999999</v>
      </c>
      <c r="J34" s="1">
        <f>_xlfn.XLOOKUP(B34,COORDENADAS!A:A,COORDENADAS!C:C)</f>
        <v>-43.582500000000003</v>
      </c>
      <c r="K34" s="1"/>
      <c r="L34" s="1"/>
      <c r="M34" s="1">
        <v>1</v>
      </c>
      <c r="N34" s="1" t="s">
        <v>378</v>
      </c>
      <c r="O34" s="1" t="s">
        <v>740</v>
      </c>
      <c r="P34" s="1" t="s">
        <v>446</v>
      </c>
      <c r="Q34" s="1" t="s">
        <v>404</v>
      </c>
      <c r="R34" s="1" t="s">
        <v>741</v>
      </c>
      <c r="S34" s="1" t="s">
        <v>742</v>
      </c>
      <c r="T34" s="1" t="s">
        <v>619</v>
      </c>
      <c r="U34" s="1" t="s">
        <v>743</v>
      </c>
      <c r="V34" s="1"/>
      <c r="W34" s="1"/>
      <c r="X34" s="1"/>
      <c r="Y34" s="1" t="s">
        <v>744</v>
      </c>
      <c r="Z34" s="1" t="s">
        <v>745</v>
      </c>
      <c r="AA34" s="1">
        <v>2</v>
      </c>
      <c r="AB34" s="1" t="s">
        <v>746</v>
      </c>
      <c r="AC34" s="1" t="s">
        <v>455</v>
      </c>
      <c r="AD34" s="1" t="s">
        <v>386</v>
      </c>
      <c r="AE34" s="1"/>
      <c r="AF34" s="1" t="s">
        <v>423</v>
      </c>
      <c r="AG34" s="1"/>
      <c r="AH34" s="1" t="s">
        <v>412</v>
      </c>
      <c r="AI34" s="1"/>
      <c r="AJ34" s="1"/>
      <c r="AK34" s="1"/>
      <c r="AL34" s="1"/>
      <c r="AM34" s="1"/>
      <c r="AN34" s="1" t="str">
        <f>_xlfn.XLOOKUP(A:A,'RELAÇÃO ANTIGA'!A:A,'RELAÇÃO ANTIGA'!AC:AC,X)</f>
        <v>220v</v>
      </c>
      <c r="AO34" s="1"/>
      <c r="AP34" s="1">
        <v>0</v>
      </c>
      <c r="AQ34" s="1">
        <v>0</v>
      </c>
      <c r="AR34" s="1">
        <v>0</v>
      </c>
      <c r="AS34" s="1">
        <v>0</v>
      </c>
      <c r="AT34" s="1">
        <v>0</v>
      </c>
      <c r="AU34" s="1">
        <v>0</v>
      </c>
      <c r="AV34" s="1">
        <v>0</v>
      </c>
      <c r="AW34" s="1">
        <v>0</v>
      </c>
      <c r="AX34" s="1">
        <v>0</v>
      </c>
      <c r="AY34" s="1">
        <v>0</v>
      </c>
      <c r="AZ34" s="1">
        <v>0</v>
      </c>
      <c r="BA34" s="1"/>
      <c r="BB34" s="1"/>
      <c r="BC34" s="1"/>
      <c r="BD34" s="1"/>
      <c r="BE34" s="1"/>
      <c r="BF34" s="1"/>
      <c r="BG34" s="1"/>
      <c r="BH34" s="1"/>
      <c r="BI34" s="1"/>
      <c r="BJ34" s="1"/>
      <c r="BK34" s="1" t="s">
        <v>391</v>
      </c>
      <c r="BL34" s="1"/>
      <c r="BM34" s="1"/>
      <c r="BN34" s="1"/>
      <c r="BO34" s="1"/>
      <c r="BP34" s="1" t="s">
        <v>396</v>
      </c>
      <c r="BQ34" s="1"/>
      <c r="BR34" s="1">
        <v>0</v>
      </c>
      <c r="BS34" s="1">
        <v>0</v>
      </c>
      <c r="BT34" s="1">
        <v>0</v>
      </c>
      <c r="BU34" s="1">
        <v>0</v>
      </c>
      <c r="BV34" s="1">
        <v>0</v>
      </c>
      <c r="BW34" s="1"/>
      <c r="BX34" s="1"/>
      <c r="BY34" s="1">
        <v>0</v>
      </c>
      <c r="BZ34" s="1">
        <v>0</v>
      </c>
      <c r="CA34" s="1">
        <v>0</v>
      </c>
      <c r="CB34" s="1">
        <v>0</v>
      </c>
      <c r="CC34" s="1">
        <v>0</v>
      </c>
      <c r="CD34" s="1">
        <v>0</v>
      </c>
    </row>
    <row r="35" spans="1:82" hidden="1">
      <c r="A35" s="1" t="s">
        <v>747</v>
      </c>
      <c r="B35" s="1" t="str">
        <f>_xlfn.XLOOKUP(A:A,'Dados Elevatórias'!D:D,'Dados Elevatórias'!B:B)</f>
        <v>PL-RJB-EAT0822</v>
      </c>
      <c r="C35" s="1" t="str">
        <f>_xlfn.XLOOKUP(B:B,'Dados Elevatórias'!B:B,'Dados Elevatórias'!C:C)</f>
        <v>EAT</v>
      </c>
      <c r="D35" s="1" t="s">
        <v>373</v>
      </c>
      <c r="E35" s="1" t="s">
        <v>748</v>
      </c>
      <c r="F35" s="1" t="s">
        <v>749</v>
      </c>
      <c r="G35" s="1" t="s">
        <v>421</v>
      </c>
      <c r="H35" s="1">
        <f>_xlfn.XLOOKUP(B:B,'Dados Elevatórias'!B:B,'Dados Elevatórias'!G:G)</f>
        <v>0</v>
      </c>
      <c r="I35" s="1">
        <f>_xlfn.XLOOKUP(B35,COORDENADAS!A:A,COORDENADAS!B:B)</f>
        <v>-22.659400000000002</v>
      </c>
      <c r="J35" s="1">
        <f>_xlfn.XLOOKUP(B35,COORDENADAS!A:A,COORDENADAS!C:C)</f>
        <v>-43.4876</v>
      </c>
      <c r="K35" s="1"/>
      <c r="L35" s="1"/>
      <c r="M35" s="1">
        <v>1</v>
      </c>
      <c r="N35" s="1" t="s">
        <v>378</v>
      </c>
      <c r="O35" s="1" t="s">
        <v>750</v>
      </c>
      <c r="P35" s="1" t="s">
        <v>751</v>
      </c>
      <c r="Q35" s="1" t="s">
        <v>752</v>
      </c>
      <c r="R35" s="1"/>
      <c r="S35" s="1" t="s">
        <v>753</v>
      </c>
      <c r="T35" s="1" t="s">
        <v>754</v>
      </c>
      <c r="U35" s="1" t="s">
        <v>755</v>
      </c>
      <c r="V35" s="1" t="s">
        <v>756</v>
      </c>
      <c r="W35" s="1" t="s">
        <v>757</v>
      </c>
      <c r="X35" s="1" t="s">
        <v>758</v>
      </c>
      <c r="Y35" s="1" t="s">
        <v>759</v>
      </c>
      <c r="Z35" s="1" t="s">
        <v>760</v>
      </c>
      <c r="AA35" s="1">
        <v>4</v>
      </c>
      <c r="AB35" s="1">
        <v>356</v>
      </c>
      <c r="AC35" s="1" t="s">
        <v>455</v>
      </c>
      <c r="AD35" s="1" t="s">
        <v>386</v>
      </c>
      <c r="AE35" s="1"/>
      <c r="AF35" s="1" t="s">
        <v>411</v>
      </c>
      <c r="AG35" s="1"/>
      <c r="AH35" s="1" t="s">
        <v>412</v>
      </c>
      <c r="AI35" s="1" t="s">
        <v>761</v>
      </c>
      <c r="AJ35" s="1" t="s">
        <v>762</v>
      </c>
      <c r="AK35" s="1"/>
      <c r="AL35" s="1" t="s">
        <v>763</v>
      </c>
      <c r="AM35" s="1"/>
      <c r="AN35" s="1" t="str">
        <f>_xlfn.XLOOKUP(A:A,'RELAÇÃO ANTIGA'!A:A,'RELAÇÃO ANTIGA'!AC:AC,X)</f>
        <v>220v</v>
      </c>
      <c r="AO35" s="1"/>
      <c r="AP35" s="1">
        <v>0</v>
      </c>
      <c r="AQ35" s="1">
        <v>0</v>
      </c>
      <c r="AR35" s="1">
        <v>0</v>
      </c>
      <c r="AS35" s="1">
        <v>0</v>
      </c>
      <c r="AT35" s="1">
        <v>0</v>
      </c>
      <c r="AU35" s="1">
        <v>0</v>
      </c>
      <c r="AV35" s="1">
        <v>0</v>
      </c>
      <c r="AW35" s="1">
        <v>0</v>
      </c>
      <c r="AX35" s="1">
        <v>0</v>
      </c>
      <c r="AY35" s="1">
        <v>0</v>
      </c>
      <c r="AZ35" s="1">
        <v>0</v>
      </c>
      <c r="BA35" s="1"/>
      <c r="BB35" s="1"/>
      <c r="BC35" s="1"/>
      <c r="BD35" s="1"/>
      <c r="BE35" s="1"/>
      <c r="BF35" s="1"/>
      <c r="BG35" s="1"/>
      <c r="BH35" s="1"/>
      <c r="BI35" s="1"/>
      <c r="BJ35" s="1" t="s">
        <v>764</v>
      </c>
      <c r="BK35" s="1" t="s">
        <v>391</v>
      </c>
      <c r="BL35" s="1" t="s">
        <v>462</v>
      </c>
      <c r="BM35" s="1" t="s">
        <v>765</v>
      </c>
      <c r="BN35" s="1" t="s">
        <v>766</v>
      </c>
      <c r="BO35" s="1" t="s">
        <v>767</v>
      </c>
      <c r="BP35" s="1" t="s">
        <v>396</v>
      </c>
      <c r="BQ35" s="1"/>
      <c r="BR35" s="1" t="s">
        <v>516</v>
      </c>
      <c r="BS35" s="1" t="s">
        <v>768</v>
      </c>
      <c r="BT35" s="1" t="s">
        <v>769</v>
      </c>
      <c r="BU35" s="1">
        <v>0</v>
      </c>
      <c r="BV35" s="1">
        <v>0</v>
      </c>
      <c r="BW35" s="1"/>
      <c r="BX35" s="1"/>
      <c r="BY35" s="1">
        <v>0</v>
      </c>
      <c r="BZ35" s="1">
        <v>0</v>
      </c>
      <c r="CA35" s="1">
        <v>0</v>
      </c>
      <c r="CB35" s="1">
        <v>0</v>
      </c>
      <c r="CC35" s="1">
        <v>0</v>
      </c>
      <c r="CD35" s="1">
        <v>0</v>
      </c>
    </row>
    <row r="36" spans="1:82" hidden="1">
      <c r="A36" s="1" t="s">
        <v>770</v>
      </c>
      <c r="B36" s="1" t="str">
        <f>_xlfn.XLOOKUP(A:A,'Dados Elevatórias'!D:D,'Dados Elevatórias'!B:B)</f>
        <v>PL-RJB-EAT0821</v>
      </c>
      <c r="C36" s="1" t="str">
        <f>_xlfn.XLOOKUP(B:B,'Dados Elevatórias'!B:B,'Dados Elevatórias'!C:C)</f>
        <v>EAT</v>
      </c>
      <c r="D36" s="1" t="s">
        <v>373</v>
      </c>
      <c r="E36" s="1" t="s">
        <v>771</v>
      </c>
      <c r="F36" s="1" t="s">
        <v>772</v>
      </c>
      <c r="G36" s="1" t="s">
        <v>421</v>
      </c>
      <c r="H36" s="1" t="str">
        <f>_xlfn.XLOOKUP(B:B,'Dados Elevatórias'!B:B,'Dados Elevatórias'!G:G)</f>
        <v>26250-170</v>
      </c>
      <c r="I36" s="1">
        <f>_xlfn.XLOOKUP(B36,COORDENADAS!A:A,COORDENADAS!B:B)</f>
        <v>-22.766500000000001</v>
      </c>
      <c r="J36" s="1">
        <f>_xlfn.XLOOKUP(B36,COORDENADAS!A:A,COORDENADAS!C:C)</f>
        <v>-43.442900000000002</v>
      </c>
      <c r="K36" s="1"/>
      <c r="L36" s="1"/>
      <c r="M36" s="1">
        <v>1</v>
      </c>
      <c r="N36" s="1" t="s">
        <v>378</v>
      </c>
      <c r="O36" s="1" t="s">
        <v>773</v>
      </c>
      <c r="P36" s="1" t="s">
        <v>774</v>
      </c>
      <c r="Q36" s="1"/>
      <c r="R36" s="1"/>
      <c r="S36" s="1" t="s">
        <v>775</v>
      </c>
      <c r="T36" s="1"/>
      <c r="U36" s="1"/>
      <c r="V36" s="1"/>
      <c r="W36" s="1"/>
      <c r="X36" s="1"/>
      <c r="Y36" s="1"/>
      <c r="Z36" s="1"/>
      <c r="AA36" s="1"/>
      <c r="AB36" s="1"/>
      <c r="AC36" s="1" t="s">
        <v>455</v>
      </c>
      <c r="AD36" s="1"/>
      <c r="AE36" s="1"/>
      <c r="AF36" s="1" t="s">
        <v>411</v>
      </c>
      <c r="AG36" s="1"/>
      <c r="AH36" s="1" t="s">
        <v>412</v>
      </c>
      <c r="AI36" s="1"/>
      <c r="AJ36" s="1"/>
      <c r="AK36" s="1"/>
      <c r="AL36" s="1"/>
      <c r="AM36" s="1"/>
      <c r="AN36" s="1"/>
      <c r="AO36" s="1"/>
      <c r="AP36" s="1">
        <v>0</v>
      </c>
      <c r="AQ36" s="1">
        <v>0</v>
      </c>
      <c r="AR36" s="1">
        <v>0</v>
      </c>
      <c r="AS36" s="1">
        <v>0</v>
      </c>
      <c r="AT36" s="1">
        <v>0</v>
      </c>
      <c r="AU36" s="1">
        <v>0</v>
      </c>
      <c r="AV36" s="1">
        <v>0</v>
      </c>
      <c r="AW36" s="1">
        <v>0</v>
      </c>
      <c r="AX36" s="1">
        <v>0</v>
      </c>
      <c r="AY36" s="1">
        <v>0</v>
      </c>
      <c r="AZ36" s="1">
        <v>0</v>
      </c>
      <c r="BA36" s="1"/>
      <c r="BB36" s="1"/>
      <c r="BC36" s="1"/>
      <c r="BD36" s="1"/>
      <c r="BE36" s="1"/>
      <c r="BF36" s="1"/>
      <c r="BG36" s="1"/>
      <c r="BH36" s="1"/>
      <c r="BI36" s="1"/>
      <c r="BJ36" s="1"/>
      <c r="BK36" s="1" t="s">
        <v>391</v>
      </c>
      <c r="BL36" s="1"/>
      <c r="BM36" s="1"/>
      <c r="BN36" s="1"/>
      <c r="BO36" s="1"/>
      <c r="BP36" s="1" t="s">
        <v>386</v>
      </c>
      <c r="BQ36" s="1"/>
      <c r="BR36" s="1">
        <v>0</v>
      </c>
      <c r="BS36" s="1">
        <v>0</v>
      </c>
      <c r="BT36" s="1">
        <v>0</v>
      </c>
      <c r="BU36" s="1">
        <v>0</v>
      </c>
      <c r="BV36" s="1">
        <v>0</v>
      </c>
      <c r="BW36" s="1"/>
      <c r="BX36" s="1"/>
      <c r="BY36" s="1">
        <v>0</v>
      </c>
      <c r="BZ36" s="1">
        <v>0</v>
      </c>
      <c r="CA36" s="1">
        <v>0</v>
      </c>
      <c r="CB36" s="1">
        <v>0</v>
      </c>
      <c r="CC36" s="1">
        <v>0</v>
      </c>
      <c r="CD36" s="1">
        <v>0</v>
      </c>
    </row>
    <row r="37" spans="1:82" hidden="1">
      <c r="A37" s="1" t="s">
        <v>776</v>
      </c>
      <c r="B37" s="1" t="str">
        <f>_xlfn.XLOOKUP(A:A,'Dados Elevatórias'!D:D,'Dados Elevatórias'!B:B)</f>
        <v>PL-RJB-EAT1016</v>
      </c>
      <c r="C37" s="1" t="str">
        <f>_xlfn.XLOOKUP(B:B,'Dados Elevatórias'!B:B,'Dados Elevatórias'!C:C)</f>
        <v>EAT</v>
      </c>
      <c r="D37" s="1" t="s">
        <v>373</v>
      </c>
      <c r="E37" s="1" t="s">
        <v>777</v>
      </c>
      <c r="F37" s="1" t="s">
        <v>778</v>
      </c>
      <c r="G37" s="1" t="s">
        <v>576</v>
      </c>
      <c r="H37" s="1" t="str">
        <f>_xlfn.XLOOKUP(B:B,'Dados Elevatórias'!B:B,'Dados Elevatórias'!G:G)</f>
        <v>26480-400</v>
      </c>
      <c r="I37" s="1">
        <f>_xlfn.XLOOKUP(B37,COORDENADAS!A:A,COORDENADAS!B:B)</f>
        <v>-22.672999999999998</v>
      </c>
      <c r="J37" s="1">
        <f>_xlfn.XLOOKUP(B37,COORDENADAS!A:A,COORDENADAS!C:C)</f>
        <v>-43.582599999999999</v>
      </c>
      <c r="K37" s="1"/>
      <c r="L37" s="1"/>
      <c r="M37" s="1">
        <v>1</v>
      </c>
      <c r="N37" s="1" t="s">
        <v>378</v>
      </c>
      <c r="O37" s="1" t="s">
        <v>740</v>
      </c>
      <c r="P37" s="1" t="s">
        <v>779</v>
      </c>
      <c r="Q37" s="1" t="s">
        <v>404</v>
      </c>
      <c r="R37" s="1" t="s">
        <v>780</v>
      </c>
      <c r="S37" s="1" t="s">
        <v>781</v>
      </c>
      <c r="T37" s="1" t="s">
        <v>675</v>
      </c>
      <c r="U37" s="1" t="s">
        <v>782</v>
      </c>
      <c r="V37" s="1"/>
      <c r="W37" s="1"/>
      <c r="X37" s="1"/>
      <c r="Y37" s="1"/>
      <c r="Z37" s="1"/>
      <c r="AA37" s="1"/>
      <c r="AB37" s="1"/>
      <c r="AC37" s="1" t="s">
        <v>455</v>
      </c>
      <c r="AD37" s="1"/>
      <c r="AE37" s="1"/>
      <c r="AF37" s="1" t="s">
        <v>411</v>
      </c>
      <c r="AG37" s="1"/>
      <c r="AH37" s="1" t="s">
        <v>412</v>
      </c>
      <c r="AI37" s="1"/>
      <c r="AJ37" s="1"/>
      <c r="AK37" s="1"/>
      <c r="AL37" s="1"/>
      <c r="AM37" s="1"/>
      <c r="AN37" s="1"/>
      <c r="AO37" s="1"/>
      <c r="AP37" s="1">
        <v>0</v>
      </c>
      <c r="AQ37" s="1">
        <v>0</v>
      </c>
      <c r="AR37" s="1">
        <v>0</v>
      </c>
      <c r="AS37" s="1">
        <v>0</v>
      </c>
      <c r="AT37" s="1">
        <v>0</v>
      </c>
      <c r="AU37" s="1">
        <v>0</v>
      </c>
      <c r="AV37" s="1">
        <v>0</v>
      </c>
      <c r="AW37" s="1">
        <v>0</v>
      </c>
      <c r="AX37" s="1">
        <v>0</v>
      </c>
      <c r="AY37" s="1">
        <v>0</v>
      </c>
      <c r="AZ37" s="1">
        <v>0</v>
      </c>
      <c r="BA37" s="1"/>
      <c r="BB37" s="1"/>
      <c r="BC37" s="1"/>
      <c r="BD37" s="1"/>
      <c r="BE37" s="1"/>
      <c r="BF37" s="1"/>
      <c r="BG37" s="1"/>
      <c r="BH37" s="1"/>
      <c r="BI37" s="1"/>
      <c r="BJ37" s="1"/>
      <c r="BK37" s="1" t="s">
        <v>437</v>
      </c>
      <c r="BL37" s="1"/>
      <c r="BM37" s="1"/>
      <c r="BN37" s="1"/>
      <c r="BO37" s="1"/>
      <c r="BP37" s="1" t="s">
        <v>386</v>
      </c>
      <c r="BQ37" s="1"/>
      <c r="BR37" s="1">
        <v>0</v>
      </c>
      <c r="BS37" s="1">
        <v>0</v>
      </c>
      <c r="BT37" s="1">
        <v>0</v>
      </c>
      <c r="BU37" s="1">
        <v>0</v>
      </c>
      <c r="BV37" s="1">
        <v>0</v>
      </c>
      <c r="BW37" s="1"/>
      <c r="BX37" s="1"/>
      <c r="BY37" s="1">
        <v>0</v>
      </c>
      <c r="BZ37" s="1">
        <v>0</v>
      </c>
      <c r="CA37" s="1">
        <v>0</v>
      </c>
      <c r="CB37" s="1">
        <v>0</v>
      </c>
      <c r="CC37" s="1">
        <v>0</v>
      </c>
      <c r="CD37" s="1">
        <v>0</v>
      </c>
    </row>
    <row r="38" spans="1:82" hidden="1">
      <c r="A38" s="1" t="s">
        <v>783</v>
      </c>
      <c r="B38" s="1" t="s">
        <v>137</v>
      </c>
      <c r="C38" s="1" t="s">
        <v>784</v>
      </c>
      <c r="D38" s="1" t="s">
        <v>373</v>
      </c>
      <c r="E38" s="1" t="s">
        <v>785</v>
      </c>
      <c r="F38" s="1" t="s">
        <v>786</v>
      </c>
      <c r="G38" s="1" t="s">
        <v>421</v>
      </c>
      <c r="H38" s="1" t="str">
        <f>_xlfn.XLOOKUP(B:B,'Dados Elevatórias'!B:B,'Dados Elevatórias'!G:G)</f>
        <v>26041-271</v>
      </c>
      <c r="I38" s="1">
        <f>_xlfn.XLOOKUP(B38,COORDENADAS!A:A,COORDENADAS!B:B)</f>
        <v>-22.700900000000001</v>
      </c>
      <c r="J38" s="1">
        <f>_xlfn.XLOOKUP(B38,COORDENADAS!A:A,COORDENADAS!C:C)</f>
        <v>-43.464500000000001</v>
      </c>
      <c r="K38" s="1"/>
      <c r="L38" s="1" t="str">
        <f>_xlfn.XLOOKUP(A:A,'RELAÇÃO ANTIGA'!A:A,'RELAÇÃO ANTIGA'!J:J)</f>
        <v>FORMAL</v>
      </c>
      <c r="M38" s="1">
        <v>1</v>
      </c>
      <c r="N38" s="1" t="s">
        <v>378</v>
      </c>
      <c r="O38" s="1" t="s">
        <v>787</v>
      </c>
      <c r="P38" s="1" t="s">
        <v>788</v>
      </c>
      <c r="Q38" s="1"/>
      <c r="R38" s="1"/>
      <c r="S38" s="1"/>
      <c r="T38" s="1"/>
      <c r="U38" s="1"/>
      <c r="V38" s="1"/>
      <c r="W38" s="1"/>
      <c r="X38" s="1"/>
      <c r="Y38" s="1"/>
      <c r="Z38" s="1"/>
      <c r="AA38" s="1"/>
      <c r="AB38" s="1"/>
      <c r="AC38" s="1" t="s">
        <v>727</v>
      </c>
      <c r="AD38" s="1"/>
      <c r="AE38" s="1"/>
      <c r="AF38" s="1"/>
      <c r="AG38" s="1"/>
      <c r="AH38" s="1"/>
      <c r="AI38" s="1"/>
      <c r="AJ38" s="1"/>
      <c r="AK38" s="1"/>
      <c r="AL38" s="1"/>
      <c r="AM38" s="1"/>
      <c r="AN38" s="1" t="s">
        <v>433</v>
      </c>
      <c r="AO38" s="1"/>
      <c r="AP38" s="1">
        <v>420268697</v>
      </c>
      <c r="AQ38" s="1" t="s">
        <v>789</v>
      </c>
      <c r="AR38" s="1">
        <v>0</v>
      </c>
      <c r="AS38" s="1" t="s">
        <v>790</v>
      </c>
      <c r="AT38" s="1" t="s">
        <v>791</v>
      </c>
      <c r="AU38" s="1">
        <v>0</v>
      </c>
      <c r="AV38" s="1">
        <v>0</v>
      </c>
      <c r="AW38" s="1">
        <v>0</v>
      </c>
      <c r="AX38" s="1">
        <v>0</v>
      </c>
      <c r="AY38" s="1">
        <v>1800</v>
      </c>
      <c r="AZ38" s="1">
        <v>0</v>
      </c>
      <c r="BA38" s="1"/>
      <c r="BB38" s="1"/>
      <c r="BC38" s="1"/>
      <c r="BD38" s="1"/>
      <c r="BE38" s="1"/>
      <c r="BF38" s="1"/>
      <c r="BG38" s="1"/>
      <c r="BH38" s="1"/>
      <c r="BI38" s="1"/>
      <c r="BJ38" s="1"/>
      <c r="BK38" s="1" t="s">
        <v>427</v>
      </c>
      <c r="BL38" s="1" t="s">
        <v>404</v>
      </c>
      <c r="BM38" s="1" t="s">
        <v>734</v>
      </c>
      <c r="BN38" s="1"/>
      <c r="BO38" s="1"/>
      <c r="BP38" s="1" t="s">
        <v>386</v>
      </c>
      <c r="BQ38" s="1"/>
      <c r="BR38" s="1">
        <v>0</v>
      </c>
      <c r="BS38" s="1">
        <v>0</v>
      </c>
      <c r="BT38" s="1">
        <v>0</v>
      </c>
      <c r="BU38" s="1">
        <v>0</v>
      </c>
      <c r="BV38" s="1">
        <v>0</v>
      </c>
      <c r="BW38" s="1" t="s">
        <v>396</v>
      </c>
      <c r="BX38" s="1"/>
      <c r="BY38" s="1" t="s">
        <v>401</v>
      </c>
      <c r="BZ38" s="1">
        <v>35</v>
      </c>
      <c r="CA38" s="1">
        <v>46</v>
      </c>
      <c r="CB38" s="1">
        <v>0</v>
      </c>
      <c r="CC38" s="1">
        <v>0</v>
      </c>
      <c r="CD38" s="1">
        <v>0</v>
      </c>
    </row>
    <row r="39" spans="1:82" hidden="1">
      <c r="A39" s="1" t="s">
        <v>792</v>
      </c>
      <c r="B39" s="1" t="str">
        <f>_xlfn.XLOOKUP(A:A,'Dados Elevatórias'!D:D,'Dados Elevatórias'!B:B)</f>
        <v>PL-RJB-EAT0741</v>
      </c>
      <c r="C39" s="1" t="str">
        <f>_xlfn.XLOOKUP(B:B,'Dados Elevatórias'!B:B,'Dados Elevatórias'!C:C)</f>
        <v>EAT</v>
      </c>
      <c r="D39" s="1" t="s">
        <v>373</v>
      </c>
      <c r="E39" s="1" t="s">
        <v>793</v>
      </c>
      <c r="F39" s="1" t="s">
        <v>794</v>
      </c>
      <c r="G39" s="1" t="s">
        <v>605</v>
      </c>
      <c r="H39" s="1" t="str">
        <f>_xlfn.XLOOKUP(B:B,'Dados Elevatórias'!B:B,'Dados Elevatórias'!G:G)</f>
        <v>26585-520</v>
      </c>
      <c r="I39" s="1">
        <f>_xlfn.XLOOKUP(B39,COORDENADAS!A:A,COORDENADAS!B:B)</f>
        <v>-22.803999999999998</v>
      </c>
      <c r="J39" s="1">
        <f>_xlfn.XLOOKUP(B39,COORDENADAS!A:A,COORDENADAS!C:C)</f>
        <v>-43.440800000000003</v>
      </c>
      <c r="K39" s="1"/>
      <c r="L39" s="1" t="str">
        <f>_xlfn.XLOOKUP(A:A,'RELAÇÃO ANTIGA'!A:A,'RELAÇÃO ANTIGA'!J:J)</f>
        <v>INFORMAL</v>
      </c>
      <c r="M39" s="1">
        <v>1</v>
      </c>
      <c r="N39" s="1" t="s">
        <v>378</v>
      </c>
      <c r="O39" s="1" t="s">
        <v>529</v>
      </c>
      <c r="P39" s="1">
        <v>3500</v>
      </c>
      <c r="Q39" s="1"/>
      <c r="R39" s="1" t="s">
        <v>532</v>
      </c>
      <c r="S39" s="1" t="s">
        <v>795</v>
      </c>
      <c r="T39" s="1" t="s">
        <v>707</v>
      </c>
      <c r="U39" s="1"/>
      <c r="V39" s="1"/>
      <c r="W39" s="1"/>
      <c r="X39" s="1" t="s">
        <v>796</v>
      </c>
      <c r="Y39" s="1" t="s">
        <v>797</v>
      </c>
      <c r="Z39" s="1"/>
      <c r="AA39" s="1">
        <v>10</v>
      </c>
      <c r="AB39" s="1" t="s">
        <v>798</v>
      </c>
      <c r="AC39" s="1" t="s">
        <v>385</v>
      </c>
      <c r="AD39" s="1" t="s">
        <v>396</v>
      </c>
      <c r="AE39" s="1" t="s">
        <v>799</v>
      </c>
      <c r="AF39" s="1" t="s">
        <v>485</v>
      </c>
      <c r="AG39" s="1" t="s">
        <v>800</v>
      </c>
      <c r="AH39" s="1" t="s">
        <v>486</v>
      </c>
      <c r="AI39" s="1" t="s">
        <v>801</v>
      </c>
      <c r="AJ39" s="1" t="s">
        <v>648</v>
      </c>
      <c r="AK39" s="1"/>
      <c r="AL39" s="1"/>
      <c r="AM39" s="1"/>
      <c r="AN39" s="1" t="s">
        <v>802</v>
      </c>
      <c r="AO39" s="1"/>
      <c r="AP39" s="1">
        <v>400139840</v>
      </c>
      <c r="AQ39" s="1">
        <v>1999622</v>
      </c>
      <c r="AR39" s="1">
        <v>0</v>
      </c>
      <c r="AS39" s="1" t="s">
        <v>803</v>
      </c>
      <c r="AT39" s="1" t="s">
        <v>804</v>
      </c>
      <c r="AU39" s="1">
        <v>0</v>
      </c>
      <c r="AV39" s="1">
        <v>0</v>
      </c>
      <c r="AW39" s="1">
        <v>0</v>
      </c>
      <c r="AX39" s="1">
        <v>0</v>
      </c>
      <c r="AY39" s="1">
        <v>0</v>
      </c>
      <c r="AZ39" s="1">
        <v>0</v>
      </c>
      <c r="BA39" s="1"/>
      <c r="BB39" s="1"/>
      <c r="BC39" s="1"/>
      <c r="BD39" s="1"/>
      <c r="BE39" s="1"/>
      <c r="BF39" s="1"/>
      <c r="BG39" s="1"/>
      <c r="BH39" s="1"/>
      <c r="BI39" s="1"/>
      <c r="BJ39" s="1" t="s">
        <v>805</v>
      </c>
      <c r="BK39" s="1" t="s">
        <v>391</v>
      </c>
      <c r="BL39" s="1" t="s">
        <v>404</v>
      </c>
      <c r="BM39" s="1" t="s">
        <v>806</v>
      </c>
      <c r="BN39" s="1" t="s">
        <v>807</v>
      </c>
      <c r="BO39" s="1" t="s">
        <v>808</v>
      </c>
      <c r="BP39" s="1" t="s">
        <v>396</v>
      </c>
      <c r="BQ39" s="1"/>
      <c r="BR39" s="1" t="s">
        <v>398</v>
      </c>
      <c r="BS39" s="1">
        <v>0</v>
      </c>
      <c r="BT39" s="1">
        <v>0</v>
      </c>
      <c r="BU39" s="1">
        <v>0</v>
      </c>
      <c r="BV39" s="1">
        <v>0</v>
      </c>
      <c r="BW39" s="1"/>
      <c r="BX39" s="1"/>
      <c r="BY39" s="1" t="s">
        <v>401</v>
      </c>
      <c r="BZ39" s="1">
        <v>0</v>
      </c>
      <c r="CA39" s="1">
        <v>0</v>
      </c>
      <c r="CB39" s="1">
        <v>0</v>
      </c>
      <c r="CC39" s="1" t="s">
        <v>792</v>
      </c>
      <c r="CD39" s="1" t="s">
        <v>809</v>
      </c>
    </row>
    <row r="40" spans="1:82" hidden="1">
      <c r="A40" s="1" t="s">
        <v>810</v>
      </c>
      <c r="B40" s="1" t="str">
        <f>_xlfn.XLOOKUP(A:A,'Dados Elevatórias'!D:D,'Dados Elevatórias'!B:B)</f>
        <v>PL-RJB-EAT0833</v>
      </c>
      <c r="C40" s="1" t="str">
        <f>_xlfn.XLOOKUP(B:B,'Dados Elevatórias'!B:B,'Dados Elevatórias'!C:C)</f>
        <v>EAT</v>
      </c>
      <c r="D40" s="1" t="s">
        <v>373</v>
      </c>
      <c r="E40" s="1" t="s">
        <v>811</v>
      </c>
      <c r="F40" s="1" t="s">
        <v>812</v>
      </c>
      <c r="G40" s="1" t="s">
        <v>576</v>
      </c>
      <c r="H40" s="1" t="str">
        <f>_xlfn.XLOOKUP(B:B,'Dados Elevatórias'!B:B,'Dados Elevatórias'!G:G)</f>
        <v>26425-340</v>
      </c>
      <c r="I40" s="1">
        <f>_xlfn.XLOOKUP(B40,COORDENADAS!A:A,COORDENADAS!B:B)</f>
        <v>-22.681999999999999</v>
      </c>
      <c r="J40" s="1">
        <f>_xlfn.XLOOKUP(B40,COORDENADAS!A:A,COORDENADAS!C:C)</f>
        <v>-43.604900000000001</v>
      </c>
      <c r="K40" s="1"/>
      <c r="L40" s="1"/>
      <c r="M40" s="1">
        <v>1</v>
      </c>
      <c r="N40" s="1" t="s">
        <v>378</v>
      </c>
      <c r="O40" s="1" t="s">
        <v>813</v>
      </c>
      <c r="P40" s="1" t="s">
        <v>814</v>
      </c>
      <c r="Q40" s="1" t="s">
        <v>404</v>
      </c>
      <c r="R40" s="1" t="s">
        <v>815</v>
      </c>
      <c r="S40" s="1" t="s">
        <v>816</v>
      </c>
      <c r="T40" s="1" t="s">
        <v>407</v>
      </c>
      <c r="U40" s="1" t="s">
        <v>817</v>
      </c>
      <c r="V40" s="1" t="s">
        <v>818</v>
      </c>
      <c r="W40" s="1" t="s">
        <v>819</v>
      </c>
      <c r="X40" s="1" t="s">
        <v>820</v>
      </c>
      <c r="Y40" s="1" t="s">
        <v>821</v>
      </c>
      <c r="Z40" s="1" t="s">
        <v>760</v>
      </c>
      <c r="AA40" s="1">
        <v>2</v>
      </c>
      <c r="AB40" s="1" t="s">
        <v>822</v>
      </c>
      <c r="AC40" s="1" t="s">
        <v>455</v>
      </c>
      <c r="AD40" s="1"/>
      <c r="AE40" s="1"/>
      <c r="AF40" s="1" t="s">
        <v>411</v>
      </c>
      <c r="AG40" s="1"/>
      <c r="AH40" s="1" t="s">
        <v>412</v>
      </c>
      <c r="AI40" s="1" t="s">
        <v>823</v>
      </c>
      <c r="AJ40" s="1" t="s">
        <v>824</v>
      </c>
      <c r="AK40" s="1"/>
      <c r="AL40" s="1" t="s">
        <v>588</v>
      </c>
      <c r="AM40" s="1"/>
      <c r="AN40" s="1" t="s">
        <v>638</v>
      </c>
      <c r="AO40" s="1" t="s">
        <v>638</v>
      </c>
      <c r="AP40" s="1"/>
      <c r="AQ40" s="1"/>
      <c r="AR40" s="1"/>
      <c r="AS40" s="1"/>
      <c r="AT40" s="1"/>
      <c r="AU40" s="1">
        <v>0</v>
      </c>
      <c r="AV40" s="1">
        <v>0</v>
      </c>
      <c r="AW40" s="1">
        <v>0</v>
      </c>
      <c r="AX40" s="1">
        <v>0</v>
      </c>
      <c r="AY40" s="1">
        <v>0</v>
      </c>
      <c r="AZ40" s="1">
        <v>0</v>
      </c>
      <c r="BA40" s="1"/>
      <c r="BB40" s="1"/>
      <c r="BC40" s="1"/>
      <c r="BD40" s="1"/>
      <c r="BE40" s="1"/>
      <c r="BF40" s="1"/>
      <c r="BG40" s="1"/>
      <c r="BH40" s="1"/>
      <c r="BI40" s="1"/>
      <c r="BJ40" s="1" t="s">
        <v>825</v>
      </c>
      <c r="BK40" s="1" t="s">
        <v>391</v>
      </c>
      <c r="BL40" s="1" t="s">
        <v>462</v>
      </c>
      <c r="BM40" s="1" t="s">
        <v>826</v>
      </c>
      <c r="BN40" s="1" t="s">
        <v>827</v>
      </c>
      <c r="BO40" s="1" t="s">
        <v>828</v>
      </c>
      <c r="BP40" s="1" t="s">
        <v>396</v>
      </c>
      <c r="BQ40" s="1"/>
      <c r="BR40" s="1">
        <v>0</v>
      </c>
      <c r="BS40" s="1">
        <v>0</v>
      </c>
      <c r="BT40" s="1">
        <v>0</v>
      </c>
      <c r="BU40" s="1">
        <v>0</v>
      </c>
      <c r="BV40" s="1">
        <v>0</v>
      </c>
      <c r="BW40" s="1"/>
      <c r="BX40" s="1"/>
      <c r="BY40" s="1">
        <v>0</v>
      </c>
      <c r="BZ40" s="1">
        <v>0</v>
      </c>
      <c r="CA40" s="1">
        <v>0</v>
      </c>
      <c r="CB40" s="1">
        <v>0</v>
      </c>
      <c r="CC40" s="1">
        <v>0</v>
      </c>
      <c r="CD40" s="1">
        <v>0</v>
      </c>
    </row>
    <row r="41" spans="1:82" hidden="1">
      <c r="A41" s="1" t="s">
        <v>829</v>
      </c>
      <c r="B41" s="1" t="str">
        <f>_xlfn.XLOOKUP(A:A,'Dados Elevatórias'!D:D,'Dados Elevatórias'!B:B)</f>
        <v>PL-RJB-EAT0816</v>
      </c>
      <c r="C41" s="1" t="str">
        <f>_xlfn.XLOOKUP(B:B,'Dados Elevatórias'!B:B,'Dados Elevatórias'!C:C)</f>
        <v>EAT</v>
      </c>
      <c r="D41" s="1" t="s">
        <v>373</v>
      </c>
      <c r="E41" s="1" t="s">
        <v>830</v>
      </c>
      <c r="F41" s="1" t="s">
        <v>831</v>
      </c>
      <c r="G41" s="1" t="s">
        <v>421</v>
      </c>
      <c r="H41" s="1" t="str">
        <f>_xlfn.XLOOKUP(B:B,'Dados Elevatórias'!B:B,'Dados Elevatórias'!G:G)</f>
        <v>26271-350</v>
      </c>
      <c r="I41" s="1">
        <f>_xlfn.XLOOKUP(B41,COORDENADAS!A:A,COORDENADAS!B:B)</f>
        <v>-22.7684</v>
      </c>
      <c r="J41" s="1">
        <f>_xlfn.XLOOKUP(B41,COORDENADAS!A:A,COORDENADAS!C:C)</f>
        <v>-43.506799999999998</v>
      </c>
      <c r="K41" s="1"/>
      <c r="L41" s="1" t="str">
        <f>_xlfn.XLOOKUP(A:A,'RELAÇÃO ANTIGA'!A:A,'RELAÇÃO ANTIGA'!J:J)</f>
        <v>Nova</v>
      </c>
      <c r="M41" s="1">
        <v>1</v>
      </c>
      <c r="N41" s="1" t="s">
        <v>378</v>
      </c>
      <c r="O41" s="1" t="s">
        <v>787</v>
      </c>
      <c r="P41" s="1">
        <v>3515</v>
      </c>
      <c r="Q41" s="1" t="s">
        <v>404</v>
      </c>
      <c r="R41" s="1" t="s">
        <v>832</v>
      </c>
      <c r="S41" s="1" t="s">
        <v>833</v>
      </c>
      <c r="T41" s="1" t="s">
        <v>407</v>
      </c>
      <c r="U41" s="1" t="s">
        <v>834</v>
      </c>
      <c r="V41" s="1"/>
      <c r="W41" s="1"/>
      <c r="X41" s="1" t="s">
        <v>835</v>
      </c>
      <c r="Y41" s="1" t="s">
        <v>836</v>
      </c>
      <c r="Z41" s="1" t="s">
        <v>837</v>
      </c>
      <c r="AA41" s="1">
        <v>2</v>
      </c>
      <c r="AB41" s="1" t="s">
        <v>838</v>
      </c>
      <c r="AC41" s="1" t="s">
        <v>455</v>
      </c>
      <c r="AD41" s="1" t="s">
        <v>386</v>
      </c>
      <c r="AE41" s="1"/>
      <c r="AF41" s="1" t="s">
        <v>411</v>
      </c>
      <c r="AG41" s="1"/>
      <c r="AH41" s="1" t="s">
        <v>486</v>
      </c>
      <c r="AI41" s="1" t="s">
        <v>839</v>
      </c>
      <c r="AJ41" s="1" t="s">
        <v>840</v>
      </c>
      <c r="AK41" s="1"/>
      <c r="AL41" s="1"/>
      <c r="AM41" s="1"/>
      <c r="AN41" s="1"/>
      <c r="AO41" s="1"/>
      <c r="AP41" s="1">
        <v>0</v>
      </c>
      <c r="AQ41" s="1">
        <v>0</v>
      </c>
      <c r="AR41" s="1">
        <v>0</v>
      </c>
      <c r="AS41" s="1">
        <v>0</v>
      </c>
      <c r="AT41" s="1">
        <v>0</v>
      </c>
      <c r="AU41" s="1" t="s">
        <v>841</v>
      </c>
      <c r="AV41" s="1" t="s">
        <v>841</v>
      </c>
      <c r="AW41" s="1">
        <v>0</v>
      </c>
      <c r="AX41" s="1">
        <v>0</v>
      </c>
      <c r="AY41" s="1">
        <v>0</v>
      </c>
      <c r="AZ41" s="1">
        <v>0</v>
      </c>
      <c r="BA41" s="1"/>
      <c r="BB41" s="1"/>
      <c r="BC41" s="1"/>
      <c r="BD41" s="1"/>
      <c r="BE41" s="1"/>
      <c r="BF41" s="1"/>
      <c r="BG41" s="1"/>
      <c r="BH41" s="1"/>
      <c r="BI41" s="1"/>
      <c r="BJ41" s="1" t="s">
        <v>842</v>
      </c>
      <c r="BK41" s="1" t="s">
        <v>391</v>
      </c>
      <c r="BL41" s="1" t="s">
        <v>462</v>
      </c>
      <c r="BM41" s="1" t="s">
        <v>843</v>
      </c>
      <c r="BN41" s="1" t="s">
        <v>844</v>
      </c>
      <c r="BO41" s="1"/>
      <c r="BP41" s="1" t="s">
        <v>396</v>
      </c>
      <c r="BQ41" s="1"/>
      <c r="BR41" s="1" t="s">
        <v>397</v>
      </c>
      <c r="BS41" s="1" t="s">
        <v>398</v>
      </c>
      <c r="BT41" s="1" t="s">
        <v>845</v>
      </c>
      <c r="BU41" s="1">
        <v>0</v>
      </c>
      <c r="BV41" s="1">
        <v>0</v>
      </c>
      <c r="BW41" s="1"/>
      <c r="BX41" s="1"/>
      <c r="BY41" s="1">
        <v>0</v>
      </c>
      <c r="BZ41" s="1">
        <v>0</v>
      </c>
      <c r="CA41" s="1">
        <v>0</v>
      </c>
      <c r="CB41" s="1">
        <v>0</v>
      </c>
      <c r="CC41" s="1">
        <v>0</v>
      </c>
      <c r="CD41" s="1">
        <v>0</v>
      </c>
    </row>
    <row r="42" spans="1:82" hidden="1">
      <c r="A42" s="1" t="s">
        <v>846</v>
      </c>
      <c r="B42" s="1" t="str">
        <f>_xlfn.XLOOKUP(A:A,'Dados Elevatórias'!D:D,'Dados Elevatórias'!B:B)</f>
        <v>PL-RJB-EAT0836</v>
      </c>
      <c r="C42" s="1" t="str">
        <f>_xlfn.XLOOKUP(B:B,'Dados Elevatórias'!B:B,'Dados Elevatórias'!C:C)</f>
        <v>EAT</v>
      </c>
      <c r="D42" s="1" t="s">
        <v>373</v>
      </c>
      <c r="E42" s="1" t="s">
        <v>847</v>
      </c>
      <c r="F42" s="1" t="s">
        <v>848</v>
      </c>
      <c r="G42" s="1" t="s">
        <v>421</v>
      </c>
      <c r="H42" s="1" t="str">
        <f>_xlfn.XLOOKUP(B:B,'Dados Elevatórias'!B:B,'Dados Elevatórias'!G:G)</f>
        <v>26051-370</v>
      </c>
      <c r="I42" s="1">
        <f>_xlfn.XLOOKUP(B42,COORDENADAS!A:A,COORDENADAS!B:B)</f>
        <v>-22.694299999999998</v>
      </c>
      <c r="J42" s="1">
        <f>_xlfn.XLOOKUP(B42,COORDENADAS!A:A,COORDENADAS!C:C)</f>
        <v>-43.458399999999997</v>
      </c>
      <c r="K42" s="1"/>
      <c r="L42" s="1"/>
      <c r="M42" s="1">
        <v>1</v>
      </c>
      <c r="N42" s="1" t="s">
        <v>378</v>
      </c>
      <c r="O42" s="1" t="s">
        <v>773</v>
      </c>
      <c r="P42" s="1">
        <v>3530</v>
      </c>
      <c r="Q42" s="1" t="s">
        <v>404</v>
      </c>
      <c r="R42" s="1" t="s">
        <v>741</v>
      </c>
      <c r="S42" s="1" t="s">
        <v>849</v>
      </c>
      <c r="T42" s="1" t="s">
        <v>407</v>
      </c>
      <c r="U42" s="1" t="s">
        <v>850</v>
      </c>
      <c r="V42" s="1"/>
      <c r="W42" s="1"/>
      <c r="X42" s="1" t="s">
        <v>851</v>
      </c>
      <c r="Y42" s="1" t="s">
        <v>852</v>
      </c>
      <c r="Z42" s="1"/>
      <c r="AA42" s="1">
        <v>2</v>
      </c>
      <c r="AB42" s="1">
        <v>161</v>
      </c>
      <c r="AC42" s="1" t="s">
        <v>455</v>
      </c>
      <c r="AD42" s="1"/>
      <c r="AE42" s="1"/>
      <c r="AF42" s="1" t="s">
        <v>411</v>
      </c>
      <c r="AG42" s="1"/>
      <c r="AH42" s="1" t="s">
        <v>412</v>
      </c>
      <c r="AI42" s="1" t="s">
        <v>853</v>
      </c>
      <c r="AJ42" s="1" t="s">
        <v>854</v>
      </c>
      <c r="AK42" s="1"/>
      <c r="AL42" s="1" t="s">
        <v>855</v>
      </c>
      <c r="AM42" s="1">
        <v>5513316</v>
      </c>
      <c r="AN42" s="1" t="str">
        <f>_xlfn.XLOOKUP(A:A,'RELAÇÃO ANTIGA'!A:A,'RELAÇÃO ANTIGA'!AC:AC,X)</f>
        <v>220v</v>
      </c>
      <c r="AO42" s="1"/>
      <c r="AP42" s="1">
        <v>0</v>
      </c>
      <c r="AQ42" s="1">
        <v>0</v>
      </c>
      <c r="AR42" s="1">
        <v>0</v>
      </c>
      <c r="AS42" s="1">
        <v>0</v>
      </c>
      <c r="AT42" s="1">
        <v>0</v>
      </c>
      <c r="AU42" s="1" t="s">
        <v>856</v>
      </c>
      <c r="AV42" s="1" t="s">
        <v>857</v>
      </c>
      <c r="AW42" s="1">
        <v>0</v>
      </c>
      <c r="AX42" s="1">
        <v>0</v>
      </c>
      <c r="AY42" s="1">
        <v>0</v>
      </c>
      <c r="AZ42" s="1">
        <v>0</v>
      </c>
      <c r="BA42" s="1"/>
      <c r="BB42" s="1"/>
      <c r="BC42" s="1"/>
      <c r="BD42" s="1"/>
      <c r="BE42" s="1"/>
      <c r="BF42" s="1"/>
      <c r="BG42" s="1"/>
      <c r="BH42" s="1"/>
      <c r="BI42" s="1"/>
      <c r="BJ42" s="1"/>
      <c r="BK42" s="1" t="s">
        <v>391</v>
      </c>
      <c r="BL42" s="1"/>
      <c r="BM42" s="1"/>
      <c r="BN42" s="1"/>
      <c r="BO42" s="1"/>
      <c r="BP42" s="1" t="s">
        <v>396</v>
      </c>
      <c r="BQ42" s="1"/>
      <c r="BR42" s="1">
        <v>0</v>
      </c>
      <c r="BS42" s="1">
        <v>0</v>
      </c>
      <c r="BT42" s="1">
        <v>0</v>
      </c>
      <c r="BU42" s="1">
        <v>0</v>
      </c>
      <c r="BV42" s="1">
        <v>0</v>
      </c>
      <c r="BW42" s="1"/>
      <c r="BX42" s="1"/>
      <c r="BY42" s="1">
        <v>0</v>
      </c>
      <c r="BZ42" s="1">
        <v>0</v>
      </c>
      <c r="CA42" s="1">
        <v>0</v>
      </c>
      <c r="CB42" s="1">
        <v>0</v>
      </c>
      <c r="CC42" s="1">
        <v>0</v>
      </c>
      <c r="CD42" s="1">
        <v>0</v>
      </c>
    </row>
    <row r="43" spans="1:82" hidden="1">
      <c r="A43" s="1" t="s">
        <v>858</v>
      </c>
      <c r="B43" s="1" t="str">
        <f>_xlfn.XLOOKUP(A:A,'Dados Elevatórias'!D:D,'Dados Elevatórias'!B:B)</f>
        <v>PL-RJB-EAT0848</v>
      </c>
      <c r="C43" s="1" t="str">
        <f>_xlfn.XLOOKUP(B:B,'Dados Elevatórias'!B:B,'Dados Elevatórias'!C:C)</f>
        <v>EAT</v>
      </c>
      <c r="D43" s="1" t="s">
        <v>373</v>
      </c>
      <c r="E43" s="1" t="s">
        <v>859</v>
      </c>
      <c r="F43" s="1" t="s">
        <v>860</v>
      </c>
      <c r="G43" s="1" t="s">
        <v>605</v>
      </c>
      <c r="H43" s="1" t="str">
        <f>_xlfn.XLOOKUP(B:B,'Dados Elevatórias'!B:B,'Dados Elevatórias'!G:G)</f>
        <v>26554-220</v>
      </c>
      <c r="I43" s="1">
        <f>_xlfn.XLOOKUP(B43,COORDENADAS!A:A,COORDENADAS!B:B)</f>
        <v>-22.7896</v>
      </c>
      <c r="J43" s="1">
        <f>_xlfn.XLOOKUP(B43,COORDENADAS!A:A,COORDENADAS!C:C)</f>
        <v>-43.438299999999998</v>
      </c>
      <c r="K43" s="1"/>
      <c r="L43" s="1"/>
      <c r="M43" s="1">
        <v>1</v>
      </c>
      <c r="N43" s="1" t="s">
        <v>378</v>
      </c>
      <c r="O43" s="1" t="s">
        <v>861</v>
      </c>
      <c r="P43" s="1">
        <v>3530</v>
      </c>
      <c r="Q43" s="1" t="s">
        <v>404</v>
      </c>
      <c r="R43" s="1" t="s">
        <v>405</v>
      </c>
      <c r="S43" s="1" t="s">
        <v>862</v>
      </c>
      <c r="T43" s="1" t="s">
        <v>407</v>
      </c>
      <c r="U43" s="1" t="s">
        <v>450</v>
      </c>
      <c r="V43" s="1"/>
      <c r="W43" s="1"/>
      <c r="X43" s="1"/>
      <c r="Y43" s="1"/>
      <c r="Z43" s="1"/>
      <c r="AA43" s="1">
        <v>2</v>
      </c>
      <c r="AB43" s="1"/>
      <c r="AC43" s="1" t="s">
        <v>455</v>
      </c>
      <c r="AD43" s="1" t="s">
        <v>386</v>
      </c>
      <c r="AE43" s="1"/>
      <c r="AF43" s="1" t="s">
        <v>485</v>
      </c>
      <c r="AG43" s="1"/>
      <c r="AH43" s="1" t="s">
        <v>486</v>
      </c>
      <c r="AI43" s="1"/>
      <c r="AJ43" s="1" t="s">
        <v>863</v>
      </c>
      <c r="AK43" s="1"/>
      <c r="AL43" s="1" t="s">
        <v>864</v>
      </c>
      <c r="AM43" s="1"/>
      <c r="AN43" s="1" t="str">
        <f>_xlfn.XLOOKUP(A:A,'RELAÇÃO ANTIGA'!A:A,'RELAÇÃO ANTIGA'!AC:AC,X)</f>
        <v>220v</v>
      </c>
      <c r="AO43" s="1"/>
      <c r="AP43" s="1">
        <v>0</v>
      </c>
      <c r="AQ43" s="1">
        <v>0</v>
      </c>
      <c r="AR43" s="1">
        <v>0</v>
      </c>
      <c r="AS43" s="1">
        <v>0</v>
      </c>
      <c r="AT43" s="1">
        <v>0</v>
      </c>
      <c r="AU43" s="1">
        <v>0</v>
      </c>
      <c r="AV43" s="1">
        <v>0</v>
      </c>
      <c r="AW43" s="1">
        <v>0</v>
      </c>
      <c r="AX43" s="1">
        <v>0</v>
      </c>
      <c r="AY43" s="1">
        <v>0</v>
      </c>
      <c r="AZ43" s="1">
        <v>0</v>
      </c>
      <c r="BA43" s="1"/>
      <c r="BB43" s="1"/>
      <c r="BC43" s="1"/>
      <c r="BD43" s="1"/>
      <c r="BE43" s="1"/>
      <c r="BF43" s="1"/>
      <c r="BG43" s="1"/>
      <c r="BH43" s="1"/>
      <c r="BI43" s="1"/>
      <c r="BJ43" s="1" t="s">
        <v>865</v>
      </c>
      <c r="BK43" s="1" t="s">
        <v>391</v>
      </c>
      <c r="BL43" s="1" t="s">
        <v>665</v>
      </c>
      <c r="BM43" s="1" t="s">
        <v>866</v>
      </c>
      <c r="BN43" s="1" t="s">
        <v>867</v>
      </c>
      <c r="BO43" s="1" t="s">
        <v>868</v>
      </c>
      <c r="BP43" s="1" t="s">
        <v>396</v>
      </c>
      <c r="BQ43" s="1"/>
      <c r="BR43" s="1">
        <v>0</v>
      </c>
      <c r="BS43" s="1">
        <v>0</v>
      </c>
      <c r="BT43" s="1">
        <v>0</v>
      </c>
      <c r="BU43" s="1">
        <v>0</v>
      </c>
      <c r="BV43" s="1">
        <v>0</v>
      </c>
      <c r="BW43" s="1"/>
      <c r="BX43" s="1"/>
      <c r="BY43" s="1">
        <v>0</v>
      </c>
      <c r="BZ43" s="1">
        <v>0</v>
      </c>
      <c r="CA43" s="1">
        <v>0</v>
      </c>
      <c r="CB43" s="1">
        <v>0</v>
      </c>
      <c r="CC43" s="1">
        <v>0</v>
      </c>
      <c r="CD43" s="1">
        <v>0</v>
      </c>
    </row>
    <row r="44" spans="1:82" hidden="1">
      <c r="A44" s="1" t="s">
        <v>869</v>
      </c>
      <c r="B44" s="1" t="str">
        <f>_xlfn.XLOOKUP(A:A,'Dados Elevatórias'!D:D,'Dados Elevatórias'!B:B)</f>
        <v>PL-RJB-EAT0069</v>
      </c>
      <c r="C44" s="1" t="str">
        <f>_xlfn.XLOOKUP(B:B,'Dados Elevatórias'!B:B,'Dados Elevatórias'!C:C)</f>
        <v>EAT</v>
      </c>
      <c r="D44" s="1" t="s">
        <v>373</v>
      </c>
      <c r="E44" s="1" t="s">
        <v>870</v>
      </c>
      <c r="F44" s="1" t="s">
        <v>871</v>
      </c>
      <c r="G44" s="1" t="s">
        <v>376</v>
      </c>
      <c r="H44" s="1" t="str">
        <f>_xlfn.XLOOKUP(B:B,'Dados Elevatórias'!B:B,'Dados Elevatórias'!G:G)</f>
        <v>26545-230</v>
      </c>
      <c r="I44" s="1">
        <f>_xlfn.XLOOKUP(B44,COORDENADAS!A:A,COORDENADAS!B:B)</f>
        <v>-22.815300000000001</v>
      </c>
      <c r="J44" s="1">
        <f>_xlfn.XLOOKUP(B44,COORDENADAS!A:A,COORDENADAS!C:C)</f>
        <v>-43.401000000000003</v>
      </c>
      <c r="K44" s="1"/>
      <c r="L44" s="1" t="str">
        <f>_xlfn.XLOOKUP(A:A,'RELAÇÃO ANTIGA'!A:A,'RELAÇÃO ANTIGA'!J:J)</f>
        <v>FORMAL</v>
      </c>
      <c r="M44" s="1">
        <v>1</v>
      </c>
      <c r="N44" s="1" t="s">
        <v>378</v>
      </c>
      <c r="O44" s="1" t="s">
        <v>861</v>
      </c>
      <c r="P44" s="1">
        <v>3545</v>
      </c>
      <c r="Q44" s="1" t="s">
        <v>404</v>
      </c>
      <c r="R44" s="1" t="s">
        <v>405</v>
      </c>
      <c r="S44" s="1" t="s">
        <v>872</v>
      </c>
      <c r="T44" s="1" t="s">
        <v>407</v>
      </c>
      <c r="U44" s="1" t="s">
        <v>450</v>
      </c>
      <c r="V44" s="1" t="s">
        <v>873</v>
      </c>
      <c r="W44" s="1" t="s">
        <v>476</v>
      </c>
      <c r="X44" s="1" t="s">
        <v>874</v>
      </c>
      <c r="Y44" s="1"/>
      <c r="Z44" s="1"/>
      <c r="AA44" s="1">
        <v>2</v>
      </c>
      <c r="AB44" s="1" t="s">
        <v>875</v>
      </c>
      <c r="AC44" s="1" t="s">
        <v>385</v>
      </c>
      <c r="AD44" s="1" t="s">
        <v>396</v>
      </c>
      <c r="AE44" s="1" t="s">
        <v>799</v>
      </c>
      <c r="AF44" s="1" t="s">
        <v>485</v>
      </c>
      <c r="AG44" s="1" t="s">
        <v>800</v>
      </c>
      <c r="AH44" s="1" t="s">
        <v>411</v>
      </c>
      <c r="AI44" s="1"/>
      <c r="AJ44" s="1"/>
      <c r="AK44" s="1"/>
      <c r="AL44" s="1"/>
      <c r="AM44" s="1"/>
      <c r="AN44" s="1" t="s">
        <v>433</v>
      </c>
      <c r="AO44" s="1"/>
      <c r="AP44" s="1">
        <v>413497046</v>
      </c>
      <c r="AQ44" s="1">
        <v>7667390</v>
      </c>
      <c r="AR44" s="1">
        <v>0</v>
      </c>
      <c r="AS44" s="1" t="s">
        <v>876</v>
      </c>
      <c r="AT44" s="1" t="s">
        <v>877</v>
      </c>
      <c r="AU44" s="1" t="s">
        <v>489</v>
      </c>
      <c r="AV44" s="1" t="s">
        <v>489</v>
      </c>
      <c r="AW44" s="1">
        <v>0</v>
      </c>
      <c r="AX44" s="1">
        <v>0</v>
      </c>
      <c r="AY44" s="1">
        <v>0</v>
      </c>
      <c r="AZ44" s="1">
        <v>0</v>
      </c>
      <c r="BA44" s="1"/>
      <c r="BB44" s="1"/>
      <c r="BC44" s="1"/>
      <c r="BD44" s="1"/>
      <c r="BE44" s="1"/>
      <c r="BF44" s="1"/>
      <c r="BG44" s="1"/>
      <c r="BH44" s="1"/>
      <c r="BI44" s="1"/>
      <c r="BJ44" s="1" t="s">
        <v>878</v>
      </c>
      <c r="BK44" s="1" t="s">
        <v>391</v>
      </c>
      <c r="BL44" s="1" t="s">
        <v>392</v>
      </c>
      <c r="BM44" s="1" t="s">
        <v>879</v>
      </c>
      <c r="BN44" s="1" t="s">
        <v>416</v>
      </c>
      <c r="BO44" s="1" t="s">
        <v>878</v>
      </c>
      <c r="BP44" s="1" t="s">
        <v>386</v>
      </c>
      <c r="BQ44" s="1"/>
      <c r="BR44" s="1" t="s">
        <v>397</v>
      </c>
      <c r="BS44" s="1" t="s">
        <v>398</v>
      </c>
      <c r="BT44" s="1">
        <v>0</v>
      </c>
      <c r="BU44" s="1">
        <v>0</v>
      </c>
      <c r="BV44" s="1">
        <v>0</v>
      </c>
      <c r="BW44" s="1" t="s">
        <v>396</v>
      </c>
      <c r="BX44" s="1"/>
      <c r="BY44" s="1" t="s">
        <v>401</v>
      </c>
      <c r="BZ44" s="1">
        <v>0</v>
      </c>
      <c r="CA44" s="1">
        <v>0</v>
      </c>
      <c r="CB44" s="1">
        <v>0</v>
      </c>
      <c r="CC44" s="1">
        <v>0</v>
      </c>
      <c r="CD44" s="1" t="s">
        <v>880</v>
      </c>
    </row>
    <row r="45" spans="1:82" hidden="1">
      <c r="A45" s="1" t="s">
        <v>881</v>
      </c>
      <c r="B45" s="1" t="str">
        <f>_xlfn.XLOOKUP(A:A,'Dados Elevatórias'!D:D,'Dados Elevatórias'!B:B)</f>
        <v>PL-RJB-EAT0834</v>
      </c>
      <c r="C45" s="1" t="str">
        <f>_xlfn.XLOOKUP(B:B,'Dados Elevatórias'!B:B,'Dados Elevatórias'!C:C)</f>
        <v>EAT</v>
      </c>
      <c r="D45" s="1" t="s">
        <v>373</v>
      </c>
      <c r="E45" s="1" t="s">
        <v>882</v>
      </c>
      <c r="F45" s="1" t="s">
        <v>883</v>
      </c>
      <c r="G45" s="1" t="s">
        <v>443</v>
      </c>
      <c r="H45" s="1" t="str">
        <f>_xlfn.XLOOKUP(B:B,'Dados Elevatórias'!B:B,'Dados Elevatórias'!G:G)</f>
        <v>26383-340</v>
      </c>
      <c r="I45" s="1">
        <f>_xlfn.XLOOKUP(B45,COORDENADAS!A:A,COORDENADAS!B:B)</f>
        <v>-22.7027</v>
      </c>
      <c r="J45" s="1">
        <f>_xlfn.XLOOKUP(B45,COORDENADAS!A:A,COORDENADAS!C:C)</f>
        <v>-43.558999999999997</v>
      </c>
      <c r="K45" s="1"/>
      <c r="L45" s="1"/>
      <c r="M45" s="1">
        <v>1</v>
      </c>
      <c r="N45" s="1" t="s">
        <v>378</v>
      </c>
      <c r="O45" s="1" t="s">
        <v>861</v>
      </c>
      <c r="P45" s="1" t="s">
        <v>884</v>
      </c>
      <c r="Q45" s="1" t="s">
        <v>404</v>
      </c>
      <c r="R45" s="1" t="s">
        <v>448</v>
      </c>
      <c r="S45" s="1" t="s">
        <v>885</v>
      </c>
      <c r="T45" s="1" t="s">
        <v>407</v>
      </c>
      <c r="U45" s="1" t="s">
        <v>886</v>
      </c>
      <c r="V45" s="1"/>
      <c r="W45" s="1"/>
      <c r="X45" s="1"/>
      <c r="Y45" s="1" t="s">
        <v>887</v>
      </c>
      <c r="Z45" s="1" t="s">
        <v>745</v>
      </c>
      <c r="AA45" s="1"/>
      <c r="AB45" s="1"/>
      <c r="AC45" s="1" t="s">
        <v>455</v>
      </c>
      <c r="AD45" s="1"/>
      <c r="AE45" s="1"/>
      <c r="AF45" s="1"/>
      <c r="AG45" s="1"/>
      <c r="AH45" s="1"/>
      <c r="AI45" s="1"/>
      <c r="AJ45" s="1"/>
      <c r="AK45" s="1"/>
      <c r="AL45" s="1"/>
      <c r="AM45" s="1"/>
      <c r="AN45" s="1" t="str">
        <f>_xlfn.XLOOKUP(A:A,'RELAÇÃO ANTIGA'!A:A,'RELAÇÃO ANTIGA'!AC:AC,X)</f>
        <v>220v</v>
      </c>
      <c r="AO45" s="1"/>
      <c r="AP45" s="1">
        <v>0</v>
      </c>
      <c r="AQ45" s="1">
        <v>0</v>
      </c>
      <c r="AR45" s="1">
        <v>0</v>
      </c>
      <c r="AS45" s="1">
        <v>0</v>
      </c>
      <c r="AT45" s="1">
        <v>0</v>
      </c>
      <c r="AU45" s="1">
        <v>0</v>
      </c>
      <c r="AV45" s="1">
        <v>0</v>
      </c>
      <c r="AW45" s="1">
        <v>0</v>
      </c>
      <c r="AX45" s="1">
        <v>0</v>
      </c>
      <c r="AY45" s="1">
        <v>0</v>
      </c>
      <c r="AZ45" s="1">
        <v>0</v>
      </c>
      <c r="BA45" s="1"/>
      <c r="BB45" s="1"/>
      <c r="BC45" s="1"/>
      <c r="BD45" s="1"/>
      <c r="BE45" s="1"/>
      <c r="BF45" s="1"/>
      <c r="BG45" s="1"/>
      <c r="BH45" s="1"/>
      <c r="BI45" s="1"/>
      <c r="BJ45" s="1"/>
      <c r="BK45" s="1" t="s">
        <v>391</v>
      </c>
      <c r="BL45" s="1"/>
      <c r="BM45" s="1"/>
      <c r="BN45" s="1"/>
      <c r="BO45" s="1"/>
      <c r="BP45" s="1" t="s">
        <v>396</v>
      </c>
      <c r="BQ45" s="1"/>
      <c r="BR45" s="1" t="s">
        <v>397</v>
      </c>
      <c r="BS45" s="1" t="s">
        <v>398</v>
      </c>
      <c r="BT45" s="1" t="s">
        <v>888</v>
      </c>
      <c r="BU45" s="1">
        <v>0</v>
      </c>
      <c r="BV45" s="1">
        <v>0</v>
      </c>
      <c r="BW45" s="1"/>
      <c r="BX45" s="1"/>
      <c r="BY45" s="1">
        <v>0</v>
      </c>
      <c r="BZ45" s="1">
        <v>0</v>
      </c>
      <c r="CA45" s="1">
        <v>0</v>
      </c>
      <c r="CB45" s="1">
        <v>0</v>
      </c>
      <c r="CC45" s="1">
        <v>0</v>
      </c>
      <c r="CD45" s="1">
        <v>0</v>
      </c>
    </row>
    <row r="46" spans="1:82" hidden="1">
      <c r="A46" s="1" t="s">
        <v>889</v>
      </c>
      <c r="B46" s="1" t="str">
        <f>_xlfn.XLOOKUP(A:A,'Dados Elevatórias'!D:D,'Dados Elevatórias'!B:B)</f>
        <v>PL-RJB-EAT0761</v>
      </c>
      <c r="C46" s="1" t="str">
        <f>_xlfn.XLOOKUP(B:B,'Dados Elevatórias'!B:B,'Dados Elevatórias'!C:C)</f>
        <v>EAT</v>
      </c>
      <c r="D46" s="1" t="s">
        <v>373</v>
      </c>
      <c r="E46" s="1" t="s">
        <v>890</v>
      </c>
      <c r="F46" s="1" t="s">
        <v>891</v>
      </c>
      <c r="G46" s="1" t="s">
        <v>443</v>
      </c>
      <c r="H46" s="1">
        <f>_xlfn.XLOOKUP(B:B,'Dados Elevatórias'!B:B,'Dados Elevatórias'!G:G)</f>
        <v>0</v>
      </c>
      <c r="I46" s="1">
        <f>_xlfn.XLOOKUP(B46,COORDENADAS!A:A,COORDENADAS!B:B)</f>
        <v>-22.7121</v>
      </c>
      <c r="J46" s="1">
        <f>_xlfn.XLOOKUP(B46,COORDENADAS!A:A,COORDENADAS!C:C)</f>
        <v>-43.551600000000001</v>
      </c>
      <c r="K46" s="1"/>
      <c r="L46" s="1"/>
      <c r="M46" s="1">
        <v>1</v>
      </c>
      <c r="N46" s="1" t="s">
        <v>378</v>
      </c>
      <c r="O46" s="1" t="s">
        <v>892</v>
      </c>
      <c r="P46" s="1" t="s">
        <v>893</v>
      </c>
      <c r="Q46" s="1" t="s">
        <v>404</v>
      </c>
      <c r="R46" s="1" t="s">
        <v>894</v>
      </c>
      <c r="S46" s="1" t="s">
        <v>895</v>
      </c>
      <c r="T46" s="1" t="s">
        <v>407</v>
      </c>
      <c r="U46" s="1" t="s">
        <v>896</v>
      </c>
      <c r="V46" s="1"/>
      <c r="W46" s="1"/>
      <c r="X46" s="1"/>
      <c r="Y46" s="1" t="s">
        <v>897</v>
      </c>
      <c r="Z46" s="1" t="s">
        <v>898</v>
      </c>
      <c r="AA46" s="1">
        <v>2</v>
      </c>
      <c r="AB46" s="1"/>
      <c r="AC46" s="1" t="s">
        <v>432</v>
      </c>
      <c r="AD46" s="1" t="s">
        <v>386</v>
      </c>
      <c r="AE46" s="1"/>
      <c r="AF46" s="1" t="s">
        <v>411</v>
      </c>
      <c r="AG46" s="1" t="s">
        <v>800</v>
      </c>
      <c r="AH46" s="1" t="s">
        <v>412</v>
      </c>
      <c r="AI46" s="1"/>
      <c r="AJ46" s="1"/>
      <c r="AK46" s="1"/>
      <c r="AL46" s="1"/>
      <c r="AM46" s="1"/>
      <c r="AN46" s="1"/>
      <c r="AO46" s="1"/>
      <c r="AP46" s="1">
        <v>0</v>
      </c>
      <c r="AQ46" s="1">
        <v>0</v>
      </c>
      <c r="AR46" s="1">
        <v>0</v>
      </c>
      <c r="AS46" s="1">
        <v>0</v>
      </c>
      <c r="AT46" s="1">
        <v>0</v>
      </c>
      <c r="AU46" s="1">
        <v>0</v>
      </c>
      <c r="AV46" s="1">
        <v>0</v>
      </c>
      <c r="AW46" s="1">
        <v>0</v>
      </c>
      <c r="AX46" s="1">
        <v>0</v>
      </c>
      <c r="AY46" s="1">
        <v>0</v>
      </c>
      <c r="AZ46" s="1">
        <v>0</v>
      </c>
      <c r="BA46" s="1"/>
      <c r="BB46" s="1"/>
      <c r="BC46" s="1"/>
      <c r="BD46" s="1"/>
      <c r="BE46" s="1"/>
      <c r="BF46" s="1"/>
      <c r="BG46" s="1"/>
      <c r="BH46" s="1"/>
      <c r="BI46" s="1"/>
      <c r="BJ46" s="1"/>
      <c r="BK46" s="1" t="s">
        <v>437</v>
      </c>
      <c r="BL46" s="1"/>
      <c r="BM46" s="1"/>
      <c r="BN46" s="1"/>
      <c r="BO46" s="1"/>
      <c r="BP46" s="1" t="s">
        <v>386</v>
      </c>
      <c r="BQ46" s="1"/>
      <c r="BR46" s="1">
        <v>0</v>
      </c>
      <c r="BS46" s="1">
        <v>0</v>
      </c>
      <c r="BT46" s="1">
        <v>0</v>
      </c>
      <c r="BU46" s="1">
        <v>0</v>
      </c>
      <c r="BV46" s="1">
        <v>0</v>
      </c>
      <c r="BW46" s="1"/>
      <c r="BX46" s="1"/>
      <c r="BY46" s="1">
        <v>0</v>
      </c>
      <c r="BZ46" s="1">
        <v>0</v>
      </c>
      <c r="CA46" s="1">
        <v>0</v>
      </c>
      <c r="CB46" s="1">
        <v>0</v>
      </c>
      <c r="CC46" s="1">
        <v>0</v>
      </c>
      <c r="CD46" s="1">
        <v>0</v>
      </c>
    </row>
    <row r="47" spans="1:82" hidden="1">
      <c r="A47" s="1" t="s">
        <v>899</v>
      </c>
      <c r="B47" s="1" t="str">
        <f>_xlfn.XLOOKUP(A:A,'Dados Elevatórias'!D:D,'Dados Elevatórias'!B:B)</f>
        <v>PL-RJB-EAT0062</v>
      </c>
      <c r="C47" s="1" t="str">
        <f>_xlfn.XLOOKUP(B:B,'Dados Elevatórias'!B:B,'Dados Elevatórias'!C:C)</f>
        <v>EAT</v>
      </c>
      <c r="D47" s="1" t="s">
        <v>373</v>
      </c>
      <c r="E47" s="1" t="s">
        <v>900</v>
      </c>
      <c r="F47" s="1" t="s">
        <v>901</v>
      </c>
      <c r="G47" s="1" t="s">
        <v>421</v>
      </c>
      <c r="H47" s="1" t="str">
        <f>_xlfn.XLOOKUP(B:B,'Dados Elevatórias'!B:B,'Dados Elevatórias'!G:G)</f>
        <v>26041-061</v>
      </c>
      <c r="I47" s="1">
        <f>_xlfn.XLOOKUP(B47,COORDENADAS!A:A,COORDENADAS!B:B)</f>
        <v>-22.7319</v>
      </c>
      <c r="J47" s="1">
        <f>_xlfn.XLOOKUP(B47,COORDENADAS!A:A,COORDENADAS!C:C)</f>
        <v>-43.461100000000002</v>
      </c>
      <c r="K47" s="1"/>
      <c r="L47" s="1" t="str">
        <f>_xlfn.XLOOKUP(A:A,'RELAÇÃO ANTIGA'!A:A,'RELAÇÃO ANTIGA'!J:J)</f>
        <v>FORMAL</v>
      </c>
      <c r="M47" s="1">
        <v>1</v>
      </c>
      <c r="N47" s="1" t="s">
        <v>378</v>
      </c>
      <c r="O47" s="1" t="s">
        <v>892</v>
      </c>
      <c r="P47" s="1">
        <v>3515</v>
      </c>
      <c r="Q47" s="1" t="s">
        <v>902</v>
      </c>
      <c r="R47" s="1"/>
      <c r="S47" s="1" t="s">
        <v>903</v>
      </c>
      <c r="T47" s="1" t="s">
        <v>407</v>
      </c>
      <c r="U47" s="1" t="s">
        <v>904</v>
      </c>
      <c r="V47" s="1"/>
      <c r="W47" s="1"/>
      <c r="X47" s="1"/>
      <c r="Y47" s="1" t="s">
        <v>905</v>
      </c>
      <c r="Z47" s="1" t="s">
        <v>898</v>
      </c>
      <c r="AA47" s="1"/>
      <c r="AB47" s="1"/>
      <c r="AC47" s="1" t="s">
        <v>455</v>
      </c>
      <c r="AD47" s="1" t="s">
        <v>386</v>
      </c>
      <c r="AE47" s="1"/>
      <c r="AF47" s="1" t="s">
        <v>411</v>
      </c>
      <c r="AG47" s="1"/>
      <c r="AH47" s="1" t="s">
        <v>412</v>
      </c>
      <c r="AI47" s="1"/>
      <c r="AJ47" s="1"/>
      <c r="AK47" s="1"/>
      <c r="AL47" s="1"/>
      <c r="AM47" s="1"/>
      <c r="AN47" s="1"/>
      <c r="AO47" s="1"/>
      <c r="AP47" s="1">
        <v>413424336</v>
      </c>
      <c r="AQ47" s="1">
        <v>2417316</v>
      </c>
      <c r="AR47" s="1">
        <v>0</v>
      </c>
      <c r="AS47" s="1" t="s">
        <v>906</v>
      </c>
      <c r="AT47" s="1" t="s">
        <v>907</v>
      </c>
      <c r="AU47" s="1">
        <v>0</v>
      </c>
      <c r="AV47" s="1">
        <v>0</v>
      </c>
      <c r="AW47" s="1">
        <v>0</v>
      </c>
      <c r="AX47" s="1">
        <v>0</v>
      </c>
      <c r="AY47" s="1">
        <v>0</v>
      </c>
      <c r="AZ47" s="1">
        <v>0</v>
      </c>
      <c r="BA47" s="1"/>
      <c r="BB47" s="1"/>
      <c r="BC47" s="1"/>
      <c r="BD47" s="1"/>
      <c r="BE47" s="1"/>
      <c r="BF47" s="1"/>
      <c r="BG47" s="1"/>
      <c r="BH47" s="1"/>
      <c r="BI47" s="1"/>
      <c r="BJ47" s="1" t="s">
        <v>908</v>
      </c>
      <c r="BK47" s="1" t="s">
        <v>391</v>
      </c>
      <c r="BL47" s="1" t="s">
        <v>462</v>
      </c>
      <c r="BM47" s="1" t="s">
        <v>909</v>
      </c>
      <c r="BN47" s="1" t="s">
        <v>910</v>
      </c>
      <c r="BO47" s="1" t="s">
        <v>908</v>
      </c>
      <c r="BP47" s="1" t="s">
        <v>386</v>
      </c>
      <c r="BQ47" s="1"/>
      <c r="BR47" s="1">
        <v>0</v>
      </c>
      <c r="BS47" s="1">
        <v>0</v>
      </c>
      <c r="BT47" s="1">
        <v>0</v>
      </c>
      <c r="BU47" s="1">
        <v>0</v>
      </c>
      <c r="BV47" s="1">
        <v>0</v>
      </c>
      <c r="BW47" s="1"/>
      <c r="BX47" s="1"/>
      <c r="BY47" s="1">
        <v>0</v>
      </c>
      <c r="BZ47" s="1">
        <v>0</v>
      </c>
      <c r="CA47" s="1">
        <v>0</v>
      </c>
      <c r="CB47" s="1">
        <v>0</v>
      </c>
      <c r="CC47" s="1">
        <v>0</v>
      </c>
      <c r="CD47" s="1" t="s">
        <v>911</v>
      </c>
    </row>
    <row r="48" spans="1:82" hidden="1">
      <c r="A48" s="1" t="s">
        <v>912</v>
      </c>
      <c r="B48" s="1" t="str">
        <f>_xlfn.XLOOKUP(A:A,'Dados Elevatórias'!D:D,'Dados Elevatórias'!B:B)</f>
        <v>PL-RJB-EAT0693</v>
      </c>
      <c r="C48" s="1" t="str">
        <f>_xlfn.XLOOKUP(B:B,'Dados Elevatórias'!B:B,'Dados Elevatórias'!C:C)</f>
        <v>EAT</v>
      </c>
      <c r="D48" s="1" t="s">
        <v>373</v>
      </c>
      <c r="E48" s="1" t="s">
        <v>913</v>
      </c>
      <c r="F48" s="1" t="s">
        <v>914</v>
      </c>
      <c r="G48" s="1" t="s">
        <v>443</v>
      </c>
      <c r="H48" s="1" t="str">
        <f>_xlfn.XLOOKUP(B:B,'Dados Elevatórias'!B:B,'Dados Elevatórias'!G:G)</f>
        <v>26383-522</v>
      </c>
      <c r="I48" s="1">
        <f>_xlfn.XLOOKUP(B48,COORDENADAS!A:A,COORDENADAS!B:B)</f>
        <v>-22.700199999999999</v>
      </c>
      <c r="J48" s="1">
        <f>_xlfn.XLOOKUP(B48,COORDENADAS!A:A,COORDENADAS!C:C)</f>
        <v>-43.569400000000002</v>
      </c>
      <c r="K48" s="1"/>
      <c r="L48" s="1" t="str">
        <f>_xlfn.XLOOKUP(A:A,'RELAÇÃO ANTIGA'!A:A,'RELAÇÃO ANTIGA'!J:J)</f>
        <v>INFORMAL</v>
      </c>
      <c r="M48" s="1">
        <v>1</v>
      </c>
      <c r="N48" s="1" t="s">
        <v>378</v>
      </c>
      <c r="O48" s="1" t="s">
        <v>813</v>
      </c>
      <c r="P48" s="1" t="s">
        <v>915</v>
      </c>
      <c r="Q48" s="1" t="s">
        <v>404</v>
      </c>
      <c r="R48" s="1" t="s">
        <v>815</v>
      </c>
      <c r="S48" s="1" t="s">
        <v>916</v>
      </c>
      <c r="T48" s="1" t="s">
        <v>707</v>
      </c>
      <c r="U48" s="1" t="s">
        <v>917</v>
      </c>
      <c r="V48" s="1"/>
      <c r="W48" s="1"/>
      <c r="X48" s="1">
        <v>660</v>
      </c>
      <c r="Y48" s="1" t="s">
        <v>918</v>
      </c>
      <c r="Z48" s="1" t="s">
        <v>898</v>
      </c>
      <c r="AA48" s="1">
        <v>2</v>
      </c>
      <c r="AB48" s="1"/>
      <c r="AC48" s="1" t="s">
        <v>432</v>
      </c>
      <c r="AD48" s="1"/>
      <c r="AE48" s="1"/>
      <c r="AF48" s="1"/>
      <c r="AG48" s="1"/>
      <c r="AH48" s="1"/>
      <c r="AI48" s="1"/>
      <c r="AJ48" s="1"/>
      <c r="AK48" s="1"/>
      <c r="AL48" s="1"/>
      <c r="AM48" s="1"/>
      <c r="AN48" s="1" t="s">
        <v>433</v>
      </c>
      <c r="AO48" s="1"/>
      <c r="AP48" s="1">
        <v>0</v>
      </c>
      <c r="AQ48" s="1">
        <v>0</v>
      </c>
      <c r="AR48" s="1">
        <v>0</v>
      </c>
      <c r="AS48" s="1">
        <v>0</v>
      </c>
      <c r="AT48" s="1">
        <v>0</v>
      </c>
      <c r="AU48" s="1" t="s">
        <v>669</v>
      </c>
      <c r="AV48" s="1" t="s">
        <v>669</v>
      </c>
      <c r="AW48" s="1">
        <v>0</v>
      </c>
      <c r="AX48" s="1">
        <v>0</v>
      </c>
      <c r="AY48" s="1">
        <v>0</v>
      </c>
      <c r="AZ48" s="1">
        <v>0</v>
      </c>
      <c r="BA48" s="1"/>
      <c r="BB48" s="1"/>
      <c r="BC48" s="1"/>
      <c r="BD48" s="1"/>
      <c r="BE48" s="1"/>
      <c r="BF48" s="1"/>
      <c r="BG48" s="1"/>
      <c r="BH48" s="1"/>
      <c r="BI48" s="1"/>
      <c r="BJ48" s="1"/>
      <c r="BK48" s="1" t="s">
        <v>437</v>
      </c>
      <c r="BL48" s="1"/>
      <c r="BM48" s="1"/>
      <c r="BN48" s="1"/>
      <c r="BO48" s="1"/>
      <c r="BP48" s="1" t="s">
        <v>386</v>
      </c>
      <c r="BQ48" s="1"/>
      <c r="BR48" s="1">
        <v>0</v>
      </c>
      <c r="BS48" s="1">
        <v>0</v>
      </c>
      <c r="BT48" s="1">
        <v>0</v>
      </c>
      <c r="BU48" s="1">
        <v>0</v>
      </c>
      <c r="BV48" s="1">
        <v>0</v>
      </c>
      <c r="BW48" s="1"/>
      <c r="BX48" s="1"/>
      <c r="BY48" s="1" t="s">
        <v>401</v>
      </c>
      <c r="BZ48" s="1">
        <v>0</v>
      </c>
      <c r="CA48" s="1">
        <v>0</v>
      </c>
      <c r="CB48" s="1">
        <v>0</v>
      </c>
      <c r="CC48" s="1">
        <v>0</v>
      </c>
      <c r="CD48" s="1">
        <v>0</v>
      </c>
    </row>
    <row r="49" spans="1:82" ht="15.75" hidden="1" customHeight="1">
      <c r="A49" s="1" t="s">
        <v>919</v>
      </c>
      <c r="B49" s="1" t="str">
        <f>_xlfn.XLOOKUP(A:A,'Dados Elevatórias'!D:D,'Dados Elevatórias'!B:B)</f>
        <v>PL-RJB-EAT0104</v>
      </c>
      <c r="C49" s="1" t="str">
        <f>_xlfn.XLOOKUP(B:B,'Dados Elevatórias'!B:B,'Dados Elevatórias'!C:C)</f>
        <v>EAT</v>
      </c>
      <c r="D49" s="1" t="s">
        <v>373</v>
      </c>
      <c r="E49" s="1" t="s">
        <v>920</v>
      </c>
      <c r="F49" s="1" t="s">
        <v>921</v>
      </c>
      <c r="G49" s="1" t="s">
        <v>421</v>
      </c>
      <c r="H49" s="1" t="s">
        <v>922</v>
      </c>
      <c r="I49" s="1">
        <f>_xlfn.XLOOKUP(B49,COORDENADAS!A:A,COORDENADAS!B:B)</f>
        <v>-22.723400000000002</v>
      </c>
      <c r="J49" s="1">
        <f>_xlfn.XLOOKUP(B49,COORDENADAS!A:A,COORDENADAS!C:C)</f>
        <v>-43.525799999999997</v>
      </c>
      <c r="K49" s="1"/>
      <c r="L49" s="1" t="str">
        <f>_xlfn.XLOOKUP(A:A,'RELAÇÃO ANTIGA'!A:A,'RELAÇÃO ANTIGA'!J:J)</f>
        <v>INFORMAL</v>
      </c>
      <c r="M49" s="1">
        <v>1</v>
      </c>
      <c r="N49" s="1" t="s">
        <v>378</v>
      </c>
      <c r="O49" s="1" t="s">
        <v>923</v>
      </c>
      <c r="P49" s="1" t="s">
        <v>924</v>
      </c>
      <c r="Q49" s="1" t="s">
        <v>925</v>
      </c>
      <c r="R49" s="1" t="s">
        <v>926</v>
      </c>
      <c r="S49" s="1" t="s">
        <v>927</v>
      </c>
      <c r="T49" s="1"/>
      <c r="U49" s="1"/>
      <c r="V49" s="1"/>
      <c r="W49" s="1"/>
      <c r="X49" s="1" t="s">
        <v>928</v>
      </c>
      <c r="Y49" s="1" t="s">
        <v>927</v>
      </c>
      <c r="Z49" s="1" t="s">
        <v>925</v>
      </c>
      <c r="AA49" s="1"/>
      <c r="AB49" s="1" t="s">
        <v>929</v>
      </c>
      <c r="AC49" s="1" t="s">
        <v>727</v>
      </c>
      <c r="AD49" s="1" t="s">
        <v>386</v>
      </c>
      <c r="AE49" s="1"/>
      <c r="AF49" s="1" t="s">
        <v>728</v>
      </c>
      <c r="AG49" s="1"/>
      <c r="AH49" s="1"/>
      <c r="AI49" s="1" t="s">
        <v>930</v>
      </c>
      <c r="AJ49" s="1" t="s">
        <v>931</v>
      </c>
      <c r="AK49" s="1"/>
      <c r="AL49" s="1"/>
      <c r="AM49" s="1"/>
      <c r="AN49" s="1" t="s">
        <v>433</v>
      </c>
      <c r="AO49" s="1"/>
      <c r="AP49" s="1">
        <v>420758197</v>
      </c>
      <c r="AQ49" s="1">
        <v>7802169</v>
      </c>
      <c r="AR49" s="1">
        <v>0</v>
      </c>
      <c r="AS49" s="1" t="s">
        <v>932</v>
      </c>
      <c r="AT49" s="1" t="s">
        <v>933</v>
      </c>
      <c r="AU49" s="1" t="s">
        <v>489</v>
      </c>
      <c r="AV49" s="1" t="s">
        <v>489</v>
      </c>
      <c r="AW49" s="1">
        <v>0</v>
      </c>
      <c r="AX49" s="1">
        <v>0</v>
      </c>
      <c r="AY49" s="1">
        <v>475</v>
      </c>
      <c r="AZ49" s="1">
        <v>95</v>
      </c>
      <c r="BA49" s="1"/>
      <c r="BB49" s="1"/>
      <c r="BC49" s="1"/>
      <c r="BD49" s="1"/>
      <c r="BE49" s="1"/>
      <c r="BF49" s="1"/>
      <c r="BG49" s="1"/>
      <c r="BH49" s="1"/>
      <c r="BI49" s="1"/>
      <c r="BJ49" s="1"/>
      <c r="BK49" s="1" t="s">
        <v>437</v>
      </c>
      <c r="BL49" s="1"/>
      <c r="BM49" s="1"/>
      <c r="BN49" s="1"/>
      <c r="BO49" s="1"/>
      <c r="BP49" s="1" t="s">
        <v>386</v>
      </c>
      <c r="BQ49" s="1"/>
      <c r="BR49" s="1">
        <v>0</v>
      </c>
      <c r="BS49" s="1">
        <v>0</v>
      </c>
      <c r="BT49" s="1">
        <v>0</v>
      </c>
      <c r="BU49" s="1">
        <v>0</v>
      </c>
      <c r="BV49" s="1">
        <v>0</v>
      </c>
      <c r="BW49" s="1" t="s">
        <v>396</v>
      </c>
      <c r="BX49" s="1"/>
      <c r="BY49" s="1" t="s">
        <v>401</v>
      </c>
      <c r="BZ49" s="1">
        <v>44</v>
      </c>
      <c r="CA49" s="1">
        <v>68</v>
      </c>
      <c r="CB49" s="1">
        <v>0</v>
      </c>
      <c r="CC49" s="1" t="s">
        <v>919</v>
      </c>
      <c r="CD49" s="1" t="s">
        <v>934</v>
      </c>
    </row>
    <row r="50" spans="1:82" hidden="1">
      <c r="A50" s="1" t="s">
        <v>935</v>
      </c>
      <c r="B50" s="1" t="str">
        <f>_xlfn.XLOOKUP(A:A,'Dados Elevatórias'!D:D,'Dados Elevatórias'!B:B)</f>
        <v>PL-RJB-EAT0117</v>
      </c>
      <c r="C50" s="1" t="str">
        <f>_xlfn.XLOOKUP(B:B,'Dados Elevatórias'!B:B,'Dados Elevatórias'!C:C)</f>
        <v>EAT</v>
      </c>
      <c r="D50" s="1" t="s">
        <v>373</v>
      </c>
      <c r="E50" s="1" t="s">
        <v>936</v>
      </c>
      <c r="F50" s="1" t="s">
        <v>937</v>
      </c>
      <c r="G50" s="1" t="s">
        <v>421</v>
      </c>
      <c r="H50" s="1" t="str">
        <f>_xlfn.XLOOKUP(B:B,'Dados Elevatórias'!B:B,'Dados Elevatórias'!G:G)</f>
        <v>26041-061</v>
      </c>
      <c r="I50" s="1">
        <f>_xlfn.XLOOKUP(B50,COORDENADAS!A:A,COORDENADAS!B:B)</f>
        <v>-22.735099999999999</v>
      </c>
      <c r="J50" s="1">
        <f>_xlfn.XLOOKUP(B50,COORDENADAS!A:A,COORDENADAS!C:C)</f>
        <v>-43.459099999999999</v>
      </c>
      <c r="K50" s="1"/>
      <c r="L50" s="1" t="str">
        <f>_xlfn.XLOOKUP(A:A,'RELAÇÃO ANTIGA'!A:A,'RELAÇÃO ANTIGA'!J:J)</f>
        <v>FORMAL</v>
      </c>
      <c r="M50" s="1">
        <v>1</v>
      </c>
      <c r="N50" s="1" t="s">
        <v>378</v>
      </c>
      <c r="O50" s="1" t="s">
        <v>938</v>
      </c>
      <c r="P50" s="1" t="s">
        <v>939</v>
      </c>
      <c r="Q50" s="1" t="s">
        <v>760</v>
      </c>
      <c r="R50" s="1"/>
      <c r="S50" s="1" t="s">
        <v>940</v>
      </c>
      <c r="T50" s="1"/>
      <c r="U50" s="1"/>
      <c r="V50" s="1"/>
      <c r="W50" s="1"/>
      <c r="X50" s="1" t="s">
        <v>941</v>
      </c>
      <c r="Y50" s="1" t="s">
        <v>940</v>
      </c>
      <c r="Z50" s="1"/>
      <c r="AA50" s="1"/>
      <c r="AB50" s="1"/>
      <c r="AC50" s="1" t="s">
        <v>727</v>
      </c>
      <c r="AD50" s="1"/>
      <c r="AE50" s="1"/>
      <c r="AF50" s="1" t="s">
        <v>728</v>
      </c>
      <c r="AG50" s="1"/>
      <c r="AH50" s="1" t="s">
        <v>727</v>
      </c>
      <c r="AI50" s="1" t="s">
        <v>942</v>
      </c>
      <c r="AJ50" s="1"/>
      <c r="AK50" s="1"/>
      <c r="AL50" s="1"/>
      <c r="AM50" s="1"/>
      <c r="AN50" s="1" t="str">
        <f>_xlfn.XLOOKUP('RELAÇÃO DE ELEVATÓRIAS'!A:A,'RELAÇÃO ANTIGA'!A:A,'RELAÇÃO ANTIGA'!AC:AC)</f>
        <v>220V</v>
      </c>
      <c r="AO50" s="1"/>
      <c r="AP50" s="1">
        <v>420203527</v>
      </c>
      <c r="AQ50" s="1">
        <v>6277280</v>
      </c>
      <c r="AR50" s="1">
        <v>0</v>
      </c>
      <c r="AS50" s="1" t="s">
        <v>943</v>
      </c>
      <c r="AT50" s="1" t="s">
        <v>944</v>
      </c>
      <c r="AU50" s="1" t="s">
        <v>489</v>
      </c>
      <c r="AV50" s="1" t="s">
        <v>489</v>
      </c>
      <c r="AW50" s="1">
        <v>0</v>
      </c>
      <c r="AX50" s="1">
        <v>0</v>
      </c>
      <c r="AY50" s="1">
        <v>0</v>
      </c>
      <c r="AZ50" s="1">
        <v>0</v>
      </c>
      <c r="BA50" s="1"/>
      <c r="BB50" s="1"/>
      <c r="BC50" s="1"/>
      <c r="BD50" s="1"/>
      <c r="BE50" s="1"/>
      <c r="BF50" s="1"/>
      <c r="BG50" s="1"/>
      <c r="BH50" s="1"/>
      <c r="BI50" s="1"/>
      <c r="BJ50" s="1"/>
      <c r="BK50" s="1" t="s">
        <v>427</v>
      </c>
      <c r="BL50" s="1" t="s">
        <v>404</v>
      </c>
      <c r="BM50" s="1" t="s">
        <v>945</v>
      </c>
      <c r="BN50" s="1"/>
      <c r="BO50" s="1"/>
      <c r="BP50" s="1" t="s">
        <v>386</v>
      </c>
      <c r="BQ50" s="1"/>
      <c r="BR50" s="1">
        <v>0</v>
      </c>
      <c r="BS50" s="1">
        <v>0</v>
      </c>
      <c r="BT50" s="1">
        <v>0</v>
      </c>
      <c r="BU50" s="1">
        <v>0</v>
      </c>
      <c r="BV50" s="1">
        <v>0</v>
      </c>
      <c r="BW50" s="1"/>
      <c r="BX50" s="1"/>
      <c r="BY50" s="1">
        <v>0</v>
      </c>
      <c r="BZ50" s="1">
        <v>0</v>
      </c>
      <c r="CA50" s="1">
        <v>0</v>
      </c>
      <c r="CB50" s="1">
        <v>0</v>
      </c>
      <c r="CC50" s="1">
        <v>0</v>
      </c>
      <c r="CD50" s="1">
        <v>0</v>
      </c>
    </row>
    <row r="51" spans="1:82" hidden="1">
      <c r="A51" s="1" t="s">
        <v>946</v>
      </c>
      <c r="B51" s="1" t="str">
        <f>_xlfn.XLOOKUP(A:A,'Dados Elevatórias'!D:D,'Dados Elevatórias'!B:B)</f>
        <v>PL-RJB-EAT0075</v>
      </c>
      <c r="C51" s="1" t="str">
        <f>_xlfn.XLOOKUP(B:B,'Dados Elevatórias'!B:B,'Dados Elevatórias'!C:C)</f>
        <v>EAT</v>
      </c>
      <c r="D51" s="1" t="s">
        <v>373</v>
      </c>
      <c r="E51" s="1" t="s">
        <v>947</v>
      </c>
      <c r="F51" s="1" t="s">
        <v>948</v>
      </c>
      <c r="G51" s="1" t="s">
        <v>421</v>
      </c>
      <c r="H51" s="1" t="str">
        <f>_xlfn.XLOOKUP(B:B,'Dados Elevatórias'!B:B,'Dados Elevatórias'!G:G)</f>
        <v>26013-470</v>
      </c>
      <c r="I51" s="1">
        <f>_xlfn.XLOOKUP(B51,COORDENADAS!A:A,COORDENADAS!B:B)</f>
        <v>-22.742599999999999</v>
      </c>
      <c r="J51" s="1">
        <f>_xlfn.XLOOKUP(B51,COORDENADAS!A:A,COORDENADAS!C:C)</f>
        <v>-43.445799999999998</v>
      </c>
      <c r="K51" s="1"/>
      <c r="L51" s="1" t="str">
        <f>_xlfn.XLOOKUP(A:A,'RELAÇÃO ANTIGA'!A:A,'RELAÇÃO ANTIGA'!J:J)</f>
        <v>FORMAL</v>
      </c>
      <c r="M51" s="1">
        <v>1</v>
      </c>
      <c r="N51" s="1" t="s">
        <v>378</v>
      </c>
      <c r="O51" s="1" t="s">
        <v>379</v>
      </c>
      <c r="P51" s="1" t="s">
        <v>774</v>
      </c>
      <c r="Q51" s="1" t="s">
        <v>404</v>
      </c>
      <c r="R51" s="1"/>
      <c r="S51" s="1" t="s">
        <v>949</v>
      </c>
      <c r="T51" s="1"/>
      <c r="U51" s="1"/>
      <c r="V51" s="1"/>
      <c r="W51" s="1"/>
      <c r="X51" s="1"/>
      <c r="Y51" s="1"/>
      <c r="Z51" s="1"/>
      <c r="AA51" s="1"/>
      <c r="AB51" s="1"/>
      <c r="AC51" s="1" t="s">
        <v>455</v>
      </c>
      <c r="AD51" s="1"/>
      <c r="AE51" s="1"/>
      <c r="AF51" s="1"/>
      <c r="AG51" s="1"/>
      <c r="AH51" s="1"/>
      <c r="AI51" s="1"/>
      <c r="AJ51" s="1"/>
      <c r="AK51" s="1"/>
      <c r="AL51" s="1"/>
      <c r="AM51" s="1"/>
      <c r="AN51" s="1" t="str">
        <f>_xlfn.XLOOKUP('RELAÇÃO DE ELEVATÓRIAS'!A:A,'RELAÇÃO ANTIGA'!A:A,'RELAÇÃO ANTIGA'!AC:AC)</f>
        <v>220V</v>
      </c>
      <c r="AO51" s="1"/>
      <c r="AP51" s="1">
        <v>411189247</v>
      </c>
      <c r="AQ51" s="1">
        <v>5003079</v>
      </c>
      <c r="AR51" s="1">
        <v>0</v>
      </c>
      <c r="AS51" s="1" t="s">
        <v>950</v>
      </c>
      <c r="AT51" s="1" t="s">
        <v>951</v>
      </c>
      <c r="AU51" s="1" t="s">
        <v>698</v>
      </c>
      <c r="AV51" s="1" t="s">
        <v>489</v>
      </c>
      <c r="AW51" s="1">
        <v>0</v>
      </c>
      <c r="AX51" s="1">
        <v>0</v>
      </c>
      <c r="AY51" s="1">
        <v>0</v>
      </c>
      <c r="AZ51" s="1">
        <v>0</v>
      </c>
      <c r="BA51" s="1"/>
      <c r="BB51" s="1"/>
      <c r="BC51" s="1"/>
      <c r="BD51" s="1"/>
      <c r="BE51" s="1"/>
      <c r="BF51" s="1"/>
      <c r="BG51" s="1"/>
      <c r="BH51" s="1"/>
      <c r="BI51" s="1"/>
      <c r="BJ51" s="1"/>
      <c r="BK51" s="1" t="s">
        <v>437</v>
      </c>
      <c r="BL51" s="1"/>
      <c r="BM51" s="1"/>
      <c r="BN51" s="1"/>
      <c r="BO51" s="1"/>
      <c r="BP51" s="1" t="s">
        <v>396</v>
      </c>
      <c r="BQ51" s="1"/>
      <c r="BR51" s="1" t="s">
        <v>491</v>
      </c>
      <c r="BS51" s="1" t="s">
        <v>952</v>
      </c>
      <c r="BT51" s="1">
        <v>0</v>
      </c>
      <c r="BU51" s="1">
        <v>0</v>
      </c>
      <c r="BV51" s="1">
        <v>0</v>
      </c>
      <c r="BW51" s="1" t="s">
        <v>396</v>
      </c>
      <c r="BX51" s="1"/>
      <c r="BY51" s="1" t="s">
        <v>401</v>
      </c>
      <c r="BZ51" s="1">
        <v>0</v>
      </c>
      <c r="CA51" s="1">
        <v>0</v>
      </c>
      <c r="CB51" s="1">
        <v>0</v>
      </c>
      <c r="CC51" s="1">
        <v>0</v>
      </c>
      <c r="CD51" s="1" t="s">
        <v>953</v>
      </c>
    </row>
    <row r="52" spans="1:82" hidden="1">
      <c r="A52" s="1" t="s">
        <v>954</v>
      </c>
      <c r="B52" s="1" t="str">
        <f>_xlfn.XLOOKUP(A:A,'Dados Elevatórias'!D:D,'Dados Elevatórias'!B:B)</f>
        <v>PL-RJB-EAT0066</v>
      </c>
      <c r="C52" s="1" t="str">
        <f>_xlfn.XLOOKUP(B:B,'Dados Elevatórias'!B:B,'Dados Elevatórias'!C:C)</f>
        <v>EAT</v>
      </c>
      <c r="D52" s="1" t="s">
        <v>373</v>
      </c>
      <c r="E52" s="1" t="s">
        <v>955</v>
      </c>
      <c r="F52" s="1" t="s">
        <v>956</v>
      </c>
      <c r="G52" s="1" t="s">
        <v>376</v>
      </c>
      <c r="H52" s="1" t="str">
        <f>_xlfn.XLOOKUP(B:B,'Dados Elevatórias'!B:B,'Dados Elevatórias'!G:G)</f>
        <v>26540-020</v>
      </c>
      <c r="I52" s="1">
        <f>_xlfn.XLOOKUP(B52,COORDENADAS!A:A,COORDENADAS!B:B)</f>
        <v>-22.805</v>
      </c>
      <c r="J52" s="1">
        <f>_xlfn.XLOOKUP(B52,COORDENADAS!A:A,COORDENADAS!C:C)</f>
        <v>-43.402799999999999</v>
      </c>
      <c r="K52" s="1"/>
      <c r="L52" s="1" t="str">
        <f>_xlfn.XLOOKUP(A:A,'RELAÇÃO ANTIGA'!A:A,'RELAÇÃO ANTIGA'!J:J)</f>
        <v>INFORMAL</v>
      </c>
      <c r="M52" s="1">
        <v>1</v>
      </c>
      <c r="N52" s="1" t="s">
        <v>378</v>
      </c>
      <c r="O52" s="1" t="s">
        <v>957</v>
      </c>
      <c r="P52" s="1"/>
      <c r="Q52" s="1"/>
      <c r="R52" s="1"/>
      <c r="S52" s="1" t="s">
        <v>958</v>
      </c>
      <c r="T52" s="1" t="s">
        <v>959</v>
      </c>
      <c r="U52" s="1"/>
      <c r="V52" s="1"/>
      <c r="W52" s="1"/>
      <c r="X52" s="1"/>
      <c r="Y52" s="1"/>
      <c r="Z52" s="1"/>
      <c r="AA52" s="1"/>
      <c r="AB52" s="1"/>
      <c r="AC52" s="1" t="s">
        <v>727</v>
      </c>
      <c r="AD52" s="1"/>
      <c r="AE52" s="1"/>
      <c r="AF52" s="1"/>
      <c r="AG52" s="1"/>
      <c r="AH52" s="1"/>
      <c r="AI52" s="1"/>
      <c r="AJ52" s="1"/>
      <c r="AK52" s="1"/>
      <c r="AL52" s="1"/>
      <c r="AM52" s="1"/>
      <c r="AN52" s="1" t="str">
        <f>_xlfn.XLOOKUP('RELAÇÃO DE ELEVATÓRIAS'!A:A,'RELAÇÃO ANTIGA'!A:A,'RELAÇÃO ANTIGA'!AC:AC)</f>
        <v>220V</v>
      </c>
      <c r="AO52" s="1"/>
      <c r="AP52" s="1">
        <v>400379484</v>
      </c>
      <c r="AQ52" s="1">
        <v>5668080</v>
      </c>
      <c r="AR52" s="1">
        <v>0</v>
      </c>
      <c r="AS52" s="1" t="s">
        <v>960</v>
      </c>
      <c r="AT52" s="1" t="s">
        <v>961</v>
      </c>
      <c r="AU52" s="1" t="s">
        <v>489</v>
      </c>
      <c r="AV52" s="1" t="s">
        <v>489</v>
      </c>
      <c r="AW52" s="1">
        <v>0</v>
      </c>
      <c r="AX52" s="1">
        <v>0</v>
      </c>
      <c r="AY52" s="1">
        <v>0</v>
      </c>
      <c r="AZ52" s="1">
        <v>0</v>
      </c>
      <c r="BA52" s="1"/>
      <c r="BB52" s="1"/>
      <c r="BC52" s="1"/>
      <c r="BD52" s="1"/>
      <c r="BE52" s="1"/>
      <c r="BF52" s="1"/>
      <c r="BG52" s="1"/>
      <c r="BH52" s="1"/>
      <c r="BI52" s="1"/>
      <c r="BJ52" s="1"/>
      <c r="BK52" s="1" t="s">
        <v>427</v>
      </c>
      <c r="BL52" s="1"/>
      <c r="BM52" s="1"/>
      <c r="BN52" s="1"/>
      <c r="BO52" s="1"/>
      <c r="BP52" s="1" t="s">
        <v>396</v>
      </c>
      <c r="BQ52" s="1"/>
      <c r="BR52" s="1">
        <v>0</v>
      </c>
      <c r="BS52" s="1">
        <v>0</v>
      </c>
      <c r="BT52" s="1">
        <v>0</v>
      </c>
      <c r="BU52" s="1">
        <v>0</v>
      </c>
      <c r="BV52" s="1">
        <v>0</v>
      </c>
      <c r="BW52" s="1" t="s">
        <v>396</v>
      </c>
      <c r="BX52" s="1"/>
      <c r="BY52" s="1" t="s">
        <v>401</v>
      </c>
      <c r="BZ52" s="1">
        <v>0</v>
      </c>
      <c r="CA52" s="1">
        <v>0</v>
      </c>
      <c r="CB52" s="1">
        <v>0</v>
      </c>
      <c r="CC52" s="1" t="s">
        <v>962</v>
      </c>
      <c r="CD52" s="1" t="s">
        <v>963</v>
      </c>
    </row>
    <row r="53" spans="1:82" hidden="1">
      <c r="A53" s="1" t="s">
        <v>964</v>
      </c>
      <c r="B53" s="1" t="str">
        <f>_xlfn.XLOOKUP(A:A,'Dados Elevatórias'!D:D,'Dados Elevatórias'!B:B)</f>
        <v>PL-RJB-ETE0040</v>
      </c>
      <c r="C53" s="1" t="str">
        <f>_xlfn.XLOOKUP(B:B,'Dados Elevatórias'!B:B,'Dados Elevatórias'!C:C)</f>
        <v>ETE</v>
      </c>
      <c r="D53" s="1" t="s">
        <v>373</v>
      </c>
      <c r="E53" s="1" t="s">
        <v>965</v>
      </c>
      <c r="F53" s="1" t="s">
        <v>966</v>
      </c>
      <c r="G53" s="1" t="s">
        <v>421</v>
      </c>
      <c r="H53" s="1" t="str">
        <f>_xlfn.XLOOKUP(B:B,'Dados Elevatórias'!B:B,'Dados Elevatórias'!G:G)</f>
        <v>26296-069</v>
      </c>
      <c r="I53" s="1">
        <f>_xlfn.XLOOKUP(B53,COORDENADAS!A:A,COORDENADAS!B:B)</f>
        <v>-22.798500000000001</v>
      </c>
      <c r="J53" s="1">
        <f>_xlfn.XLOOKUP(B53,COORDENADAS!A:A,COORDENADAS!C:C)</f>
        <v>-43.589199999999998</v>
      </c>
      <c r="K53" s="1"/>
      <c r="L53" s="1" t="str">
        <f>_xlfn.XLOOKUP(A:A,'RELAÇÃO ANTIGA'!A:A,'RELAÇÃO ANTIGA'!J:J)</f>
        <v>FORMAL</v>
      </c>
      <c r="M53" s="1">
        <v>1</v>
      </c>
      <c r="N53" s="1" t="s">
        <v>378</v>
      </c>
      <c r="O53" s="1" t="s">
        <v>473</v>
      </c>
      <c r="P53" s="1"/>
      <c r="Q53" s="1" t="s">
        <v>404</v>
      </c>
      <c r="R53" s="1"/>
      <c r="S53" s="1" t="s">
        <v>967</v>
      </c>
      <c r="T53" s="1"/>
      <c r="U53" s="1"/>
      <c r="V53" s="1"/>
      <c r="W53" s="1"/>
      <c r="X53" s="1"/>
      <c r="Y53" s="1" t="s">
        <v>968</v>
      </c>
      <c r="Z53" s="1" t="s">
        <v>404</v>
      </c>
      <c r="AA53" s="1"/>
      <c r="AB53" s="1"/>
      <c r="AC53" s="1" t="s">
        <v>455</v>
      </c>
      <c r="AD53" s="1"/>
      <c r="AE53" s="1"/>
      <c r="AF53" s="1" t="s">
        <v>485</v>
      </c>
      <c r="AG53" s="1"/>
      <c r="AH53" s="1" t="s">
        <v>727</v>
      </c>
      <c r="AI53" s="1"/>
      <c r="AJ53" s="1"/>
      <c r="AK53" s="1" t="s">
        <v>969</v>
      </c>
      <c r="AL53" s="1"/>
      <c r="AM53" s="1"/>
      <c r="AN53" s="1"/>
      <c r="AO53" s="1"/>
      <c r="AP53" s="1">
        <v>0</v>
      </c>
      <c r="AQ53" s="1">
        <v>0</v>
      </c>
      <c r="AR53" s="1">
        <v>0</v>
      </c>
      <c r="AS53" s="1">
        <v>0</v>
      </c>
      <c r="AT53" s="1">
        <v>0</v>
      </c>
      <c r="AU53" s="1">
        <v>0</v>
      </c>
      <c r="AV53" s="1">
        <v>0</v>
      </c>
      <c r="AW53" s="1">
        <v>0</v>
      </c>
      <c r="AX53" s="1">
        <v>0</v>
      </c>
      <c r="AY53" s="1">
        <v>0</v>
      </c>
      <c r="AZ53" s="1">
        <v>0</v>
      </c>
      <c r="BA53" s="1"/>
      <c r="BB53" s="1"/>
      <c r="BC53" s="1"/>
      <c r="BD53" s="1"/>
      <c r="BE53" s="1"/>
      <c r="BF53" s="1"/>
      <c r="BG53" s="1"/>
      <c r="BH53" s="1"/>
      <c r="BI53" s="1"/>
      <c r="BJ53" s="1"/>
      <c r="BK53" s="1" t="s">
        <v>427</v>
      </c>
      <c r="BL53" s="1"/>
      <c r="BM53" s="1"/>
      <c r="BN53" s="1"/>
      <c r="BO53" s="1"/>
      <c r="BP53" s="1" t="s">
        <v>396</v>
      </c>
      <c r="BQ53" s="1"/>
      <c r="BR53" s="1">
        <v>0</v>
      </c>
      <c r="BS53" s="1">
        <v>0</v>
      </c>
      <c r="BT53" s="1">
        <v>0</v>
      </c>
      <c r="BU53" s="1">
        <v>0</v>
      </c>
      <c r="BV53" s="1">
        <v>0</v>
      </c>
      <c r="BW53" s="1"/>
      <c r="BX53" s="1"/>
      <c r="BY53" s="1">
        <v>0</v>
      </c>
      <c r="BZ53" s="1">
        <v>0</v>
      </c>
      <c r="CA53" s="1">
        <v>0</v>
      </c>
      <c r="CB53" s="1">
        <v>0</v>
      </c>
      <c r="CC53" s="1">
        <v>0</v>
      </c>
      <c r="CD53" s="1">
        <v>0</v>
      </c>
    </row>
    <row r="54" spans="1:82" hidden="1">
      <c r="A54" s="1" t="s">
        <v>970</v>
      </c>
      <c r="B54" s="1" t="str">
        <f>_xlfn.XLOOKUP(A:A,'Dados Elevatórias'!D:D,'Dados Elevatórias'!B:B)</f>
        <v>PL-RJB-EAT0065</v>
      </c>
      <c r="C54" s="1" t="str">
        <f>_xlfn.XLOOKUP(B:B,'Dados Elevatórias'!B:B,'Dados Elevatórias'!C:C)</f>
        <v>EAT</v>
      </c>
      <c r="D54" s="1" t="s">
        <v>373</v>
      </c>
      <c r="E54" s="1" t="s">
        <v>971</v>
      </c>
      <c r="F54" s="1" t="s">
        <v>528</v>
      </c>
      <c r="G54" s="1" t="s">
        <v>421</v>
      </c>
      <c r="H54" s="1" t="str">
        <f>_xlfn.XLOOKUP(B:B,'Dados Elevatórias'!B:B,'Dados Elevatórias'!G:G)</f>
        <v>26250-060</v>
      </c>
      <c r="I54" s="1">
        <f>_xlfn.XLOOKUP(B54,COORDENADAS!A:A,COORDENADAS!B:B)</f>
        <v>-22.763999999999999</v>
      </c>
      <c r="J54" s="1">
        <f>_xlfn.XLOOKUP(B54,COORDENADAS!A:A,COORDENADAS!C:C)</f>
        <v>-43.448900000000002</v>
      </c>
      <c r="K54" s="1"/>
      <c r="L54" s="1" t="str">
        <f>_xlfn.XLOOKUP(A:A,'RELAÇÃO ANTIGA'!A:A,'RELAÇÃO ANTIGA'!J:J)</f>
        <v>FORMAL</v>
      </c>
      <c r="M54" s="1">
        <v>1</v>
      </c>
      <c r="N54" s="1" t="s">
        <v>378</v>
      </c>
      <c r="O54" s="1" t="s">
        <v>892</v>
      </c>
      <c r="P54" s="1" t="s">
        <v>915</v>
      </c>
      <c r="Q54" s="1" t="s">
        <v>898</v>
      </c>
      <c r="R54" s="1" t="s">
        <v>894</v>
      </c>
      <c r="S54" s="1" t="s">
        <v>972</v>
      </c>
      <c r="T54" s="1" t="s">
        <v>973</v>
      </c>
      <c r="U54" s="1" t="s">
        <v>974</v>
      </c>
      <c r="V54" s="1"/>
      <c r="W54" s="1"/>
      <c r="X54" s="1" t="s">
        <v>975</v>
      </c>
      <c r="Y54" s="1" t="s">
        <v>976</v>
      </c>
      <c r="Z54" s="1" t="s">
        <v>404</v>
      </c>
      <c r="AA54" s="1"/>
      <c r="AB54" s="1"/>
      <c r="AC54" s="1" t="s">
        <v>455</v>
      </c>
      <c r="AD54" s="1"/>
      <c r="AE54" s="1"/>
      <c r="AF54" s="1"/>
      <c r="AG54" s="1"/>
      <c r="AH54" s="1"/>
      <c r="AI54" s="1"/>
      <c r="AJ54" s="1"/>
      <c r="AK54" s="1"/>
      <c r="AL54" s="1"/>
      <c r="AM54" s="1"/>
      <c r="AN54" s="1" t="str">
        <f>_xlfn.XLOOKUP('RELAÇÃO DE ELEVATÓRIAS'!A:A,'RELAÇÃO ANTIGA'!A:A,'RELAÇÃO ANTIGA'!AC:AC)</f>
        <v>220V</v>
      </c>
      <c r="AO54" s="1"/>
      <c r="AP54" s="1">
        <v>411456713</v>
      </c>
      <c r="AQ54" s="1">
        <v>4454750</v>
      </c>
      <c r="AR54" s="1">
        <v>0</v>
      </c>
      <c r="AS54" s="1" t="s">
        <v>977</v>
      </c>
      <c r="AT54" s="1" t="s">
        <v>978</v>
      </c>
      <c r="AU54" s="1" t="s">
        <v>669</v>
      </c>
      <c r="AV54" s="1" t="s">
        <v>669</v>
      </c>
      <c r="AW54" s="1">
        <v>0</v>
      </c>
      <c r="AX54" s="1">
        <v>0</v>
      </c>
      <c r="AY54" s="1">
        <v>0</v>
      </c>
      <c r="AZ54" s="1">
        <v>20</v>
      </c>
      <c r="BA54" s="1"/>
      <c r="BB54" s="1"/>
      <c r="BC54" s="1"/>
      <c r="BD54" s="1"/>
      <c r="BE54" s="1"/>
      <c r="BF54" s="1"/>
      <c r="BG54" s="1"/>
      <c r="BH54" s="1"/>
      <c r="BI54" s="1"/>
      <c r="BJ54" s="1"/>
      <c r="BK54" s="1" t="s">
        <v>427</v>
      </c>
      <c r="BL54" s="1" t="s">
        <v>404</v>
      </c>
      <c r="BM54" s="1" t="s">
        <v>979</v>
      </c>
      <c r="BN54" s="1"/>
      <c r="BO54" s="1"/>
      <c r="BP54" s="1" t="s">
        <v>386</v>
      </c>
      <c r="BQ54" s="1"/>
      <c r="BR54" s="1">
        <v>0</v>
      </c>
      <c r="BS54" s="1">
        <v>0</v>
      </c>
      <c r="BT54" s="1">
        <v>0</v>
      </c>
      <c r="BU54" s="1">
        <v>0</v>
      </c>
      <c r="BV54" s="1">
        <v>0</v>
      </c>
      <c r="BW54" s="1" t="s">
        <v>396</v>
      </c>
      <c r="BX54" s="1"/>
      <c r="BY54" s="1" t="s">
        <v>401</v>
      </c>
      <c r="BZ54" s="1">
        <v>0</v>
      </c>
      <c r="CA54" s="1">
        <v>0</v>
      </c>
      <c r="CB54" s="1">
        <v>0</v>
      </c>
      <c r="CC54" s="1">
        <v>0</v>
      </c>
      <c r="CD54" s="1" t="s">
        <v>980</v>
      </c>
    </row>
    <row r="55" spans="1:82" hidden="1">
      <c r="A55" s="1" t="s">
        <v>981</v>
      </c>
      <c r="B55" s="1" t="str">
        <f>_xlfn.XLOOKUP(A:A,'Dados Elevatórias'!D:D,'Dados Elevatórias'!B:B)</f>
        <v>PL-RJB-EAT0082</v>
      </c>
      <c r="C55" s="1" t="str">
        <f>_xlfn.XLOOKUP(B:B,'Dados Elevatórias'!B:B,'Dados Elevatórias'!C:C)</f>
        <v>EAT</v>
      </c>
      <c r="D55" s="1" t="s">
        <v>373</v>
      </c>
      <c r="E55" s="1" t="s">
        <v>982</v>
      </c>
      <c r="F55" s="1" t="s">
        <v>983</v>
      </c>
      <c r="G55" s="1" t="s">
        <v>421</v>
      </c>
      <c r="H55" s="1" t="str">
        <f>_xlfn.XLOOKUP(B:B,'Dados Elevatórias'!B:B,'Dados Elevatórias'!G:G)</f>
        <v>26021-650</v>
      </c>
      <c r="I55" s="1">
        <f>_xlfn.XLOOKUP(B55,COORDENADAS!A:A,COORDENADAS!B:B)</f>
        <v>-22.722999999999999</v>
      </c>
      <c r="J55" s="1">
        <f>_xlfn.XLOOKUP(B55,COORDENADAS!A:A,COORDENADAS!C:C)</f>
        <v>-43.435600000000001</v>
      </c>
      <c r="K55" s="1"/>
      <c r="L55" s="1" t="str">
        <f>_xlfn.XLOOKUP(A:A,'RELAÇÃO ANTIGA'!A:A,'RELAÇÃO ANTIGA'!J:J)</f>
        <v>FORMAL</v>
      </c>
      <c r="M55" s="1">
        <v>1</v>
      </c>
      <c r="N55" s="1" t="s">
        <v>378</v>
      </c>
      <c r="O55" s="1" t="s">
        <v>984</v>
      </c>
      <c r="P55" s="1" t="s">
        <v>788</v>
      </c>
      <c r="Q55" s="1" t="s">
        <v>404</v>
      </c>
      <c r="R55" s="1"/>
      <c r="S55" s="1"/>
      <c r="T55" s="1"/>
      <c r="U55" s="1"/>
      <c r="V55" s="1"/>
      <c r="W55" s="1"/>
      <c r="X55" s="1"/>
      <c r="Y55" s="1"/>
      <c r="Z55" s="1"/>
      <c r="AA55" s="1"/>
      <c r="AB55" s="1"/>
      <c r="AC55" s="1" t="s">
        <v>455</v>
      </c>
      <c r="AD55" s="1"/>
      <c r="AE55" s="1"/>
      <c r="AF55" s="1"/>
      <c r="AG55" s="1"/>
      <c r="AH55" s="1"/>
      <c r="AI55" s="1"/>
      <c r="AJ55" s="1"/>
      <c r="AK55" s="1"/>
      <c r="AL55" s="1"/>
      <c r="AM55" s="1"/>
      <c r="AN55" s="1" t="str">
        <f>_xlfn.XLOOKUP('RELAÇÃO DE ELEVATÓRIAS'!A:A,'RELAÇÃO ANTIGA'!A:A,'RELAÇÃO ANTIGA'!AC:AC)</f>
        <v>220V</v>
      </c>
      <c r="AO55" s="1"/>
      <c r="AP55" s="1">
        <v>410417203</v>
      </c>
      <c r="AQ55" s="1" t="s">
        <v>985</v>
      </c>
      <c r="AR55" s="1">
        <v>0</v>
      </c>
      <c r="AS55" s="1" t="s">
        <v>986</v>
      </c>
      <c r="AT55" s="1" t="s">
        <v>987</v>
      </c>
      <c r="AU55" s="1" t="s">
        <v>988</v>
      </c>
      <c r="AV55" s="1" t="s">
        <v>683</v>
      </c>
      <c r="AW55" s="1">
        <v>0</v>
      </c>
      <c r="AX55" s="1">
        <v>0</v>
      </c>
      <c r="AY55" s="1">
        <v>0</v>
      </c>
      <c r="AZ55" s="1">
        <v>0</v>
      </c>
      <c r="BA55" s="1"/>
      <c r="BB55" s="1"/>
      <c r="BC55" s="1"/>
      <c r="BD55" s="1"/>
      <c r="BE55" s="1"/>
      <c r="BF55" s="1"/>
      <c r="BG55" s="1"/>
      <c r="BH55" s="1"/>
      <c r="BI55" s="1"/>
      <c r="BJ55" s="1"/>
      <c r="BK55" s="1" t="s">
        <v>391</v>
      </c>
      <c r="BL55" s="1" t="s">
        <v>462</v>
      </c>
      <c r="BM55" s="1"/>
      <c r="BN55" s="1"/>
      <c r="BO55" s="1"/>
      <c r="BP55" s="1" t="s">
        <v>386</v>
      </c>
      <c r="BQ55" s="1"/>
      <c r="BR55" s="1" t="s">
        <v>491</v>
      </c>
      <c r="BS55" s="1" t="s">
        <v>952</v>
      </c>
      <c r="BT55" s="1">
        <v>0</v>
      </c>
      <c r="BU55" s="1">
        <v>0</v>
      </c>
      <c r="BV55" s="1">
        <v>0</v>
      </c>
      <c r="BW55" s="1" t="s">
        <v>396</v>
      </c>
      <c r="BX55" s="1"/>
      <c r="BY55" s="1" t="s">
        <v>401</v>
      </c>
      <c r="BZ55" s="1">
        <v>0</v>
      </c>
      <c r="CA55" s="1">
        <v>0</v>
      </c>
      <c r="CB55" s="1">
        <v>0</v>
      </c>
      <c r="CC55" s="1">
        <v>0</v>
      </c>
      <c r="CD55" s="1" t="s">
        <v>989</v>
      </c>
    </row>
    <row r="56" spans="1:82" hidden="1">
      <c r="A56" s="1" t="s">
        <v>990</v>
      </c>
      <c r="B56" s="1" t="str">
        <f>_xlfn.XLOOKUP(A:A,'Dados Elevatórias'!D:D,'Dados Elevatórias'!B:B)</f>
        <v>PL-RJB-EAT0110</v>
      </c>
      <c r="C56" s="1" t="str">
        <f>_xlfn.XLOOKUP(B:B,'Dados Elevatórias'!B:B,'Dados Elevatórias'!C:C)</f>
        <v>EAT</v>
      </c>
      <c r="D56" s="1" t="s">
        <v>373</v>
      </c>
      <c r="E56" s="1" t="s">
        <v>991</v>
      </c>
      <c r="F56" s="1" t="s">
        <v>937</v>
      </c>
      <c r="G56" s="1" t="s">
        <v>421</v>
      </c>
      <c r="H56" s="1" t="str">
        <f>_xlfn.XLOOKUP(B:B,'Dados Elevatórias'!B:B,'Dados Elevatórias'!G:G)</f>
        <v>26030-200</v>
      </c>
      <c r="I56" s="1">
        <f>_xlfn.XLOOKUP(B56,COORDENADAS!A:A,COORDENADAS!B:B)</f>
        <v>-22.734200000000001</v>
      </c>
      <c r="J56" s="1">
        <f>_xlfn.XLOOKUP(B56,COORDENADAS!A:A,COORDENADAS!C:C)</f>
        <v>-43.465800000000002</v>
      </c>
      <c r="K56" s="1"/>
      <c r="L56" s="1" t="str">
        <f>_xlfn.XLOOKUP(A:A,'RELAÇÃO ANTIGA'!A:A,'RELAÇÃO ANTIGA'!J:J)</f>
        <v>FORMAL</v>
      </c>
      <c r="M56" s="1">
        <v>1</v>
      </c>
      <c r="N56" s="1" t="s">
        <v>378</v>
      </c>
      <c r="O56" s="1"/>
      <c r="P56" s="1"/>
      <c r="Q56" s="1"/>
      <c r="R56" s="1"/>
      <c r="S56" s="1" t="s">
        <v>992</v>
      </c>
      <c r="T56" s="1"/>
      <c r="U56" s="1"/>
      <c r="V56" s="1"/>
      <c r="W56" s="1"/>
      <c r="X56" s="1"/>
      <c r="Y56" s="1" t="s">
        <v>993</v>
      </c>
      <c r="Z56" s="1"/>
      <c r="AA56" s="1"/>
      <c r="AB56" s="1"/>
      <c r="AC56" s="1" t="s">
        <v>727</v>
      </c>
      <c r="AD56" s="1"/>
      <c r="AE56" s="1"/>
      <c r="AF56" s="1"/>
      <c r="AG56" s="1"/>
      <c r="AH56" s="1"/>
      <c r="AI56" s="1"/>
      <c r="AJ56" s="1"/>
      <c r="AK56" s="1"/>
      <c r="AL56" s="1"/>
      <c r="AM56" s="1"/>
      <c r="AN56" s="1" t="str">
        <f>_xlfn.XLOOKUP('RELAÇÃO DE ELEVATÓRIAS'!A:A,'RELAÇÃO ANTIGA'!A:A,'RELAÇÃO ANTIGA'!AC:AC)</f>
        <v>220V</v>
      </c>
      <c r="AO56" s="1"/>
      <c r="AP56" s="1">
        <v>430171491</v>
      </c>
      <c r="AQ56" s="1">
        <v>9732192</v>
      </c>
      <c r="AR56" s="1">
        <v>0</v>
      </c>
      <c r="AS56" s="1" t="s">
        <v>994</v>
      </c>
      <c r="AT56" s="1" t="s">
        <v>995</v>
      </c>
      <c r="AU56" s="1" t="s">
        <v>489</v>
      </c>
      <c r="AV56" s="1" t="s">
        <v>489</v>
      </c>
      <c r="AW56" s="1">
        <v>0</v>
      </c>
      <c r="AX56" s="1">
        <v>0</v>
      </c>
      <c r="AY56" s="1">
        <v>0</v>
      </c>
      <c r="AZ56" s="1">
        <v>0</v>
      </c>
      <c r="BA56" s="1"/>
      <c r="BB56" s="1"/>
      <c r="BC56" s="1"/>
      <c r="BD56" s="1"/>
      <c r="BE56" s="1"/>
      <c r="BF56" s="1"/>
      <c r="BG56" s="1"/>
      <c r="BH56" s="1"/>
      <c r="BI56" s="1"/>
      <c r="BJ56" s="1"/>
      <c r="BK56" s="1" t="s">
        <v>427</v>
      </c>
      <c r="BL56" s="1"/>
      <c r="BM56" s="1"/>
      <c r="BN56" s="1"/>
      <c r="BO56" s="1"/>
      <c r="BP56" s="1" t="s">
        <v>396</v>
      </c>
      <c r="BQ56" s="1"/>
      <c r="BR56" s="1">
        <v>0</v>
      </c>
      <c r="BS56" s="1">
        <v>0</v>
      </c>
      <c r="BT56" s="1">
        <v>0</v>
      </c>
      <c r="BU56" s="1">
        <v>0</v>
      </c>
      <c r="BV56" s="1">
        <v>0</v>
      </c>
      <c r="BW56" s="1" t="s">
        <v>396</v>
      </c>
      <c r="BX56" s="1"/>
      <c r="BY56" s="1" t="s">
        <v>401</v>
      </c>
      <c r="BZ56" s="1">
        <v>0</v>
      </c>
      <c r="CA56" s="1">
        <v>0</v>
      </c>
      <c r="CB56" s="1">
        <v>0</v>
      </c>
      <c r="CC56" s="1">
        <v>0</v>
      </c>
      <c r="CD56" s="1" t="s">
        <v>996</v>
      </c>
    </row>
    <row r="57" spans="1:82" hidden="1">
      <c r="A57" s="1" t="s">
        <v>997</v>
      </c>
      <c r="B57" s="1" t="str">
        <f>_xlfn.XLOOKUP(A:A,'Dados Elevatórias'!D:D,'Dados Elevatórias'!B:B)</f>
        <v>PL-RJB-EAT0691</v>
      </c>
      <c r="C57" s="1" t="str">
        <f>_xlfn.XLOOKUP(B:B,'Dados Elevatórias'!B:B,'Dados Elevatórias'!C:C)</f>
        <v>EAT</v>
      </c>
      <c r="D57" s="1" t="s">
        <v>373</v>
      </c>
      <c r="E57" s="1" t="s">
        <v>998</v>
      </c>
      <c r="F57" s="1" t="s">
        <v>528</v>
      </c>
      <c r="G57" s="1" t="s">
        <v>421</v>
      </c>
      <c r="H57" s="1" t="str">
        <f>_xlfn.XLOOKUP(B:B,'Dados Elevatórias'!B:B,'Dados Elevatórias'!G:G)</f>
        <v>26255-250</v>
      </c>
      <c r="I57" s="1">
        <f>_xlfn.XLOOKUP(B57,COORDENADAS!A:A,COORDENADAS!B:B)</f>
        <v>-22.761299999999999</v>
      </c>
      <c r="J57" s="1">
        <f>_xlfn.XLOOKUP(B57,COORDENADAS!A:A,COORDENADAS!C:C)</f>
        <v>-43.456000000000003</v>
      </c>
      <c r="K57" s="1"/>
      <c r="L57" s="1" t="str">
        <f>_xlfn.XLOOKUP(A:A,'RELAÇÃO ANTIGA'!A:A,'RELAÇÃO ANTIGA'!J:J)</f>
        <v>FORMAL</v>
      </c>
      <c r="M57" s="1">
        <v>1</v>
      </c>
      <c r="N57" s="1" t="s">
        <v>378</v>
      </c>
      <c r="O57" s="1" t="s">
        <v>984</v>
      </c>
      <c r="P57" s="1" t="s">
        <v>999</v>
      </c>
      <c r="Q57" s="1" t="s">
        <v>404</v>
      </c>
      <c r="R57" s="1" t="s">
        <v>815</v>
      </c>
      <c r="S57" s="1" t="s">
        <v>1000</v>
      </c>
      <c r="T57" s="1" t="s">
        <v>754</v>
      </c>
      <c r="U57" s="1" t="s">
        <v>1001</v>
      </c>
      <c r="V57" s="1"/>
      <c r="W57" s="1"/>
      <c r="X57" s="1"/>
      <c r="Y57" s="1"/>
      <c r="Z57" s="1"/>
      <c r="AA57" s="1">
        <v>4</v>
      </c>
      <c r="AB57" s="1" t="s">
        <v>746</v>
      </c>
      <c r="AC57" s="1" t="s">
        <v>385</v>
      </c>
      <c r="AD57" s="1" t="s">
        <v>396</v>
      </c>
      <c r="AE57" s="1"/>
      <c r="AF57" s="1"/>
      <c r="AG57" s="1" t="s">
        <v>1002</v>
      </c>
      <c r="AH57" s="1"/>
      <c r="AI57" s="1"/>
      <c r="AJ57" s="1"/>
      <c r="AK57" s="1"/>
      <c r="AL57" s="1"/>
      <c r="AM57" s="1"/>
      <c r="AN57" s="1" t="str">
        <f>_xlfn.XLOOKUP('RELAÇÃO DE ELEVATÓRIAS'!A:A,'RELAÇÃO ANTIGA'!A:A,'RELAÇÃO ANTIGA'!AC:AC)</f>
        <v>220V</v>
      </c>
      <c r="AO57" s="1"/>
      <c r="AP57" s="1">
        <v>430001397</v>
      </c>
      <c r="AQ57" s="1">
        <v>0</v>
      </c>
      <c r="AR57" s="1">
        <v>0</v>
      </c>
      <c r="AS57" s="1">
        <v>0</v>
      </c>
      <c r="AT57" s="1">
        <v>0</v>
      </c>
      <c r="AU57" s="1" t="s">
        <v>489</v>
      </c>
      <c r="AV57" s="1" t="s">
        <v>489</v>
      </c>
      <c r="AW57" s="1">
        <v>0</v>
      </c>
      <c r="AX57" s="1">
        <v>0</v>
      </c>
      <c r="AY57" s="1">
        <v>0</v>
      </c>
      <c r="AZ57" s="1">
        <v>0</v>
      </c>
      <c r="BA57" s="1"/>
      <c r="BB57" s="1"/>
      <c r="BC57" s="1"/>
      <c r="BD57" s="1"/>
      <c r="BE57" s="1"/>
      <c r="BF57" s="1"/>
      <c r="BG57" s="1"/>
      <c r="BH57" s="1"/>
      <c r="BI57" s="1"/>
      <c r="BJ57" s="1"/>
      <c r="BK57" s="1" t="s">
        <v>391</v>
      </c>
      <c r="BL57" s="1"/>
      <c r="BM57" s="1"/>
      <c r="BN57" s="1"/>
      <c r="BO57" s="1"/>
      <c r="BP57" s="1" t="s">
        <v>386</v>
      </c>
      <c r="BQ57" s="1"/>
      <c r="BR57" s="1">
        <v>0</v>
      </c>
      <c r="BS57" s="1">
        <v>0</v>
      </c>
      <c r="BT57" s="1">
        <v>0</v>
      </c>
      <c r="BU57" s="1">
        <v>0</v>
      </c>
      <c r="BV57" s="1">
        <v>0</v>
      </c>
      <c r="BW57" s="1" t="s">
        <v>396</v>
      </c>
      <c r="BX57" s="1"/>
      <c r="BY57" s="1" t="s">
        <v>401</v>
      </c>
      <c r="BZ57" s="1">
        <v>0</v>
      </c>
      <c r="CA57" s="1">
        <v>0</v>
      </c>
      <c r="CB57" s="1">
        <v>0</v>
      </c>
      <c r="CC57" s="1">
        <v>0</v>
      </c>
      <c r="CD57" s="1">
        <v>0</v>
      </c>
    </row>
    <row r="58" spans="1:82" hidden="1">
      <c r="A58" s="1" t="s">
        <v>1003</v>
      </c>
      <c r="B58" s="1" t="str">
        <f>_xlfn.XLOOKUP(A:A,'Dados Elevatórias'!D:D,'Dados Elevatórias'!B:B)</f>
        <v>PL-RJB-EAT0745</v>
      </c>
      <c r="C58" s="1" t="str">
        <f>_xlfn.XLOOKUP(B:B,'Dados Elevatórias'!B:B,'Dados Elevatórias'!C:C)</f>
        <v>EAT</v>
      </c>
      <c r="D58" s="1" t="s">
        <v>373</v>
      </c>
      <c r="E58" s="1" t="s">
        <v>1004</v>
      </c>
      <c r="F58" s="1" t="s">
        <v>1005</v>
      </c>
      <c r="G58" s="1" t="s">
        <v>421</v>
      </c>
      <c r="H58" s="1" t="str">
        <f>_xlfn.XLOOKUP(B:B,'Dados Elevatórias'!B:B,'Dados Elevatórias'!G:G)</f>
        <v>26060-015</v>
      </c>
      <c r="I58" s="1">
        <f>_xlfn.XLOOKUP(B58,COORDENADAS!A:A,COORDENADAS!B:B)</f>
        <v>-22.701799999999999</v>
      </c>
      <c r="J58" s="1">
        <f>_xlfn.XLOOKUP(B58,COORDENADAS!A:A,COORDENADAS!C:C)</f>
        <v>-43.431199999999997</v>
      </c>
      <c r="K58" s="1"/>
      <c r="L58" s="1" t="str">
        <f>_xlfn.XLOOKUP(A:A,'RELAÇÃO ANTIGA'!A:A,'RELAÇÃO ANTIGA'!J:J)</f>
        <v>INFORMAL</v>
      </c>
      <c r="M58" s="1">
        <v>1</v>
      </c>
      <c r="N58" s="1" t="s">
        <v>378</v>
      </c>
      <c r="O58" s="1" t="s">
        <v>773</v>
      </c>
      <c r="P58" s="1" t="s">
        <v>1006</v>
      </c>
      <c r="Q58" s="1" t="s">
        <v>1007</v>
      </c>
      <c r="R58" s="1"/>
      <c r="S58" s="1" t="s">
        <v>1008</v>
      </c>
      <c r="T58" s="1" t="s">
        <v>707</v>
      </c>
      <c r="U58" s="1"/>
      <c r="V58" s="1" t="s">
        <v>1009</v>
      </c>
      <c r="W58" s="1" t="s">
        <v>1010</v>
      </c>
      <c r="X58" s="1"/>
      <c r="Y58" s="1" t="s">
        <v>1011</v>
      </c>
      <c r="Z58" s="1"/>
      <c r="AA58" s="1">
        <v>2</v>
      </c>
      <c r="AB58" s="1"/>
      <c r="AC58" s="1" t="s">
        <v>385</v>
      </c>
      <c r="AD58" s="1" t="s">
        <v>386</v>
      </c>
      <c r="AE58" s="1"/>
      <c r="AF58" s="1"/>
      <c r="AG58" s="1"/>
      <c r="AH58" s="1"/>
      <c r="AI58" s="1"/>
      <c r="AJ58" s="1"/>
      <c r="AK58" s="1"/>
      <c r="AL58" s="1"/>
      <c r="AM58" s="1"/>
      <c r="AN58" s="1"/>
      <c r="AO58" s="1"/>
      <c r="AP58" s="1">
        <v>420149935</v>
      </c>
      <c r="AQ58" s="1">
        <v>4784298</v>
      </c>
      <c r="AR58" s="1">
        <v>0</v>
      </c>
      <c r="AS58" s="1" t="s">
        <v>1012</v>
      </c>
      <c r="AT58" s="1" t="s">
        <v>1013</v>
      </c>
      <c r="AU58" s="1">
        <v>0</v>
      </c>
      <c r="AV58" s="1">
        <v>0</v>
      </c>
      <c r="AW58" s="1">
        <v>0</v>
      </c>
      <c r="AX58" s="1">
        <v>0</v>
      </c>
      <c r="AY58" s="1">
        <v>0</v>
      </c>
      <c r="AZ58" s="1">
        <v>0</v>
      </c>
      <c r="BA58" s="1"/>
      <c r="BB58" s="1"/>
      <c r="BC58" s="1"/>
      <c r="BD58" s="1"/>
      <c r="BE58" s="1"/>
      <c r="BF58" s="1"/>
      <c r="BG58" s="1"/>
      <c r="BH58" s="1"/>
      <c r="BI58" s="1"/>
      <c r="BJ58" s="1"/>
      <c r="BK58" s="1" t="s">
        <v>391</v>
      </c>
      <c r="BL58" s="1"/>
      <c r="BM58" s="1"/>
      <c r="BN58" s="1"/>
      <c r="BO58" s="1"/>
      <c r="BP58" s="1" t="s">
        <v>396</v>
      </c>
      <c r="BQ58" s="1"/>
      <c r="BR58" s="1" t="s">
        <v>491</v>
      </c>
      <c r="BS58" s="1" t="s">
        <v>952</v>
      </c>
      <c r="BT58" s="1">
        <v>0</v>
      </c>
      <c r="BU58" s="1">
        <v>0</v>
      </c>
      <c r="BV58" s="1">
        <v>0</v>
      </c>
      <c r="BW58" s="1"/>
      <c r="BX58" s="1"/>
      <c r="BY58" s="1">
        <v>0</v>
      </c>
      <c r="BZ58" s="1">
        <v>0</v>
      </c>
      <c r="CA58" s="1">
        <v>0</v>
      </c>
      <c r="CB58" s="1">
        <v>0</v>
      </c>
      <c r="CC58" s="1" t="s">
        <v>1003</v>
      </c>
      <c r="CD58" s="1" t="s">
        <v>1014</v>
      </c>
    </row>
    <row r="59" spans="1:82" hidden="1">
      <c r="A59" s="1" t="s">
        <v>1015</v>
      </c>
      <c r="B59" s="1" t="str">
        <f>_xlfn.XLOOKUP(A:A,'Dados Elevatórias'!D:D,'Dados Elevatórias'!B:B)</f>
        <v>PL-RJB-EAT0811</v>
      </c>
      <c r="C59" s="1" t="str">
        <f>_xlfn.XLOOKUP(B:B,'Dados Elevatórias'!B:B,'Dados Elevatórias'!C:C)</f>
        <v>EAT</v>
      </c>
      <c r="D59" s="1" t="s">
        <v>373</v>
      </c>
      <c r="E59" s="1" t="s">
        <v>1016</v>
      </c>
      <c r="F59" s="1" t="s">
        <v>1017</v>
      </c>
      <c r="G59" s="1" t="s">
        <v>443</v>
      </c>
      <c r="H59" s="1" t="str">
        <f>_xlfn.XLOOKUP(B:B,'Dados Elevatórias'!B:B,'Dados Elevatórias'!G:G)</f>
        <v>26317-180</v>
      </c>
      <c r="I59" s="1">
        <f>_xlfn.XLOOKUP(B59,COORDENADAS!A:A,COORDENADAS!B:B)</f>
        <v>-22.717199999999998</v>
      </c>
      <c r="J59" s="1">
        <f>_xlfn.XLOOKUP(B59,COORDENADAS!A:A,COORDENADAS!C:C)</f>
        <v>-43.581899999999997</v>
      </c>
      <c r="K59" s="1"/>
      <c r="L59" s="1"/>
      <c r="M59" s="1">
        <v>1</v>
      </c>
      <c r="N59" s="1" t="s">
        <v>378</v>
      </c>
      <c r="O59" s="1" t="s">
        <v>1018</v>
      </c>
      <c r="P59" s="1" t="s">
        <v>814</v>
      </c>
      <c r="Q59" s="1" t="s">
        <v>447</v>
      </c>
      <c r="R59" s="1" t="s">
        <v>815</v>
      </c>
      <c r="S59" s="1" t="s">
        <v>1019</v>
      </c>
      <c r="T59" s="1" t="s">
        <v>407</v>
      </c>
      <c r="U59" s="1" t="s">
        <v>1020</v>
      </c>
      <c r="V59" s="1"/>
      <c r="W59" s="1"/>
      <c r="X59" s="1" t="s">
        <v>1021</v>
      </c>
      <c r="Y59" s="1" t="s">
        <v>1022</v>
      </c>
      <c r="Z59" s="1" t="s">
        <v>837</v>
      </c>
      <c r="AA59" s="1">
        <v>2</v>
      </c>
      <c r="AB59" s="1"/>
      <c r="AC59" s="1" t="s">
        <v>455</v>
      </c>
      <c r="AD59" s="1"/>
      <c r="AE59" s="1"/>
      <c r="AF59" s="1"/>
      <c r="AG59" s="1" t="s">
        <v>1023</v>
      </c>
      <c r="AH59" s="1"/>
      <c r="AI59" s="1"/>
      <c r="AJ59" s="1"/>
      <c r="AK59" s="1"/>
      <c r="AL59" s="1"/>
      <c r="AM59" s="1"/>
      <c r="AN59" s="1"/>
      <c r="AO59" s="1"/>
      <c r="AP59" s="1">
        <v>0</v>
      </c>
      <c r="AQ59" s="1">
        <v>0</v>
      </c>
      <c r="AR59" s="1">
        <v>0</v>
      </c>
      <c r="AS59" s="1">
        <v>0</v>
      </c>
      <c r="AT59" s="1">
        <v>0</v>
      </c>
      <c r="AU59" s="1">
        <v>0</v>
      </c>
      <c r="AV59" s="1">
        <v>0</v>
      </c>
      <c r="AW59" s="1">
        <v>0</v>
      </c>
      <c r="AX59" s="1">
        <v>0</v>
      </c>
      <c r="AY59" s="1">
        <v>0</v>
      </c>
      <c r="AZ59" s="1">
        <v>0</v>
      </c>
      <c r="BA59" s="1"/>
      <c r="BB59" s="1"/>
      <c r="BC59" s="1"/>
      <c r="BD59" s="1"/>
      <c r="BE59" s="1"/>
      <c r="BF59" s="1"/>
      <c r="BG59" s="1"/>
      <c r="BH59" s="1"/>
      <c r="BI59" s="1"/>
      <c r="BJ59" s="1"/>
      <c r="BK59" s="1" t="s">
        <v>391</v>
      </c>
      <c r="BL59" s="1"/>
      <c r="BM59" s="1"/>
      <c r="BN59" s="1"/>
      <c r="BO59" s="1"/>
      <c r="BP59" s="1" t="s">
        <v>386</v>
      </c>
      <c r="BQ59" s="1"/>
      <c r="BR59" s="1">
        <v>0</v>
      </c>
      <c r="BS59" s="1">
        <v>0</v>
      </c>
      <c r="BT59" s="1">
        <v>0</v>
      </c>
      <c r="BU59" s="1">
        <v>0</v>
      </c>
      <c r="BV59" s="1">
        <v>0</v>
      </c>
      <c r="BW59" s="1"/>
      <c r="BX59" s="1"/>
      <c r="BY59" s="1">
        <v>0</v>
      </c>
      <c r="BZ59" s="1">
        <v>0</v>
      </c>
      <c r="CA59" s="1">
        <v>0</v>
      </c>
      <c r="CB59" s="1">
        <v>0</v>
      </c>
      <c r="CC59" s="1">
        <v>0</v>
      </c>
      <c r="CD59" s="1">
        <v>0</v>
      </c>
    </row>
    <row r="60" spans="1:82" hidden="1">
      <c r="A60" s="1" t="s">
        <v>1024</v>
      </c>
      <c r="B60" s="1" t="str">
        <f>_xlfn.XLOOKUP(A:A,'Dados Elevatórias'!D:D,'Dados Elevatórias'!B:B)</f>
        <v>PL-RJB-EAT1013</v>
      </c>
      <c r="C60" s="1" t="str">
        <f>_xlfn.XLOOKUP(B:B,'Dados Elevatórias'!B:B,'Dados Elevatórias'!C:C)</f>
        <v>EAT</v>
      </c>
      <c r="D60" s="1" t="s">
        <v>373</v>
      </c>
      <c r="E60" s="1" t="s">
        <v>1025</v>
      </c>
      <c r="F60" s="1" t="s">
        <v>883</v>
      </c>
      <c r="G60" s="1" t="s">
        <v>443</v>
      </c>
      <c r="H60" s="1">
        <f>_xlfn.XLOOKUP(B:B,'Dados Elevatórias'!B:B,'Dados Elevatórias'!G:G)</f>
        <v>26385380</v>
      </c>
      <c r="I60" s="1">
        <f>_xlfn.XLOOKUP(B60,COORDENADAS!A:A,COORDENADAS!B:B)</f>
        <v>-22.705100000000002</v>
      </c>
      <c r="J60" s="1">
        <f>_xlfn.XLOOKUP(B60,COORDENADAS!A:A,COORDENADAS!C:C)</f>
        <v>-43.555500000000002</v>
      </c>
      <c r="K60" s="1"/>
      <c r="L60" s="1" t="str">
        <f>_xlfn.XLOOKUP(A:A,'RELAÇÃO ANTIGA'!A:A,'RELAÇÃO ANTIGA'!J:J)</f>
        <v>FORMAL</v>
      </c>
      <c r="M60" s="1">
        <v>1</v>
      </c>
      <c r="N60" s="1" t="s">
        <v>378</v>
      </c>
      <c r="O60" s="1" t="s">
        <v>984</v>
      </c>
      <c r="P60" s="1" t="s">
        <v>607</v>
      </c>
      <c r="Q60" s="1"/>
      <c r="R60" s="1"/>
      <c r="S60" s="1"/>
      <c r="T60" s="1"/>
      <c r="U60" s="1"/>
      <c r="V60" s="1"/>
      <c r="W60" s="1"/>
      <c r="X60" s="1"/>
      <c r="Y60" s="1"/>
      <c r="Z60" s="1"/>
      <c r="AA60" s="1"/>
      <c r="AB60" s="1"/>
      <c r="AC60" s="1" t="s">
        <v>432</v>
      </c>
      <c r="AD60" s="1"/>
      <c r="AE60" s="1"/>
      <c r="AF60" s="1"/>
      <c r="AG60" s="1"/>
      <c r="AH60" s="1"/>
      <c r="AI60" s="1"/>
      <c r="AJ60" s="1"/>
      <c r="AK60" s="1"/>
      <c r="AL60" s="1"/>
      <c r="AM60" s="1"/>
      <c r="AN60" s="1"/>
      <c r="AO60" s="1"/>
      <c r="AP60" s="1">
        <v>0</v>
      </c>
      <c r="AQ60" s="1">
        <v>0</v>
      </c>
      <c r="AR60" s="1">
        <v>0</v>
      </c>
      <c r="AS60" s="1">
        <v>0</v>
      </c>
      <c r="AT60" s="1">
        <v>0</v>
      </c>
      <c r="AU60" s="1">
        <v>0</v>
      </c>
      <c r="AV60" s="1">
        <v>0</v>
      </c>
      <c r="AW60" s="1">
        <v>0</v>
      </c>
      <c r="AX60" s="1">
        <v>0</v>
      </c>
      <c r="AY60" s="1">
        <v>0</v>
      </c>
      <c r="AZ60" s="1">
        <v>0</v>
      </c>
      <c r="BA60" s="1"/>
      <c r="BB60" s="1"/>
      <c r="BC60" s="1"/>
      <c r="BD60" s="1"/>
      <c r="BE60" s="1"/>
      <c r="BF60" s="1"/>
      <c r="BG60" s="1"/>
      <c r="BH60" s="1"/>
      <c r="BI60" s="1"/>
      <c r="BJ60" s="1"/>
      <c r="BK60" s="1" t="s">
        <v>437</v>
      </c>
      <c r="BL60" s="1"/>
      <c r="BM60" s="1"/>
      <c r="BN60" s="1"/>
      <c r="BO60" s="1"/>
      <c r="BP60" s="1" t="s">
        <v>386</v>
      </c>
      <c r="BQ60" s="1"/>
      <c r="BR60" s="1">
        <v>0</v>
      </c>
      <c r="BS60" s="1">
        <v>0</v>
      </c>
      <c r="BT60" s="1">
        <v>0</v>
      </c>
      <c r="BU60" s="1">
        <v>0</v>
      </c>
      <c r="BV60" s="1">
        <v>0</v>
      </c>
      <c r="BW60" s="1"/>
      <c r="BX60" s="1"/>
      <c r="BY60" s="1">
        <v>0</v>
      </c>
      <c r="BZ60" s="1">
        <v>0</v>
      </c>
      <c r="CA60" s="1">
        <v>0</v>
      </c>
      <c r="CB60" s="1">
        <v>0</v>
      </c>
      <c r="CC60" s="1">
        <v>0</v>
      </c>
      <c r="CD60" s="1">
        <v>0</v>
      </c>
    </row>
    <row r="61" spans="1:82" hidden="1">
      <c r="A61" s="1" t="s">
        <v>1026</v>
      </c>
      <c r="B61" s="1" t="str">
        <f>_xlfn.XLOOKUP(A:A,'Dados Elevatórias'!D:D,'Dados Elevatórias'!B:B)</f>
        <v>PL-RJB-EAT0837</v>
      </c>
      <c r="C61" s="1" t="str">
        <f>_xlfn.XLOOKUP(B:B,'Dados Elevatórias'!B:B,'Dados Elevatórias'!C:C)</f>
        <v>EAT</v>
      </c>
      <c r="D61" s="1" t="s">
        <v>373</v>
      </c>
      <c r="E61" s="1" t="s">
        <v>1027</v>
      </c>
      <c r="F61" s="1" t="s">
        <v>1028</v>
      </c>
      <c r="G61" s="1" t="s">
        <v>421</v>
      </c>
      <c r="H61" s="1" t="str">
        <f>_xlfn.XLOOKUP(B:B,'Dados Elevatórias'!B:B,'Dados Elevatórias'!G:G)</f>
        <v>26082-215</v>
      </c>
      <c r="I61" s="1">
        <f>_xlfn.XLOOKUP(B61,COORDENADAS!A:A,COORDENADAS!B:B)</f>
        <v>-22.729500000000002</v>
      </c>
      <c r="J61" s="1">
        <f>_xlfn.XLOOKUP(B61,COORDENADAS!A:A,COORDENADAS!C:C)</f>
        <v>-43.508899999999997</v>
      </c>
      <c r="K61" s="1"/>
      <c r="L61" s="1"/>
      <c r="M61" s="1">
        <v>1</v>
      </c>
      <c r="N61" s="1" t="s">
        <v>378</v>
      </c>
      <c r="O61" s="1" t="s">
        <v>1029</v>
      </c>
      <c r="P61" s="1" t="s">
        <v>774</v>
      </c>
      <c r="Q61" s="1" t="s">
        <v>404</v>
      </c>
      <c r="R61" s="1" t="s">
        <v>741</v>
      </c>
      <c r="S61" s="1" t="s">
        <v>1030</v>
      </c>
      <c r="T61" s="1" t="s">
        <v>407</v>
      </c>
      <c r="U61" s="1" t="s">
        <v>1031</v>
      </c>
      <c r="V61" s="1"/>
      <c r="W61" s="1"/>
      <c r="X61" s="1"/>
      <c r="Y61" s="1" t="s">
        <v>1032</v>
      </c>
      <c r="Z61" s="1" t="s">
        <v>404</v>
      </c>
      <c r="AA61" s="1">
        <v>2</v>
      </c>
      <c r="AB61" s="1"/>
      <c r="AC61" s="1" t="s">
        <v>455</v>
      </c>
      <c r="AD61" s="1"/>
      <c r="AE61" s="1"/>
      <c r="AF61" s="1"/>
      <c r="AG61" s="1"/>
      <c r="AH61" s="1"/>
      <c r="AI61" s="1"/>
      <c r="AJ61" s="1"/>
      <c r="AK61" s="1"/>
      <c r="AL61" s="1"/>
      <c r="AM61" s="1"/>
      <c r="AN61" s="1" t="str">
        <f>_xlfn.XLOOKUP(A:A,'RELAÇÃO ANTIGA'!A:A,'RELAÇÃO ANTIGA'!AC:AC,X)</f>
        <v>220v</v>
      </c>
      <c r="AO61" s="1"/>
      <c r="AP61" s="1">
        <v>0</v>
      </c>
      <c r="AQ61" s="1">
        <v>0</v>
      </c>
      <c r="AR61" s="1">
        <v>0</v>
      </c>
      <c r="AS61" s="1">
        <v>0</v>
      </c>
      <c r="AT61" s="1">
        <v>0</v>
      </c>
      <c r="AU61" s="1">
        <v>0</v>
      </c>
      <c r="AV61" s="1">
        <v>0</v>
      </c>
      <c r="AW61" s="1">
        <v>0</v>
      </c>
      <c r="AX61" s="1">
        <v>0</v>
      </c>
      <c r="AY61" s="1">
        <v>0</v>
      </c>
      <c r="AZ61" s="1">
        <v>0</v>
      </c>
      <c r="BA61" s="1"/>
      <c r="BB61" s="1"/>
      <c r="BC61" s="1"/>
      <c r="BD61" s="1"/>
      <c r="BE61" s="1"/>
      <c r="BF61" s="1"/>
      <c r="BG61" s="1"/>
      <c r="BH61" s="1"/>
      <c r="BI61" s="1"/>
      <c r="BJ61" s="1"/>
      <c r="BK61" s="1" t="s">
        <v>391</v>
      </c>
      <c r="BL61" s="1"/>
      <c r="BM61" s="1"/>
      <c r="BN61" s="1"/>
      <c r="BO61" s="1"/>
      <c r="BP61" s="1" t="s">
        <v>396</v>
      </c>
      <c r="BQ61" s="1"/>
      <c r="BR61" s="1">
        <v>0</v>
      </c>
      <c r="BS61" s="1">
        <v>0</v>
      </c>
      <c r="BT61" s="1">
        <v>0</v>
      </c>
      <c r="BU61" s="1">
        <v>0</v>
      </c>
      <c r="BV61" s="1">
        <v>0</v>
      </c>
      <c r="BW61" s="1"/>
      <c r="BX61" s="1"/>
      <c r="BY61" s="1">
        <v>0</v>
      </c>
      <c r="BZ61" s="1">
        <v>0</v>
      </c>
      <c r="CA61" s="1">
        <v>0</v>
      </c>
      <c r="CB61" s="1">
        <v>0</v>
      </c>
      <c r="CC61" s="1">
        <v>0</v>
      </c>
      <c r="CD61" s="1">
        <v>0</v>
      </c>
    </row>
    <row r="62" spans="1:82" hidden="1">
      <c r="A62" s="1" t="s">
        <v>1033</v>
      </c>
      <c r="B62" s="1" t="str">
        <f>_xlfn.XLOOKUP(A:A,'Dados Elevatórias'!D:D,'Dados Elevatórias'!B:B)</f>
        <v>PL-RJB-EAT0087</v>
      </c>
      <c r="C62" s="1" t="str">
        <f>_xlfn.XLOOKUP(B:B,'Dados Elevatórias'!B:B,'Dados Elevatórias'!C:C)</f>
        <v>EAT</v>
      </c>
      <c r="D62" s="1" t="s">
        <v>373</v>
      </c>
      <c r="E62" s="1" t="s">
        <v>1034</v>
      </c>
      <c r="F62" s="1" t="s">
        <v>528</v>
      </c>
      <c r="G62" s="1" t="s">
        <v>376</v>
      </c>
      <c r="H62" s="1" t="str">
        <f>_xlfn.XLOOKUP(B:B,'Dados Elevatórias'!B:B,'Dados Elevatórias'!G:G)</f>
        <v>26540-000</v>
      </c>
      <c r="I62" s="1">
        <f>_xlfn.XLOOKUP(B62,COORDENADAS!A:A,COORDENADAS!B:B)</f>
        <v>-22.8127</v>
      </c>
      <c r="J62" s="1">
        <f>_xlfn.XLOOKUP(B62,COORDENADAS!A:A,COORDENADAS!C:C)</f>
        <v>-43.4116</v>
      </c>
      <c r="K62" s="1"/>
      <c r="L62" s="1" t="str">
        <f>_xlfn.XLOOKUP(A:A,'RELAÇÃO ANTIGA'!A:A,'RELAÇÃO ANTIGA'!J:J)</f>
        <v>FORMAL</v>
      </c>
      <c r="M62" s="1">
        <v>1</v>
      </c>
      <c r="N62" s="1" t="s">
        <v>378</v>
      </c>
      <c r="O62" s="1"/>
      <c r="P62" s="1"/>
      <c r="Q62" s="1"/>
      <c r="R62" s="1"/>
      <c r="S62" s="1"/>
      <c r="T62" s="1"/>
      <c r="U62" s="1"/>
      <c r="V62" s="1"/>
      <c r="W62" s="1"/>
      <c r="X62" s="1"/>
      <c r="Y62" s="1"/>
      <c r="Z62" s="1"/>
      <c r="AA62" s="1"/>
      <c r="AB62" s="1"/>
      <c r="AC62" s="1" t="s">
        <v>727</v>
      </c>
      <c r="AD62" s="1"/>
      <c r="AE62" s="1"/>
      <c r="AF62" s="1"/>
      <c r="AG62" s="1"/>
      <c r="AH62" s="1"/>
      <c r="AI62" s="1"/>
      <c r="AJ62" s="1"/>
      <c r="AK62" s="1"/>
      <c r="AL62" s="1"/>
      <c r="AM62" s="1"/>
      <c r="AN62" s="1" t="str">
        <f>_xlfn.XLOOKUP('RELAÇÃO DE ELEVATÓRIAS'!A:A,'RELAÇÃO ANTIGA'!A:A,'RELAÇÃO ANTIGA'!AC:AC)</f>
        <v>220V</v>
      </c>
      <c r="AO62" s="1"/>
      <c r="AP62" s="1">
        <v>411112102</v>
      </c>
      <c r="AQ62" s="1">
        <v>2580837</v>
      </c>
      <c r="AR62" s="1">
        <v>0</v>
      </c>
      <c r="AS62" s="1" t="s">
        <v>1035</v>
      </c>
      <c r="AT62" s="1">
        <v>0</v>
      </c>
      <c r="AU62" s="1" t="s">
        <v>489</v>
      </c>
      <c r="AV62" s="1" t="s">
        <v>988</v>
      </c>
      <c r="AW62" s="1">
        <v>0</v>
      </c>
      <c r="AX62" s="1">
        <v>0</v>
      </c>
      <c r="AY62" s="1">
        <v>0</v>
      </c>
      <c r="AZ62" s="1">
        <v>0</v>
      </c>
      <c r="BA62" s="1"/>
      <c r="BB62" s="1"/>
      <c r="BC62" s="1"/>
      <c r="BD62" s="1"/>
      <c r="BE62" s="1"/>
      <c r="BF62" s="1"/>
      <c r="BG62" s="1"/>
      <c r="BH62" s="1"/>
      <c r="BI62" s="1"/>
      <c r="BJ62" s="1"/>
      <c r="BK62" s="1" t="s">
        <v>427</v>
      </c>
      <c r="BL62" s="1"/>
      <c r="BM62" s="1" t="s">
        <v>734</v>
      </c>
      <c r="BN62" s="1"/>
      <c r="BO62" s="1"/>
      <c r="BP62" s="1" t="s">
        <v>386</v>
      </c>
      <c r="BQ62" s="1" t="s">
        <v>396</v>
      </c>
      <c r="BR62" s="1">
        <v>0</v>
      </c>
      <c r="BS62" s="1">
        <v>0</v>
      </c>
      <c r="BT62" s="1">
        <v>0</v>
      </c>
      <c r="BU62" s="1">
        <v>0</v>
      </c>
      <c r="BV62" s="1">
        <v>0</v>
      </c>
      <c r="BW62" s="1" t="s">
        <v>396</v>
      </c>
      <c r="BX62" s="1"/>
      <c r="BY62" s="1" t="s">
        <v>401</v>
      </c>
      <c r="BZ62" s="1">
        <v>0</v>
      </c>
      <c r="CA62" s="1">
        <v>0</v>
      </c>
      <c r="CB62" s="1">
        <v>0</v>
      </c>
      <c r="CC62" s="1">
        <v>0</v>
      </c>
      <c r="CD62" s="1">
        <v>0</v>
      </c>
    </row>
    <row r="63" spans="1:82" hidden="1">
      <c r="A63" s="1" t="s">
        <v>1036</v>
      </c>
      <c r="B63" s="1" t="str">
        <f>_xlfn.XLOOKUP(A:A,'Dados Elevatórias'!D:D,'Dados Elevatórias'!B:B)</f>
        <v>PL-RJB-EAT0109</v>
      </c>
      <c r="C63" s="1" t="str">
        <f>_xlfn.XLOOKUP(B:B,'Dados Elevatórias'!B:B,'Dados Elevatórias'!C:C)</f>
        <v>EAT</v>
      </c>
      <c r="D63" s="1" t="s">
        <v>373</v>
      </c>
      <c r="E63" s="1" t="s">
        <v>1037</v>
      </c>
      <c r="F63" s="1" t="s">
        <v>1038</v>
      </c>
      <c r="G63" s="1" t="s">
        <v>1039</v>
      </c>
      <c r="H63" s="1" t="str">
        <f>_xlfn.XLOOKUP(B:B,'Dados Elevatórias'!B:B,'Dados Elevatórias'!G:G)</f>
        <v>26143-500</v>
      </c>
      <c r="I63" s="1">
        <f>_xlfn.XLOOKUP(B63,COORDENADAS!A:A,COORDENADAS!B:B)</f>
        <v>-22.716799999999999</v>
      </c>
      <c r="J63" s="1">
        <f>_xlfn.XLOOKUP(B63,COORDENADAS!A:A,COORDENADAS!C:C)</f>
        <v>-43.427300000000002</v>
      </c>
      <c r="K63" s="1"/>
      <c r="L63" s="1" t="str">
        <f>_xlfn.XLOOKUP(A:A,'RELAÇÃO ANTIGA'!A:A,'RELAÇÃO ANTIGA'!J:J)</f>
        <v>INFORMAL</v>
      </c>
      <c r="M63" s="1">
        <v>1</v>
      </c>
      <c r="N63" s="1" t="s">
        <v>378</v>
      </c>
      <c r="O63" s="1" t="s">
        <v>445</v>
      </c>
      <c r="P63" s="1" t="s">
        <v>774</v>
      </c>
      <c r="Q63" s="1" t="s">
        <v>404</v>
      </c>
      <c r="R63" s="1" t="s">
        <v>405</v>
      </c>
      <c r="S63" s="1" t="s">
        <v>1040</v>
      </c>
      <c r="T63" s="1" t="s">
        <v>1041</v>
      </c>
      <c r="U63" s="1" t="s">
        <v>1042</v>
      </c>
      <c r="V63" s="1"/>
      <c r="W63" s="1"/>
      <c r="X63" s="1"/>
      <c r="Y63" s="1" t="s">
        <v>1043</v>
      </c>
      <c r="Z63" s="1"/>
      <c r="AA63" s="1">
        <v>2</v>
      </c>
      <c r="AB63" s="1"/>
      <c r="AC63" s="1" t="s">
        <v>455</v>
      </c>
      <c r="AD63" s="1" t="s">
        <v>386</v>
      </c>
      <c r="AE63" s="1"/>
      <c r="AF63" s="1"/>
      <c r="AG63" s="1"/>
      <c r="AH63" s="1"/>
      <c r="AI63" s="1"/>
      <c r="AJ63" s="1"/>
      <c r="AK63" s="1"/>
      <c r="AL63" s="1"/>
      <c r="AM63" s="1"/>
      <c r="AN63" s="1" t="str">
        <f>_xlfn.XLOOKUP('RELAÇÃO DE ELEVATÓRIAS'!A:A,'RELAÇÃO ANTIGA'!A:A,'RELAÇÃO ANTIGA'!AC:AC)</f>
        <v>220V</v>
      </c>
      <c r="AO63" s="1"/>
      <c r="AP63" s="1">
        <v>413269259</v>
      </c>
      <c r="AQ63" s="1">
        <v>5027615</v>
      </c>
      <c r="AR63" s="1">
        <v>0</v>
      </c>
      <c r="AS63" s="1" t="s">
        <v>1044</v>
      </c>
      <c r="AT63" s="1" t="s">
        <v>1045</v>
      </c>
      <c r="AU63" s="1" t="s">
        <v>988</v>
      </c>
      <c r="AV63" s="1" t="s">
        <v>988</v>
      </c>
      <c r="AW63" s="1">
        <v>0</v>
      </c>
      <c r="AX63" s="1">
        <v>0</v>
      </c>
      <c r="AY63" s="1">
        <v>0</v>
      </c>
      <c r="AZ63" s="1">
        <v>0</v>
      </c>
      <c r="BA63" s="1"/>
      <c r="BB63" s="1"/>
      <c r="BC63" s="1"/>
      <c r="BD63" s="1"/>
      <c r="BE63" s="1"/>
      <c r="BF63" s="1"/>
      <c r="BG63" s="1"/>
      <c r="BH63" s="1"/>
      <c r="BI63" s="1"/>
      <c r="BJ63" s="1" t="s">
        <v>1046</v>
      </c>
      <c r="BK63" s="1" t="s">
        <v>391</v>
      </c>
      <c r="BL63" s="1" t="s">
        <v>392</v>
      </c>
      <c r="BM63" s="1" t="s">
        <v>879</v>
      </c>
      <c r="BN63" s="1" t="s">
        <v>1047</v>
      </c>
      <c r="BO63" s="1" t="s">
        <v>1048</v>
      </c>
      <c r="BP63" s="1" t="s">
        <v>396</v>
      </c>
      <c r="BQ63" s="1"/>
      <c r="BR63" s="1" t="s">
        <v>491</v>
      </c>
      <c r="BS63" s="1" t="s">
        <v>952</v>
      </c>
      <c r="BT63" s="1">
        <v>0</v>
      </c>
      <c r="BU63" s="1">
        <v>0</v>
      </c>
      <c r="BV63" s="1">
        <v>0</v>
      </c>
      <c r="BW63" s="1" t="s">
        <v>396</v>
      </c>
      <c r="BX63" s="1"/>
      <c r="BY63" s="1" t="s">
        <v>401</v>
      </c>
      <c r="BZ63" s="1">
        <v>0</v>
      </c>
      <c r="CA63" s="1">
        <v>0</v>
      </c>
      <c r="CB63" s="1">
        <v>0</v>
      </c>
      <c r="CC63" s="1" t="s">
        <v>1049</v>
      </c>
      <c r="CD63" s="1" t="s">
        <v>1050</v>
      </c>
    </row>
    <row r="64" spans="1:82" hidden="1">
      <c r="A64" s="1" t="s">
        <v>1051</v>
      </c>
      <c r="B64" s="1" t="str">
        <f>_xlfn.XLOOKUP(A:A,'Dados Elevatórias'!D:D,'Dados Elevatórias'!B:B)</f>
        <v>PL-RJB-EAT0830</v>
      </c>
      <c r="C64" s="1" t="str">
        <f>_xlfn.XLOOKUP(B:B,'Dados Elevatórias'!B:B,'Dados Elevatórias'!C:C)</f>
        <v>EAT</v>
      </c>
      <c r="D64" s="1" t="s">
        <v>373</v>
      </c>
      <c r="E64" s="1" t="s">
        <v>1052</v>
      </c>
      <c r="F64" s="1" t="s">
        <v>1053</v>
      </c>
      <c r="G64" s="1" t="s">
        <v>443</v>
      </c>
      <c r="H64" s="1" t="str">
        <f>_xlfn.XLOOKUP(B:B,'Dados Elevatórias'!B:B,'Dados Elevatórias'!G:G)</f>
        <v>26381-429</v>
      </c>
      <c r="I64" s="1">
        <f>_xlfn.XLOOKUP(B64,COORDENADAS!A:A,COORDENADAS!B:B)</f>
        <v>-22.694299999999998</v>
      </c>
      <c r="J64" s="1">
        <f>_xlfn.XLOOKUP(B64,COORDENADAS!A:A,COORDENADAS!C:C)</f>
        <v>-43.557299999999998</v>
      </c>
      <c r="K64" s="1"/>
      <c r="L64" s="1" t="str">
        <f>_xlfn.XLOOKUP(A:A,'RELAÇÃO ANTIGA'!A:A,'RELAÇÃO ANTIGA'!J:J)</f>
        <v>Nova</v>
      </c>
      <c r="M64" s="1">
        <v>1</v>
      </c>
      <c r="N64" s="1" t="s">
        <v>378</v>
      </c>
      <c r="O64" s="1" t="s">
        <v>1054</v>
      </c>
      <c r="P64" s="1" t="s">
        <v>788</v>
      </c>
      <c r="Q64" s="1" t="s">
        <v>447</v>
      </c>
      <c r="R64" s="1" t="s">
        <v>832</v>
      </c>
      <c r="S64" s="1" t="s">
        <v>1055</v>
      </c>
      <c r="T64" s="1" t="s">
        <v>407</v>
      </c>
      <c r="U64" s="1" t="s">
        <v>1056</v>
      </c>
      <c r="V64" s="1"/>
      <c r="W64" s="1"/>
      <c r="X64" s="1" t="s">
        <v>1057</v>
      </c>
      <c r="Y64" s="1" t="s">
        <v>1058</v>
      </c>
      <c r="Z64" s="1" t="s">
        <v>975</v>
      </c>
      <c r="AA64" s="1">
        <v>2</v>
      </c>
      <c r="AB64" s="1" t="s">
        <v>1059</v>
      </c>
      <c r="AC64" s="1" t="s">
        <v>455</v>
      </c>
      <c r="AD64" s="1"/>
      <c r="AE64" s="1"/>
      <c r="AF64" s="1"/>
      <c r="AG64" s="1" t="s">
        <v>1060</v>
      </c>
      <c r="AH64" s="1"/>
      <c r="AI64" s="1"/>
      <c r="AJ64" s="1"/>
      <c r="AK64" s="1"/>
      <c r="AL64" s="1"/>
      <c r="AM64" s="1"/>
      <c r="AN64" s="1"/>
      <c r="AO64" s="1"/>
      <c r="AP64" s="1">
        <v>0</v>
      </c>
      <c r="AQ64" s="1">
        <v>0</v>
      </c>
      <c r="AR64" s="1">
        <v>0</v>
      </c>
      <c r="AS64" s="1">
        <v>0</v>
      </c>
      <c r="AT64" s="1">
        <v>0</v>
      </c>
      <c r="AU64" s="1">
        <v>0</v>
      </c>
      <c r="AV64" s="1">
        <v>0</v>
      </c>
      <c r="AW64" s="1">
        <v>0</v>
      </c>
      <c r="AX64" s="1">
        <v>0</v>
      </c>
      <c r="AY64" s="1">
        <v>0</v>
      </c>
      <c r="AZ64" s="1">
        <v>0</v>
      </c>
      <c r="BA64" s="1"/>
      <c r="BB64" s="1"/>
      <c r="BC64" s="1"/>
      <c r="BD64" s="1"/>
      <c r="BE64" s="1"/>
      <c r="BF64" s="1"/>
      <c r="BG64" s="1"/>
      <c r="BH64" s="1"/>
      <c r="BI64" s="1"/>
      <c r="BJ64" s="1"/>
      <c r="BK64" s="1" t="s">
        <v>391</v>
      </c>
      <c r="BL64" s="1"/>
      <c r="BM64" s="1"/>
      <c r="BN64" s="1"/>
      <c r="BO64" s="1"/>
      <c r="BP64" s="1" t="s">
        <v>396</v>
      </c>
      <c r="BQ64" s="1"/>
      <c r="BR64" s="1" t="s">
        <v>491</v>
      </c>
      <c r="BS64" s="1" t="s">
        <v>1061</v>
      </c>
      <c r="BT64" s="1">
        <v>0</v>
      </c>
      <c r="BU64" s="1">
        <v>0</v>
      </c>
      <c r="BV64" s="1">
        <v>0</v>
      </c>
      <c r="BW64" s="1"/>
      <c r="BX64" s="1"/>
      <c r="BY64" s="1">
        <v>0</v>
      </c>
      <c r="BZ64" s="1">
        <v>0</v>
      </c>
      <c r="CA64" s="1">
        <v>0</v>
      </c>
      <c r="CB64" s="1">
        <v>0</v>
      </c>
      <c r="CC64" s="1">
        <v>0</v>
      </c>
      <c r="CD64" s="1">
        <v>0</v>
      </c>
    </row>
    <row r="65" spans="1:83" hidden="1">
      <c r="A65" s="1" t="s">
        <v>1062</v>
      </c>
      <c r="B65" s="1" t="str">
        <f>_xlfn.XLOOKUP(A:A,'Dados Elevatórias'!D:D,'Dados Elevatórias'!B:B)</f>
        <v>PL-RJB-EAT0748</v>
      </c>
      <c r="C65" s="1" t="str">
        <f>_xlfn.XLOOKUP(B:B,'Dados Elevatórias'!B:B,'Dados Elevatórias'!C:C)</f>
        <v>EAT</v>
      </c>
      <c r="D65" s="1" t="s">
        <v>373</v>
      </c>
      <c r="E65" s="1" t="s">
        <v>1063</v>
      </c>
      <c r="F65" s="1" t="s">
        <v>1064</v>
      </c>
      <c r="G65" s="1" t="s">
        <v>443</v>
      </c>
      <c r="H65" s="1" t="str">
        <f>_xlfn.XLOOKUP(B:B,'Dados Elevatórias'!B:B,'Dados Elevatórias'!G:G)</f>
        <v>26340-250</v>
      </c>
      <c r="I65" s="1">
        <f>_xlfn.XLOOKUP(B65,COORDENADAS!A:A,COORDENADAS!B:B)</f>
        <v>-22.706800000000001</v>
      </c>
      <c r="J65" s="1">
        <f>_xlfn.XLOOKUP(B65,COORDENADAS!A:A,COORDENADAS!C:C)</f>
        <v>-43.535699999999999</v>
      </c>
      <c r="K65" s="1"/>
      <c r="L65" s="1" t="s">
        <v>444</v>
      </c>
      <c r="M65" s="1">
        <v>1</v>
      </c>
      <c r="N65" s="1" t="s">
        <v>378</v>
      </c>
      <c r="O65" s="1"/>
      <c r="P65" s="1"/>
      <c r="Q65" s="1"/>
      <c r="R65" s="1"/>
      <c r="S65" s="1" t="s">
        <v>992</v>
      </c>
      <c r="T65" s="1"/>
      <c r="U65" s="1"/>
      <c r="V65" s="1"/>
      <c r="W65" s="1"/>
      <c r="X65" s="1"/>
      <c r="Y65" s="1" t="s">
        <v>992</v>
      </c>
      <c r="Z65" s="1"/>
      <c r="AA65" s="1"/>
      <c r="AB65" s="1"/>
      <c r="AC65" s="1" t="s">
        <v>727</v>
      </c>
      <c r="AD65" s="1"/>
      <c r="AE65" s="1"/>
      <c r="AF65" s="1"/>
      <c r="AG65" s="1"/>
      <c r="AH65" s="1"/>
      <c r="AI65" s="1"/>
      <c r="AJ65" s="1"/>
      <c r="AK65" s="1"/>
      <c r="AL65" s="1"/>
      <c r="AM65" s="1"/>
      <c r="AN65" s="1" t="s">
        <v>433</v>
      </c>
      <c r="AO65" s="1"/>
      <c r="AP65" s="1">
        <v>0</v>
      </c>
      <c r="AQ65" s="1">
        <v>0</v>
      </c>
      <c r="AR65" s="1">
        <v>0</v>
      </c>
      <c r="AS65" s="1">
        <v>0</v>
      </c>
      <c r="AT65" s="1">
        <v>0</v>
      </c>
      <c r="AU65" s="1" t="s">
        <v>489</v>
      </c>
      <c r="AV65" s="1" t="s">
        <v>489</v>
      </c>
      <c r="AW65" s="1">
        <v>0</v>
      </c>
      <c r="AX65" s="1">
        <v>0</v>
      </c>
      <c r="AY65" s="1">
        <v>0</v>
      </c>
      <c r="AZ65" s="1">
        <v>0</v>
      </c>
      <c r="BA65" s="1"/>
      <c r="BB65" s="1"/>
      <c r="BC65" s="1"/>
      <c r="BD65" s="1"/>
      <c r="BE65" s="1"/>
      <c r="BF65" s="1"/>
      <c r="BG65" s="1"/>
      <c r="BH65" s="1"/>
      <c r="BI65" s="1"/>
      <c r="BJ65" s="1" t="s">
        <v>1065</v>
      </c>
      <c r="BK65" s="1" t="s">
        <v>427</v>
      </c>
      <c r="BL65" s="1" t="s">
        <v>404</v>
      </c>
      <c r="BM65" s="1" t="s">
        <v>734</v>
      </c>
      <c r="BN65" s="1"/>
      <c r="BO65" s="1" t="s">
        <v>1066</v>
      </c>
      <c r="BP65" s="1" t="s">
        <v>386</v>
      </c>
      <c r="BQ65" s="1"/>
      <c r="BR65" s="1">
        <v>0</v>
      </c>
      <c r="BS65" s="1">
        <v>0</v>
      </c>
      <c r="BT65" s="1">
        <v>0</v>
      </c>
      <c r="BU65" s="1">
        <v>0</v>
      </c>
      <c r="BV65" s="1">
        <v>0</v>
      </c>
      <c r="BW65" s="1" t="s">
        <v>396</v>
      </c>
      <c r="BX65" s="1"/>
      <c r="BY65" s="1" t="s">
        <v>401</v>
      </c>
      <c r="BZ65" s="1">
        <v>0</v>
      </c>
      <c r="CA65" s="1">
        <v>0</v>
      </c>
      <c r="CB65" s="1">
        <v>0</v>
      </c>
      <c r="CC65" s="1">
        <v>0</v>
      </c>
      <c r="CD65" s="1">
        <v>0</v>
      </c>
    </row>
    <row r="66" spans="1:83" s="93" customFormat="1" hidden="1">
      <c r="A66" s="1" t="s">
        <v>1067</v>
      </c>
      <c r="B66" s="1" t="str">
        <f>_xlfn.XLOOKUP(A:A,'Dados Elevatórias'!D:D,'Dados Elevatórias'!B:B)</f>
        <v>PL-RJB-EAT0053</v>
      </c>
      <c r="C66" s="1" t="str">
        <f>_xlfn.XLOOKUP(B:B,'Dados Elevatórias'!B:B,'Dados Elevatórias'!C:C)</f>
        <v>EAT</v>
      </c>
      <c r="D66" s="1" t="s">
        <v>373</v>
      </c>
      <c r="E66" s="1" t="s">
        <v>1068</v>
      </c>
      <c r="F66" s="1" t="s">
        <v>1069</v>
      </c>
      <c r="G66" s="1" t="s">
        <v>605</v>
      </c>
      <c r="H66" s="1" t="str">
        <f>_xlfn.XLOOKUP(B:B,'Dados Elevatórias'!B:B,'Dados Elevatórias'!G:G)</f>
        <v>26574-770</v>
      </c>
      <c r="I66" s="1">
        <f>_xlfn.XLOOKUP(B66,COORDENADAS!A:A,COORDENADAS!B:B)</f>
        <v>-22.7788</v>
      </c>
      <c r="J66" s="1">
        <f>_xlfn.XLOOKUP(B66,COORDENADAS!A:A,COORDENADAS!C:C)</f>
        <v>-43.412199999999999</v>
      </c>
      <c r="K66" s="1"/>
      <c r="L66" s="1" t="str">
        <f>_xlfn.XLOOKUP(A:A,'RELAÇÃO ANTIGA'!A:A,'RELAÇÃO ANTIGA'!J:J)</f>
        <v>INFORMAL</v>
      </c>
      <c r="M66" s="1">
        <v>1</v>
      </c>
      <c r="N66" s="1" t="s">
        <v>378</v>
      </c>
      <c r="O66" s="1" t="s">
        <v>1070</v>
      </c>
      <c r="P66" s="1" t="s">
        <v>814</v>
      </c>
      <c r="Q66" s="1"/>
      <c r="R66" s="1"/>
      <c r="S66" s="1" t="s">
        <v>993</v>
      </c>
      <c r="T66" s="1"/>
      <c r="U66" s="1"/>
      <c r="V66" s="1"/>
      <c r="W66" s="1"/>
      <c r="X66" s="1"/>
      <c r="Y66" s="1" t="s">
        <v>992</v>
      </c>
      <c r="Z66" s="1"/>
      <c r="AA66" s="1"/>
      <c r="AB66" s="1"/>
      <c r="AC66" s="1" t="s">
        <v>727</v>
      </c>
      <c r="AD66" s="1"/>
      <c r="AE66" s="1"/>
      <c r="AF66" s="1"/>
      <c r="AG66" s="1"/>
      <c r="AH66" s="1"/>
      <c r="AI66" s="1"/>
      <c r="AJ66" s="1"/>
      <c r="AK66" s="1"/>
      <c r="AL66" s="1"/>
      <c r="AM66" s="1"/>
      <c r="AN66" s="1" t="str">
        <f>_xlfn.XLOOKUP('RELAÇÃO DE ELEVATÓRIAS'!A:A,'RELAÇÃO ANTIGA'!A:A,'RELAÇÃO ANTIGA'!AC:AC)</f>
        <v>220V</v>
      </c>
      <c r="AO66" s="1"/>
      <c r="AP66" s="1">
        <v>421142751</v>
      </c>
      <c r="AQ66" s="1">
        <v>8541558</v>
      </c>
      <c r="AR66" s="1">
        <v>0</v>
      </c>
      <c r="AS66" s="1" t="s">
        <v>1071</v>
      </c>
      <c r="AT66" s="1" t="s">
        <v>1072</v>
      </c>
      <c r="AU66" s="1" t="s">
        <v>489</v>
      </c>
      <c r="AV66" s="1" t="s">
        <v>489</v>
      </c>
      <c r="AW66" s="1">
        <v>0</v>
      </c>
      <c r="AX66" s="1">
        <v>0</v>
      </c>
      <c r="AY66" s="1">
        <v>2860</v>
      </c>
      <c r="AZ66" s="1">
        <v>0</v>
      </c>
      <c r="BA66" s="1"/>
      <c r="BB66" s="1"/>
      <c r="BC66" s="1"/>
      <c r="BD66" s="1"/>
      <c r="BE66" s="1"/>
      <c r="BF66" s="1"/>
      <c r="BG66" s="1"/>
      <c r="BH66" s="1"/>
      <c r="BI66" s="1"/>
      <c r="BJ66" s="1"/>
      <c r="BK66" s="1" t="s">
        <v>427</v>
      </c>
      <c r="BL66" s="1" t="s">
        <v>404</v>
      </c>
      <c r="BM66" s="1" t="s">
        <v>734</v>
      </c>
      <c r="BN66" s="1"/>
      <c r="BO66" s="1"/>
      <c r="BP66" s="1" t="s">
        <v>386</v>
      </c>
      <c r="BQ66" s="1"/>
      <c r="BR66" s="1">
        <v>0</v>
      </c>
      <c r="BS66" s="1">
        <v>0</v>
      </c>
      <c r="BT66" s="1">
        <v>0</v>
      </c>
      <c r="BU66" s="1">
        <v>0</v>
      </c>
      <c r="BV66" s="1">
        <v>0</v>
      </c>
      <c r="BW66" s="1" t="s">
        <v>396</v>
      </c>
      <c r="BX66" s="1"/>
      <c r="BY66" s="1" t="s">
        <v>401</v>
      </c>
      <c r="BZ66" s="1">
        <v>12.4</v>
      </c>
      <c r="CA66" s="1">
        <v>37</v>
      </c>
      <c r="CB66" s="1">
        <v>0</v>
      </c>
      <c r="CC66" s="1" t="s">
        <v>1067</v>
      </c>
      <c r="CD66" s="1">
        <v>0</v>
      </c>
      <c r="CE66"/>
    </row>
    <row r="67" spans="1:83" hidden="1">
      <c r="A67" s="1" t="s">
        <v>1073</v>
      </c>
      <c r="B67" s="1" t="str">
        <f>_xlfn.XLOOKUP(A:A,'Dados Elevatórias'!D:D,'Dados Elevatórias'!B:B)</f>
        <v>PL-RJB-EAT0694</v>
      </c>
      <c r="C67" s="1" t="str">
        <f>_xlfn.XLOOKUP(B:B,'Dados Elevatórias'!B:B,'Dados Elevatórias'!C:C)</f>
        <v>EAT</v>
      </c>
      <c r="D67" s="1" t="s">
        <v>373</v>
      </c>
      <c r="E67" s="1" t="s">
        <v>1074</v>
      </c>
      <c r="F67" s="1" t="s">
        <v>1075</v>
      </c>
      <c r="G67" s="1" t="s">
        <v>443</v>
      </c>
      <c r="H67" s="1" t="str">
        <f>_xlfn.XLOOKUP(B:B,'Dados Elevatórias'!B:B,'Dados Elevatórias'!G:G)</f>
        <v>26325-030</v>
      </c>
      <c r="I67" s="1">
        <f>_xlfn.XLOOKUP(B67,COORDENADAS!A:A,COORDENADAS!B:B)</f>
        <v>-22.7254</v>
      </c>
      <c r="J67" s="1">
        <f>_xlfn.XLOOKUP(B67,COORDENADAS!A:A,COORDENADAS!C:C)</f>
        <v>-43.554299999999998</v>
      </c>
      <c r="K67" s="1"/>
      <c r="L67" s="1" t="str">
        <f>_xlfn.XLOOKUP(A:A,'RELAÇÃO ANTIGA'!A:A,'RELAÇÃO ANTIGA'!J:J)</f>
        <v>INFORMAL</v>
      </c>
      <c r="M67" s="1">
        <v>1</v>
      </c>
      <c r="N67" s="1" t="s">
        <v>378</v>
      </c>
      <c r="O67" s="1" t="s">
        <v>813</v>
      </c>
      <c r="P67" s="1"/>
      <c r="Q67" s="1" t="s">
        <v>404</v>
      </c>
      <c r="R67" s="1"/>
      <c r="S67" s="1" t="s">
        <v>1076</v>
      </c>
      <c r="T67" s="1" t="s">
        <v>407</v>
      </c>
      <c r="U67" s="1"/>
      <c r="V67" s="1"/>
      <c r="W67" s="1"/>
      <c r="X67" s="1"/>
      <c r="Y67" s="1" t="s">
        <v>1077</v>
      </c>
      <c r="Z67" s="1"/>
      <c r="AA67" s="1"/>
      <c r="AB67" s="1"/>
      <c r="AC67" s="1" t="s">
        <v>432</v>
      </c>
      <c r="AD67" s="1"/>
      <c r="AE67" s="1"/>
      <c r="AF67" s="1"/>
      <c r="AG67" s="1"/>
      <c r="AH67" s="1"/>
      <c r="AI67" s="1"/>
      <c r="AJ67" s="1"/>
      <c r="AK67" s="1"/>
      <c r="AL67" s="1"/>
      <c r="AM67" s="1"/>
      <c r="AN67" s="1" t="str">
        <f>_xlfn.XLOOKUP('RELAÇÃO DE ELEVATÓRIAS'!A:A,'RELAÇÃO ANTIGA'!A:A,'RELAÇÃO ANTIGA'!AC:AC)</f>
        <v>220V</v>
      </c>
      <c r="AO67" s="1"/>
      <c r="AP67" s="1">
        <v>0</v>
      </c>
      <c r="AQ67" s="1">
        <v>0</v>
      </c>
      <c r="AR67" s="1">
        <v>0</v>
      </c>
      <c r="AS67" s="1">
        <v>0</v>
      </c>
      <c r="AT67" s="1">
        <v>0</v>
      </c>
      <c r="AU67" s="1" t="s">
        <v>669</v>
      </c>
      <c r="AV67" s="1" t="s">
        <v>669</v>
      </c>
      <c r="AW67" s="1">
        <v>0</v>
      </c>
      <c r="AX67" s="1">
        <v>0</v>
      </c>
      <c r="AY67" s="1">
        <v>0</v>
      </c>
      <c r="AZ67" s="1">
        <v>0</v>
      </c>
      <c r="BA67" s="1"/>
      <c r="BB67" s="1"/>
      <c r="BC67" s="1"/>
      <c r="BD67" s="1"/>
      <c r="BE67" s="1"/>
      <c r="BF67" s="1"/>
      <c r="BG67" s="1"/>
      <c r="BH67" s="1"/>
      <c r="BI67" s="1"/>
      <c r="BJ67" s="1"/>
      <c r="BK67" s="1" t="s">
        <v>437</v>
      </c>
      <c r="BL67" s="1"/>
      <c r="BM67" s="1"/>
      <c r="BN67" s="1"/>
      <c r="BO67" s="1"/>
      <c r="BP67" s="1" t="s">
        <v>386</v>
      </c>
      <c r="BQ67" s="1"/>
      <c r="BR67" s="1">
        <v>0</v>
      </c>
      <c r="BS67" s="1">
        <v>0</v>
      </c>
      <c r="BT67" s="1">
        <v>0</v>
      </c>
      <c r="BU67" s="1">
        <v>0</v>
      </c>
      <c r="BV67" s="1">
        <v>0</v>
      </c>
      <c r="BW67" s="1" t="s">
        <v>396</v>
      </c>
      <c r="BX67" s="1"/>
      <c r="BY67" s="1" t="s">
        <v>401</v>
      </c>
      <c r="BZ67" s="1">
        <v>0</v>
      </c>
      <c r="CA67" s="1">
        <v>0</v>
      </c>
      <c r="CB67" s="1">
        <v>0</v>
      </c>
      <c r="CC67" s="1">
        <v>0</v>
      </c>
      <c r="CD67" s="1">
        <v>0</v>
      </c>
    </row>
    <row r="68" spans="1:83" hidden="1">
      <c r="A68" s="1" t="s">
        <v>1078</v>
      </c>
      <c r="B68" s="1" t="str">
        <f>_xlfn.XLOOKUP(A:A,'Dados Elevatórias'!D:D,'Dados Elevatórias'!B:B)</f>
        <v>PL-RJB-EEE0082</v>
      </c>
      <c r="C68" s="1" t="str">
        <f>_xlfn.XLOOKUP(B:B,'Dados Elevatórias'!B:B,'Dados Elevatórias'!C:C)</f>
        <v>EEE</v>
      </c>
      <c r="D68" s="1" t="s">
        <v>373</v>
      </c>
      <c r="E68" s="1" t="s">
        <v>1079</v>
      </c>
      <c r="F68" s="1" t="s">
        <v>1080</v>
      </c>
      <c r="G68" s="1" t="s">
        <v>421</v>
      </c>
      <c r="H68" s="1" t="str">
        <f>_xlfn.XLOOKUP(B:B,'Dados Elevatórias'!B:B,'Dados Elevatórias'!G:G)</f>
        <v>26296-099</v>
      </c>
      <c r="I68" s="1">
        <f>_xlfn.XLOOKUP(B68,COORDENADAS!A:A,COORDENADAS!B:B)</f>
        <v>-22.796199999999999</v>
      </c>
      <c r="J68" s="1">
        <f>_xlfn.XLOOKUP(B68,COORDENADAS!A:A,COORDENADAS!C:C)</f>
        <v>-43.591200000000001</v>
      </c>
      <c r="K68" s="1"/>
      <c r="L68" s="1"/>
      <c r="M68" s="1">
        <v>1</v>
      </c>
      <c r="N68" s="1" t="s">
        <v>378</v>
      </c>
      <c r="O68" s="1"/>
      <c r="P68" s="1" t="s">
        <v>1081</v>
      </c>
      <c r="Q68" s="1"/>
      <c r="R68" s="1"/>
      <c r="S68" s="1" t="s">
        <v>993</v>
      </c>
      <c r="T68" s="1"/>
      <c r="U68" s="1"/>
      <c r="V68" s="1"/>
      <c r="W68" s="1"/>
      <c r="X68" s="1" t="s">
        <v>1082</v>
      </c>
      <c r="Y68" s="1" t="s">
        <v>1083</v>
      </c>
      <c r="Z68" s="1"/>
      <c r="AA68" s="1"/>
      <c r="AB68" s="1"/>
      <c r="AC68" s="1" t="s">
        <v>455</v>
      </c>
      <c r="AD68" s="1"/>
      <c r="AE68" s="1"/>
      <c r="AF68" s="1"/>
      <c r="AG68" s="1"/>
      <c r="AH68" s="1"/>
      <c r="AI68" s="1" t="s">
        <v>1084</v>
      </c>
      <c r="AJ68" s="1" t="s">
        <v>1085</v>
      </c>
      <c r="AK68" s="1"/>
      <c r="AL68" s="1"/>
      <c r="AM68" s="1"/>
      <c r="AN68" s="1" t="s">
        <v>638</v>
      </c>
      <c r="AO68" s="1" t="s">
        <v>638</v>
      </c>
      <c r="AP68" s="1">
        <v>0</v>
      </c>
      <c r="AQ68" s="1">
        <v>0</v>
      </c>
      <c r="AR68" s="1">
        <v>0</v>
      </c>
      <c r="AS68" s="1">
        <v>0</v>
      </c>
      <c r="AT68" s="1">
        <v>0</v>
      </c>
      <c r="AU68" s="1">
        <v>0</v>
      </c>
      <c r="AV68" s="1">
        <v>0</v>
      </c>
      <c r="AW68" s="1">
        <v>0</v>
      </c>
      <c r="AX68" s="1">
        <v>0</v>
      </c>
      <c r="AY68" s="1">
        <v>0</v>
      </c>
      <c r="AZ68" s="1">
        <v>0</v>
      </c>
      <c r="BA68" s="1"/>
      <c r="BB68" s="1"/>
      <c r="BC68" s="1"/>
      <c r="BD68" s="1"/>
      <c r="BE68" s="1"/>
      <c r="BF68" s="1"/>
      <c r="BG68" s="1"/>
      <c r="BH68" s="1"/>
      <c r="BI68" s="1"/>
      <c r="BJ68" s="1"/>
      <c r="BK68" s="1" t="s">
        <v>427</v>
      </c>
      <c r="BL68" s="1"/>
      <c r="BM68" s="1"/>
      <c r="BN68" s="1"/>
      <c r="BO68" s="1"/>
      <c r="BP68" s="1" t="s">
        <v>386</v>
      </c>
      <c r="BQ68" s="1"/>
      <c r="BR68" s="1">
        <v>0</v>
      </c>
      <c r="BS68" s="1">
        <v>0</v>
      </c>
      <c r="BT68" s="1">
        <v>0</v>
      </c>
      <c r="BU68" s="1">
        <v>0</v>
      </c>
      <c r="BV68" s="1">
        <v>0</v>
      </c>
      <c r="BW68" s="1"/>
      <c r="BX68" s="1"/>
      <c r="BY68" s="1">
        <v>0</v>
      </c>
      <c r="BZ68" s="1">
        <v>0</v>
      </c>
      <c r="CA68" s="1">
        <v>0</v>
      </c>
      <c r="CB68" s="1">
        <v>0</v>
      </c>
      <c r="CC68" s="1">
        <v>0</v>
      </c>
      <c r="CD68" s="1">
        <v>0</v>
      </c>
    </row>
    <row r="69" spans="1:83" hidden="1">
      <c r="A69" s="1" t="s">
        <v>1086</v>
      </c>
      <c r="B69" s="1" t="str">
        <f>_xlfn.XLOOKUP(A:A,'Dados Elevatórias'!D:D,'Dados Elevatórias'!B:B)</f>
        <v>PL-RJB-EEE0083</v>
      </c>
      <c r="C69" s="1" t="str">
        <f>_xlfn.XLOOKUP(B:B,'Dados Elevatórias'!B:B,'Dados Elevatórias'!C:C)</f>
        <v>EEE</v>
      </c>
      <c r="D69" s="1" t="s">
        <v>373</v>
      </c>
      <c r="E69" s="1" t="s">
        <v>1087</v>
      </c>
      <c r="F69" s="1" t="s">
        <v>1080</v>
      </c>
      <c r="G69" s="1" t="s">
        <v>421</v>
      </c>
      <c r="H69" s="1">
        <f>_xlfn.XLOOKUP(B:B,'Dados Elevatórias'!B:B,'Dados Elevatórias'!G:G)</f>
        <v>0</v>
      </c>
      <c r="I69" s="1">
        <f>_xlfn.XLOOKUP(B69,COORDENADAS!A:A,COORDENADAS!B:B)</f>
        <v>-22.802700000000002</v>
      </c>
      <c r="J69" s="1">
        <f>_xlfn.XLOOKUP(B69,COORDENADAS!A:A,COORDENADAS!C:C)</f>
        <v>-43.5901</v>
      </c>
      <c r="K69" s="1"/>
      <c r="L69" s="1"/>
      <c r="M69" s="1">
        <v>1</v>
      </c>
      <c r="N69" s="1" t="s">
        <v>378</v>
      </c>
      <c r="O69" s="1" t="s">
        <v>1088</v>
      </c>
      <c r="P69" s="1" t="s">
        <v>1081</v>
      </c>
      <c r="Q69" s="1" t="s">
        <v>1089</v>
      </c>
      <c r="R69" s="1"/>
      <c r="S69" s="1" t="s">
        <v>1090</v>
      </c>
      <c r="T69" s="1" t="s">
        <v>433</v>
      </c>
      <c r="U69" s="1" t="s">
        <v>1091</v>
      </c>
      <c r="V69" s="1"/>
      <c r="W69" s="1"/>
      <c r="X69" s="1" t="s">
        <v>1092</v>
      </c>
      <c r="Y69" s="1" t="s">
        <v>1090</v>
      </c>
      <c r="Z69" s="1" t="s">
        <v>1093</v>
      </c>
      <c r="AA69" s="1"/>
      <c r="AB69" s="1"/>
      <c r="AC69" s="1" t="s">
        <v>455</v>
      </c>
      <c r="AD69" s="1"/>
      <c r="AE69" s="1"/>
      <c r="AF69" s="1" t="s">
        <v>728</v>
      </c>
      <c r="AG69" s="1"/>
      <c r="AH69" s="1" t="s">
        <v>424</v>
      </c>
      <c r="AI69" s="1" t="s">
        <v>1094</v>
      </c>
      <c r="AJ69" s="1" t="s">
        <v>1095</v>
      </c>
      <c r="AK69" s="1"/>
      <c r="AL69" s="1"/>
      <c r="AM69" s="1">
        <v>5539980</v>
      </c>
      <c r="AN69" s="1" t="s">
        <v>638</v>
      </c>
      <c r="AO69" s="1" t="s">
        <v>638</v>
      </c>
      <c r="AP69" s="1">
        <v>0</v>
      </c>
      <c r="AQ69" s="1">
        <v>0</v>
      </c>
      <c r="AR69" s="1">
        <v>0</v>
      </c>
      <c r="AS69" s="1">
        <v>0</v>
      </c>
      <c r="AT69" s="1">
        <v>0</v>
      </c>
      <c r="AU69" s="1">
        <v>0</v>
      </c>
      <c r="AV69" s="1">
        <v>0</v>
      </c>
      <c r="AW69" s="1">
        <v>0</v>
      </c>
      <c r="AX69" s="1">
        <v>0</v>
      </c>
      <c r="AY69" s="1">
        <v>0</v>
      </c>
      <c r="AZ69" s="1">
        <v>0</v>
      </c>
      <c r="BA69" s="1"/>
      <c r="BB69" s="1"/>
      <c r="BC69" s="1"/>
      <c r="BD69" s="1"/>
      <c r="BE69" s="1"/>
      <c r="BF69" s="1"/>
      <c r="BG69" s="1"/>
      <c r="BH69" s="1"/>
      <c r="BI69" s="1"/>
      <c r="BJ69" s="1"/>
      <c r="BK69" s="1" t="s">
        <v>427</v>
      </c>
      <c r="BL69" s="1"/>
      <c r="BM69" s="1"/>
      <c r="BN69" s="1"/>
      <c r="BO69" s="1"/>
      <c r="BP69" s="1" t="s">
        <v>386</v>
      </c>
      <c r="BQ69" s="1"/>
      <c r="BR69" s="1">
        <v>0</v>
      </c>
      <c r="BS69" s="1">
        <v>0</v>
      </c>
      <c r="BT69" s="1">
        <v>0</v>
      </c>
      <c r="BU69" s="1">
        <v>0</v>
      </c>
      <c r="BV69" s="1">
        <v>0</v>
      </c>
      <c r="BW69" s="1"/>
      <c r="BX69" s="1"/>
      <c r="BY69" s="1">
        <v>0</v>
      </c>
      <c r="BZ69" s="1">
        <v>0</v>
      </c>
      <c r="CA69" s="1">
        <v>0</v>
      </c>
      <c r="CB69" s="1">
        <v>0</v>
      </c>
      <c r="CC69" s="1">
        <v>0</v>
      </c>
      <c r="CD69" s="1">
        <v>0</v>
      </c>
    </row>
    <row r="70" spans="1:83" hidden="1">
      <c r="A70" s="1" t="s">
        <v>1096</v>
      </c>
      <c r="B70" s="1" t="str">
        <f>_xlfn.XLOOKUP(A:A,'Dados Elevatórias'!D:D,'Dados Elevatórias'!B:B)</f>
        <v>PL-RJB-EAT0046</v>
      </c>
      <c r="C70" s="1" t="str">
        <f>_xlfn.XLOOKUP(B:B,'Dados Elevatórias'!B:B,'Dados Elevatórias'!C:C)</f>
        <v>EAT</v>
      </c>
      <c r="D70" s="1" t="s">
        <v>373</v>
      </c>
      <c r="E70" s="1" t="s">
        <v>1097</v>
      </c>
      <c r="F70" s="1" t="s">
        <v>1098</v>
      </c>
      <c r="G70" s="1" t="s">
        <v>605</v>
      </c>
      <c r="H70" s="1" t="str">
        <f>_xlfn.XLOOKUP(B:B,'Dados Elevatórias'!B:B,'Dados Elevatórias'!G:G)</f>
        <v>26551-200</v>
      </c>
      <c r="I70" s="1">
        <f>_xlfn.XLOOKUP(B70,COORDENADAS!A:A,COORDENADAS!B:B)</f>
        <v>-22.779199999999999</v>
      </c>
      <c r="J70" s="1">
        <f>_xlfn.XLOOKUP(B70,COORDENADAS!A:A,COORDENADAS!C:C)</f>
        <v>-43.424700000000001</v>
      </c>
      <c r="K70" s="1"/>
      <c r="L70" s="1" t="str">
        <f>_xlfn.XLOOKUP(A:A,'RELAÇÃO ANTIGA'!A:A,'RELAÇÃO ANTIGA'!J:J)</f>
        <v>FORMAL</v>
      </c>
      <c r="M70" s="1">
        <v>1</v>
      </c>
      <c r="N70" s="1" t="s">
        <v>378</v>
      </c>
      <c r="O70" s="1" t="s">
        <v>1099</v>
      </c>
      <c r="P70" s="1" t="s">
        <v>1100</v>
      </c>
      <c r="Q70" s="1"/>
      <c r="R70" s="1"/>
      <c r="S70" s="1" t="s">
        <v>993</v>
      </c>
      <c r="T70" s="1" t="s">
        <v>433</v>
      </c>
      <c r="U70" s="1" t="s">
        <v>1101</v>
      </c>
      <c r="V70" s="1"/>
      <c r="W70" s="1"/>
      <c r="X70" s="1"/>
      <c r="Y70" s="1" t="s">
        <v>1102</v>
      </c>
      <c r="Z70" s="1"/>
      <c r="AA70" s="1">
        <v>2</v>
      </c>
      <c r="AB70" s="1"/>
      <c r="AC70" s="1" t="s">
        <v>727</v>
      </c>
      <c r="AD70" s="1"/>
      <c r="AE70" s="1"/>
      <c r="AF70" s="1"/>
      <c r="AG70" s="1"/>
      <c r="AH70" s="1"/>
      <c r="AI70" s="1"/>
      <c r="AJ70" s="1"/>
      <c r="AK70" s="1"/>
      <c r="AL70" s="1"/>
      <c r="AM70" s="1"/>
      <c r="AN70" s="1" t="str">
        <f>_xlfn.XLOOKUP('RELAÇÃO DE ELEVATÓRIAS'!A:A,'RELAÇÃO ANTIGA'!A:A,'RELAÇÃO ANTIGA'!AC:AC)</f>
        <v>220V</v>
      </c>
      <c r="AO70" s="1"/>
      <c r="AP70" s="1">
        <v>420187783</v>
      </c>
      <c r="AQ70" s="1">
        <v>6144582</v>
      </c>
      <c r="AR70" s="1">
        <v>0</v>
      </c>
      <c r="AS70" s="1" t="s">
        <v>1103</v>
      </c>
      <c r="AT70" s="1" t="s">
        <v>1104</v>
      </c>
      <c r="AU70" s="1" t="s">
        <v>489</v>
      </c>
      <c r="AV70" s="1" t="s">
        <v>489</v>
      </c>
      <c r="AW70" s="1">
        <v>0</v>
      </c>
      <c r="AX70" s="1">
        <v>0</v>
      </c>
      <c r="AY70" s="1">
        <v>0</v>
      </c>
      <c r="AZ70" s="1">
        <v>0</v>
      </c>
      <c r="BA70" s="1"/>
      <c r="BB70" s="1"/>
      <c r="BC70" s="1"/>
      <c r="BD70" s="1"/>
      <c r="BE70" s="1"/>
      <c r="BF70" s="1"/>
      <c r="BG70" s="1"/>
      <c r="BH70" s="1"/>
      <c r="BI70" s="1"/>
      <c r="BJ70" s="1"/>
      <c r="BK70" s="1" t="s">
        <v>437</v>
      </c>
      <c r="BL70" s="1"/>
      <c r="BM70" s="1"/>
      <c r="BN70" s="1"/>
      <c r="BO70" s="1"/>
      <c r="BP70" s="1" t="s">
        <v>386</v>
      </c>
      <c r="BQ70" s="1"/>
      <c r="BR70" s="1">
        <v>0</v>
      </c>
      <c r="BS70" s="1">
        <v>0</v>
      </c>
      <c r="BT70" s="1">
        <v>0</v>
      </c>
      <c r="BU70" s="1">
        <v>0</v>
      </c>
      <c r="BV70" s="1">
        <v>0</v>
      </c>
      <c r="BW70" s="1" t="s">
        <v>396</v>
      </c>
      <c r="BX70" s="1"/>
      <c r="BY70" s="1" t="s">
        <v>401</v>
      </c>
      <c r="BZ70" s="1">
        <v>0</v>
      </c>
      <c r="CA70" s="1">
        <v>0</v>
      </c>
      <c r="CB70" s="1">
        <v>0</v>
      </c>
      <c r="CC70" s="1">
        <v>0</v>
      </c>
      <c r="CD70" s="1">
        <v>0</v>
      </c>
    </row>
    <row r="71" spans="1:83" hidden="1">
      <c r="A71" s="1" t="s">
        <v>1105</v>
      </c>
      <c r="B71" s="1" t="str">
        <f>_xlfn.XLOOKUP(A:A,'Dados Elevatórias'!D:D,'Dados Elevatórias'!B:B)</f>
        <v>PL-RJB-EAT0045</v>
      </c>
      <c r="C71" s="1" t="str">
        <f>_xlfn.XLOOKUP(B:B,'Dados Elevatórias'!B:B,'Dados Elevatórias'!C:C)</f>
        <v>EAT</v>
      </c>
      <c r="D71" s="1" t="s">
        <v>373</v>
      </c>
      <c r="E71" s="1" t="s">
        <v>1106</v>
      </c>
      <c r="F71" s="1" t="s">
        <v>1107</v>
      </c>
      <c r="G71" s="1" t="s">
        <v>421</v>
      </c>
      <c r="H71" s="1">
        <f>_xlfn.XLOOKUP(B:B,'Dados Elevatórias'!B:B,'Dados Elevatórias'!G:G)</f>
        <v>0</v>
      </c>
      <c r="I71" s="1">
        <f>_xlfn.XLOOKUP(B71,COORDENADAS!A:A,COORDENADAS!B:B)</f>
        <v>-22.719000000000001</v>
      </c>
      <c r="J71" s="1">
        <f>_xlfn.XLOOKUP(B71,COORDENADAS!A:A,COORDENADAS!C:C)</f>
        <v>-43.5184</v>
      </c>
      <c r="K71" s="1"/>
      <c r="L71" s="1"/>
      <c r="M71" s="1">
        <v>1</v>
      </c>
      <c r="N71" s="1" t="s">
        <v>378</v>
      </c>
      <c r="O71" s="1" t="s">
        <v>1108</v>
      </c>
      <c r="P71" s="1"/>
      <c r="Q71" s="1"/>
      <c r="R71" s="1"/>
      <c r="S71" s="1" t="s">
        <v>1109</v>
      </c>
      <c r="T71" s="1"/>
      <c r="U71" s="1"/>
      <c r="V71" s="1"/>
      <c r="W71" s="1"/>
      <c r="X71" s="1"/>
      <c r="Y71" s="1" t="s">
        <v>1110</v>
      </c>
      <c r="Z71" s="1"/>
      <c r="AA71" s="1"/>
      <c r="AB71" s="1"/>
      <c r="AC71" s="1" t="s">
        <v>410</v>
      </c>
      <c r="AD71" s="1"/>
      <c r="AE71" s="1"/>
      <c r="AF71" s="1"/>
      <c r="AG71" s="1"/>
      <c r="AH71" s="1"/>
      <c r="AI71" s="1"/>
      <c r="AJ71" s="1"/>
      <c r="AK71" s="1"/>
      <c r="AL71" s="1"/>
      <c r="AM71" s="1"/>
      <c r="AN71" s="1"/>
      <c r="AO71" s="1"/>
      <c r="AP71" s="1">
        <v>0</v>
      </c>
      <c r="AQ71" s="1">
        <v>0</v>
      </c>
      <c r="AR71" s="1">
        <v>0</v>
      </c>
      <c r="AS71" s="1">
        <v>0</v>
      </c>
      <c r="AT71" s="1">
        <v>0</v>
      </c>
      <c r="AU71" s="1">
        <v>0</v>
      </c>
      <c r="AV71" s="1">
        <v>0</v>
      </c>
      <c r="AW71" s="1">
        <v>0</v>
      </c>
      <c r="AX71" s="1">
        <v>0</v>
      </c>
      <c r="AY71" s="1">
        <v>0</v>
      </c>
      <c r="AZ71" s="1">
        <v>0</v>
      </c>
      <c r="BA71" s="1"/>
      <c r="BB71" s="1"/>
      <c r="BC71" s="1"/>
      <c r="BD71" s="1"/>
      <c r="BE71" s="1"/>
      <c r="BF71" s="1"/>
      <c r="BG71" s="1"/>
      <c r="BH71" s="1"/>
      <c r="BI71" s="1"/>
      <c r="BJ71" s="1"/>
      <c r="BK71" s="1" t="s">
        <v>437</v>
      </c>
      <c r="BL71" s="1"/>
      <c r="BM71" s="1"/>
      <c r="BN71" s="1"/>
      <c r="BO71" s="1"/>
      <c r="BP71" s="1" t="s">
        <v>386</v>
      </c>
      <c r="BQ71" s="1"/>
      <c r="BR71" s="1">
        <v>0</v>
      </c>
      <c r="BS71" s="1">
        <v>0</v>
      </c>
      <c r="BT71" s="1">
        <v>0</v>
      </c>
      <c r="BU71" s="1">
        <v>0</v>
      </c>
      <c r="BV71" s="1">
        <v>0</v>
      </c>
      <c r="BW71" s="1"/>
      <c r="BX71" s="1"/>
      <c r="BY71" s="1">
        <v>0</v>
      </c>
      <c r="BZ71" s="1">
        <v>0</v>
      </c>
      <c r="CA71" s="1">
        <v>0</v>
      </c>
      <c r="CB71" s="1">
        <v>0</v>
      </c>
      <c r="CC71" s="1">
        <v>0</v>
      </c>
      <c r="CD71" s="1">
        <v>0</v>
      </c>
    </row>
    <row r="72" spans="1:83" hidden="1">
      <c r="A72" s="1" t="s">
        <v>1111</v>
      </c>
      <c r="B72" s="1" t="str">
        <f>_xlfn.XLOOKUP(A:A,'Dados Elevatórias'!D:D,'Dados Elevatórias'!B:B)</f>
        <v>PL-RJB-EAT0043</v>
      </c>
      <c r="C72" s="1" t="str">
        <f>_xlfn.XLOOKUP(B:B,'Dados Elevatórias'!B:B,'Dados Elevatórias'!C:C)</f>
        <v>EAT</v>
      </c>
      <c r="D72" s="1" t="s">
        <v>373</v>
      </c>
      <c r="E72" s="1" t="s">
        <v>1112</v>
      </c>
      <c r="F72" s="1" t="s">
        <v>528</v>
      </c>
      <c r="G72" s="1" t="s">
        <v>376</v>
      </c>
      <c r="H72" s="1" t="str">
        <f>_xlfn.XLOOKUP(B:B,'Dados Elevatórias'!B:B,'Dados Elevatórias'!G:G)</f>
        <v>26535-001</v>
      </c>
      <c r="I72" s="1">
        <f>_xlfn.XLOOKUP(B72,COORDENADAS!A:A,COORDENADAS!B:B)</f>
        <v>-22.806100000000001</v>
      </c>
      <c r="J72" s="1">
        <f>_xlfn.XLOOKUP(B72,COORDENADAS!A:A,COORDENADAS!C:C)</f>
        <v>-43.415199999999999</v>
      </c>
      <c r="K72" s="1"/>
      <c r="L72" s="1" t="str">
        <f>_xlfn.XLOOKUP(A:A,'RELAÇÃO ANTIGA'!A:A,'RELAÇÃO ANTIGA'!J:J)</f>
        <v>FORMAL</v>
      </c>
      <c r="M72" s="1">
        <v>1</v>
      </c>
      <c r="N72" s="1" t="s">
        <v>378</v>
      </c>
      <c r="O72" s="1"/>
      <c r="P72" s="1" t="s">
        <v>814</v>
      </c>
      <c r="Q72" s="1"/>
      <c r="R72" s="1"/>
      <c r="S72" s="1" t="s">
        <v>993</v>
      </c>
      <c r="T72" s="1"/>
      <c r="U72" s="1"/>
      <c r="V72" s="1"/>
      <c r="W72" s="1"/>
      <c r="X72" s="1"/>
      <c r="Y72" s="1" t="s">
        <v>993</v>
      </c>
      <c r="Z72" s="1"/>
      <c r="AA72" s="1"/>
      <c r="AB72" s="1"/>
      <c r="AC72" s="1" t="s">
        <v>727</v>
      </c>
      <c r="AD72" s="1"/>
      <c r="AE72" s="1"/>
      <c r="AF72" s="1"/>
      <c r="AG72" s="1"/>
      <c r="AH72" s="1"/>
      <c r="AI72" s="1"/>
      <c r="AJ72" s="1"/>
      <c r="AK72" s="1"/>
      <c r="AL72" s="1"/>
      <c r="AM72" s="1"/>
      <c r="AN72" s="1" t="str">
        <f>_xlfn.XLOOKUP('RELAÇÃO DE ELEVATÓRIAS'!A:A,'RELAÇÃO ANTIGA'!A:A,'RELAÇÃO ANTIGA'!AC:AC)</f>
        <v>220V</v>
      </c>
      <c r="AO72" s="1"/>
      <c r="AP72" s="1">
        <v>400380547</v>
      </c>
      <c r="AQ72" s="1">
        <v>6923505</v>
      </c>
      <c r="AR72" s="1">
        <v>0</v>
      </c>
      <c r="AS72" s="1" t="s">
        <v>1113</v>
      </c>
      <c r="AT72" s="1" t="s">
        <v>1114</v>
      </c>
      <c r="AU72" s="1" t="s">
        <v>698</v>
      </c>
      <c r="AV72" s="1" t="s">
        <v>698</v>
      </c>
      <c r="AW72" s="1">
        <v>0</v>
      </c>
      <c r="AX72" s="1">
        <v>0</v>
      </c>
      <c r="AY72" s="1">
        <v>0</v>
      </c>
      <c r="AZ72" s="1">
        <v>0</v>
      </c>
      <c r="BA72" s="1"/>
      <c r="BB72" s="1"/>
      <c r="BC72" s="1"/>
      <c r="BD72" s="1"/>
      <c r="BE72" s="1"/>
      <c r="BF72" s="1"/>
      <c r="BG72" s="1"/>
      <c r="BH72" s="1"/>
      <c r="BI72" s="1"/>
      <c r="BJ72" s="1"/>
      <c r="BK72" s="1" t="s">
        <v>437</v>
      </c>
      <c r="BL72" s="1"/>
      <c r="BM72" s="1"/>
      <c r="BN72" s="1"/>
      <c r="BO72" s="1"/>
      <c r="BP72" s="1" t="s">
        <v>386</v>
      </c>
      <c r="BQ72" s="1" t="s">
        <v>396</v>
      </c>
      <c r="BR72" s="1">
        <v>0</v>
      </c>
      <c r="BS72" s="1">
        <v>0</v>
      </c>
      <c r="BT72" s="1">
        <v>0</v>
      </c>
      <c r="BU72" s="1">
        <v>0</v>
      </c>
      <c r="BV72" s="1">
        <v>0</v>
      </c>
      <c r="BW72" s="1" t="s">
        <v>396</v>
      </c>
      <c r="BX72" s="1"/>
      <c r="BY72" s="1" t="s">
        <v>401</v>
      </c>
      <c r="BZ72" s="1">
        <v>0</v>
      </c>
      <c r="CA72" s="1">
        <v>0</v>
      </c>
      <c r="CB72" s="1">
        <v>0</v>
      </c>
      <c r="CC72" s="1">
        <v>0</v>
      </c>
      <c r="CD72" s="1" t="s">
        <v>1115</v>
      </c>
    </row>
    <row r="73" spans="1:83" hidden="1">
      <c r="A73" s="1" t="s">
        <v>1116</v>
      </c>
      <c r="B73" s="1" t="str">
        <f>_xlfn.XLOOKUP(A:A,'Dados Elevatórias'!D:D,'Dados Elevatórias'!B:B)</f>
        <v>PL-RJB-EAT0747</v>
      </c>
      <c r="C73" s="1" t="str">
        <f>_xlfn.XLOOKUP(B:B,'Dados Elevatórias'!B:B,'Dados Elevatórias'!C:C)</f>
        <v>EAT</v>
      </c>
      <c r="D73" s="1" t="s">
        <v>373</v>
      </c>
      <c r="E73" s="1" t="s">
        <v>1117</v>
      </c>
      <c r="F73" s="1" t="s">
        <v>1075</v>
      </c>
      <c r="G73" s="1" t="s">
        <v>443</v>
      </c>
      <c r="H73" s="1" t="str">
        <f>_xlfn.XLOOKUP(B:B,'Dados Elevatórias'!B:B,'Dados Elevatórias'!G:G)</f>
        <v>26325-050</v>
      </c>
      <c r="I73" s="1">
        <f>_xlfn.XLOOKUP(B73,COORDENADAS!A:A,COORDENADAS!B:B)</f>
        <v>-22.7227</v>
      </c>
      <c r="J73" s="1">
        <f>_xlfn.XLOOKUP(B73,COORDENADAS!A:A,COORDENADAS!C:C)</f>
        <v>-43.552100000000003</v>
      </c>
      <c r="K73" s="1"/>
      <c r="L73" s="1" t="str">
        <f>_xlfn.XLOOKUP(A:A,'RELAÇÃO ANTIGA'!A:A,'RELAÇÃO ANTIGA'!J:J)</f>
        <v>INFORMAL</v>
      </c>
      <c r="M73" s="1">
        <v>1</v>
      </c>
      <c r="N73" s="1" t="s">
        <v>378</v>
      </c>
      <c r="O73" s="1" t="s">
        <v>773</v>
      </c>
      <c r="P73" s="1"/>
      <c r="Q73" s="1" t="s">
        <v>404</v>
      </c>
      <c r="R73" s="1"/>
      <c r="S73" s="1" t="s">
        <v>1118</v>
      </c>
      <c r="T73" s="1"/>
      <c r="U73" s="1"/>
      <c r="V73" s="1"/>
      <c r="W73" s="1"/>
      <c r="X73" s="1"/>
      <c r="Y73" s="1" t="s">
        <v>1119</v>
      </c>
      <c r="Z73" s="1" t="s">
        <v>898</v>
      </c>
      <c r="AA73" s="1"/>
      <c r="AB73" s="1"/>
      <c r="AC73" s="1" t="s">
        <v>455</v>
      </c>
      <c r="AD73" s="1"/>
      <c r="AE73" s="1"/>
      <c r="AF73" s="1"/>
      <c r="AG73" s="1"/>
      <c r="AH73" s="1"/>
      <c r="AI73" s="1"/>
      <c r="AJ73" s="1"/>
      <c r="AK73" s="1"/>
      <c r="AL73" s="1"/>
      <c r="AM73" s="1"/>
      <c r="AN73" s="1" t="str">
        <f>_xlfn.XLOOKUP('RELAÇÃO DE ELEVATÓRIAS'!A:A,'RELAÇÃO ANTIGA'!A:A,'RELAÇÃO ANTIGA'!AC:AC)</f>
        <v>220V</v>
      </c>
      <c r="AO73" s="1"/>
      <c r="AP73" s="1">
        <v>420631920</v>
      </c>
      <c r="AQ73" s="1">
        <v>8878387</v>
      </c>
      <c r="AR73" s="1">
        <v>0</v>
      </c>
      <c r="AS73" s="1" t="s">
        <v>1120</v>
      </c>
      <c r="AT73" s="1" t="s">
        <v>1121</v>
      </c>
      <c r="AU73" s="1" t="s">
        <v>669</v>
      </c>
      <c r="AV73" s="1" t="s">
        <v>669</v>
      </c>
      <c r="AW73" s="1">
        <v>0</v>
      </c>
      <c r="AX73" s="1">
        <v>0</v>
      </c>
      <c r="AY73" s="1">
        <v>0</v>
      </c>
      <c r="AZ73" s="1">
        <v>0</v>
      </c>
      <c r="BA73" s="1"/>
      <c r="BB73" s="1"/>
      <c r="BC73" s="1"/>
      <c r="BD73" s="1"/>
      <c r="BE73" s="1"/>
      <c r="BF73" s="1"/>
      <c r="BG73" s="1"/>
      <c r="BH73" s="1"/>
      <c r="BI73" s="1"/>
      <c r="BJ73" s="1"/>
      <c r="BK73" s="1" t="s">
        <v>437</v>
      </c>
      <c r="BL73" s="1"/>
      <c r="BM73" s="1"/>
      <c r="BN73" s="1"/>
      <c r="BO73" s="1"/>
      <c r="BP73" s="1" t="s">
        <v>386</v>
      </c>
      <c r="BQ73" s="1"/>
      <c r="BR73" s="1" t="s">
        <v>491</v>
      </c>
      <c r="BS73" s="1" t="s">
        <v>952</v>
      </c>
      <c r="BT73" s="1">
        <v>0</v>
      </c>
      <c r="BU73" s="1">
        <v>0</v>
      </c>
      <c r="BV73" s="1">
        <v>0</v>
      </c>
      <c r="BW73" s="1" t="s">
        <v>396</v>
      </c>
      <c r="BX73" s="1"/>
      <c r="BY73" s="1" t="s">
        <v>401</v>
      </c>
      <c r="BZ73" s="1">
        <v>0</v>
      </c>
      <c r="CA73" s="1">
        <v>0</v>
      </c>
      <c r="CB73" s="1">
        <v>0</v>
      </c>
      <c r="CC73" s="1">
        <v>0</v>
      </c>
      <c r="CD73" s="1">
        <v>0</v>
      </c>
    </row>
    <row r="74" spans="1:83" hidden="1">
      <c r="A74" s="1" t="s">
        <v>1122</v>
      </c>
      <c r="B74" s="1" t="str">
        <f>_xlfn.XLOOKUP(A:A,'Dados Elevatórias'!D:D,'Dados Elevatórias'!B:B)</f>
        <v>PL-RJB-EAT0040</v>
      </c>
      <c r="C74" s="1" t="str">
        <f>_xlfn.XLOOKUP(B:B,'Dados Elevatórias'!B:B,'Dados Elevatórias'!C:C)</f>
        <v>EAT</v>
      </c>
      <c r="D74" s="1" t="s">
        <v>373</v>
      </c>
      <c r="E74" s="1" t="s">
        <v>1123</v>
      </c>
      <c r="F74" s="1" t="s">
        <v>1124</v>
      </c>
      <c r="G74" s="1" t="s">
        <v>376</v>
      </c>
      <c r="H74" s="1" t="str">
        <f>_xlfn.XLOOKUP(B:B,'Dados Elevatórias'!B:B,'Dados Elevatórias'!G:G)</f>
        <v>26510-182</v>
      </c>
      <c r="I74" s="1">
        <f>_xlfn.XLOOKUP(B74,COORDENADAS!A:A,COORDENADAS!B:B)</f>
        <v>-22.814699999999998</v>
      </c>
      <c r="J74" s="1">
        <f>_xlfn.XLOOKUP(B74,COORDENADAS!A:A,COORDENADAS!C:C)</f>
        <v>-43.415900000000001</v>
      </c>
      <c r="K74" s="1"/>
      <c r="L74" s="1" t="str">
        <f>_xlfn.XLOOKUP(A:A,'RELAÇÃO ANTIGA'!A:A,'RELAÇÃO ANTIGA'!J:J)</f>
        <v>FORMAL</v>
      </c>
      <c r="M74" s="1">
        <v>1</v>
      </c>
      <c r="N74" s="1" t="s">
        <v>378</v>
      </c>
      <c r="O74" s="1" t="s">
        <v>1125</v>
      </c>
      <c r="P74" s="1" t="s">
        <v>939</v>
      </c>
      <c r="Q74" s="1"/>
      <c r="R74" s="1"/>
      <c r="S74" s="1" t="s">
        <v>993</v>
      </c>
      <c r="T74" s="1" t="s">
        <v>707</v>
      </c>
      <c r="U74" s="1" t="s">
        <v>1126</v>
      </c>
      <c r="V74" s="1"/>
      <c r="W74" s="1"/>
      <c r="X74" s="1" t="s">
        <v>1127</v>
      </c>
      <c r="Y74" s="1" t="s">
        <v>1128</v>
      </c>
      <c r="Z74" s="1" t="s">
        <v>1129</v>
      </c>
      <c r="AA74" s="1">
        <v>4</v>
      </c>
      <c r="AB74" s="1"/>
      <c r="AC74" s="1" t="s">
        <v>385</v>
      </c>
      <c r="AD74" s="1"/>
      <c r="AE74" s="1"/>
      <c r="AF74" s="1"/>
      <c r="AG74" s="1"/>
      <c r="AH74" s="1"/>
      <c r="AI74" s="1" t="s">
        <v>1130</v>
      </c>
      <c r="AJ74" s="1" t="s">
        <v>1131</v>
      </c>
      <c r="AK74" s="1"/>
      <c r="AL74" s="1"/>
      <c r="AM74" s="1"/>
      <c r="AN74" s="1" t="str">
        <f>_xlfn.XLOOKUP('RELAÇÃO DE ELEVATÓRIAS'!A:A,'RELAÇÃO ANTIGA'!A:A,'RELAÇÃO ANTIGA'!AC:AC)</f>
        <v>220V</v>
      </c>
      <c r="AO74" s="1"/>
      <c r="AP74" s="1">
        <v>414605743</v>
      </c>
      <c r="AQ74" s="1">
        <v>5187019</v>
      </c>
      <c r="AR74" s="1">
        <v>0</v>
      </c>
      <c r="AS74" s="1" t="s">
        <v>1132</v>
      </c>
      <c r="AT74" s="1" t="s">
        <v>1133</v>
      </c>
      <c r="AU74" s="1" t="s">
        <v>988</v>
      </c>
      <c r="AV74" s="1" t="s">
        <v>988</v>
      </c>
      <c r="AW74" s="1">
        <v>0</v>
      </c>
      <c r="AX74" s="1">
        <v>0</v>
      </c>
      <c r="AY74" s="1">
        <v>0</v>
      </c>
      <c r="AZ74" s="1">
        <v>0</v>
      </c>
      <c r="BA74" s="1"/>
      <c r="BB74" s="1"/>
      <c r="BC74" s="1"/>
      <c r="BD74" s="1"/>
      <c r="BE74" s="1"/>
      <c r="BF74" s="1"/>
      <c r="BG74" s="1"/>
      <c r="BH74" s="1"/>
      <c r="BI74" s="1"/>
      <c r="BJ74" s="1"/>
      <c r="BK74" s="1" t="s">
        <v>427</v>
      </c>
      <c r="BL74" s="1" t="s">
        <v>404</v>
      </c>
      <c r="BM74" s="1" t="s">
        <v>734</v>
      </c>
      <c r="BN74" s="1"/>
      <c r="BO74" s="1"/>
      <c r="BP74" s="1" t="s">
        <v>386</v>
      </c>
      <c r="BQ74" s="1"/>
      <c r="BR74" s="1">
        <v>0</v>
      </c>
      <c r="BS74" s="1">
        <v>0</v>
      </c>
      <c r="BT74" s="1">
        <v>0</v>
      </c>
      <c r="BU74" s="1">
        <v>0</v>
      </c>
      <c r="BV74" s="1">
        <v>0</v>
      </c>
      <c r="BW74" s="1" t="s">
        <v>396</v>
      </c>
      <c r="BX74" s="1"/>
      <c r="BY74" s="1" t="s">
        <v>401</v>
      </c>
      <c r="BZ74" s="1">
        <v>0</v>
      </c>
      <c r="CA74" s="1">
        <v>0</v>
      </c>
      <c r="CB74" s="1">
        <v>0</v>
      </c>
      <c r="CC74" s="1">
        <v>0</v>
      </c>
      <c r="CD74" s="1" t="s">
        <v>1134</v>
      </c>
    </row>
    <row r="75" spans="1:83" hidden="1">
      <c r="A75" s="1" t="s">
        <v>1135</v>
      </c>
      <c r="B75" s="1" t="str">
        <f>_xlfn.XLOOKUP(A:A,'Dados Elevatórias'!D:D,'Dados Elevatórias'!B:B)</f>
        <v>PL-RJB-EAT0032</v>
      </c>
      <c r="C75" s="1" t="str">
        <f>_xlfn.XLOOKUP(B:B,'Dados Elevatórias'!B:B,'Dados Elevatórias'!C:C)</f>
        <v>EAT</v>
      </c>
      <c r="D75" s="1" t="s">
        <v>373</v>
      </c>
      <c r="E75" s="1" t="s">
        <v>1136</v>
      </c>
      <c r="F75" s="1" t="s">
        <v>1069</v>
      </c>
      <c r="G75" s="1" t="s">
        <v>605</v>
      </c>
      <c r="H75" s="1" t="str">
        <f>_xlfn.XLOOKUP(B:B,'Dados Elevatórias'!B:B,'Dados Elevatórias'!G:G)</f>
        <v>26564-021</v>
      </c>
      <c r="I75" s="1">
        <f>_xlfn.XLOOKUP(B75,COORDENADAS!A:A,COORDENADAS!B:B)</f>
        <v>-22.7776</v>
      </c>
      <c r="J75" s="1">
        <f>_xlfn.XLOOKUP(B75,COORDENADAS!A:A,COORDENADAS!C:C)</f>
        <v>-43.4193</v>
      </c>
      <c r="K75" s="1"/>
      <c r="L75" s="1" t="str">
        <f>_xlfn.XLOOKUP(A:A,'RELAÇÃO ANTIGA'!A:A,'RELAÇÃO ANTIGA'!J:J)</f>
        <v>FORMAL</v>
      </c>
      <c r="M75" s="1">
        <v>1</v>
      </c>
      <c r="N75" s="1" t="s">
        <v>378</v>
      </c>
      <c r="O75" s="1"/>
      <c r="P75" s="1" t="s">
        <v>939</v>
      </c>
      <c r="Q75" s="1"/>
      <c r="R75" s="1"/>
      <c r="S75" s="1" t="s">
        <v>993</v>
      </c>
      <c r="T75" s="1"/>
      <c r="U75" s="1"/>
      <c r="V75" s="1"/>
      <c r="W75" s="1"/>
      <c r="X75" s="1" t="s">
        <v>1137</v>
      </c>
      <c r="Y75" s="1" t="s">
        <v>1138</v>
      </c>
      <c r="Z75" s="1" t="s">
        <v>1139</v>
      </c>
      <c r="AA75" s="1">
        <v>4</v>
      </c>
      <c r="AB75" s="1"/>
      <c r="AC75" s="1" t="s">
        <v>432</v>
      </c>
      <c r="AD75" s="1"/>
      <c r="AE75" s="1"/>
      <c r="AF75" s="1"/>
      <c r="AG75" s="1"/>
      <c r="AH75" s="1"/>
      <c r="AI75" s="1" t="s">
        <v>1140</v>
      </c>
      <c r="AJ75" s="1"/>
      <c r="AK75" s="1"/>
      <c r="AL75" s="1"/>
      <c r="AM75" s="1"/>
      <c r="AN75" s="1" t="str">
        <f>_xlfn.XLOOKUP('RELAÇÃO DE ELEVATÓRIAS'!A:A,'RELAÇÃO ANTIGA'!A:A,'RELAÇÃO ANTIGA'!AC:AC)</f>
        <v>220V</v>
      </c>
      <c r="AO75" s="1"/>
      <c r="AP75" s="1">
        <v>420187776</v>
      </c>
      <c r="AQ75" s="1">
        <v>6141673</v>
      </c>
      <c r="AR75" s="1">
        <v>0</v>
      </c>
      <c r="AS75" s="1" t="s">
        <v>1141</v>
      </c>
      <c r="AT75" s="1" t="s">
        <v>1142</v>
      </c>
      <c r="AU75" s="1" t="s">
        <v>489</v>
      </c>
      <c r="AV75" s="1" t="s">
        <v>489</v>
      </c>
      <c r="AW75" s="1">
        <v>0</v>
      </c>
      <c r="AX75" s="1">
        <v>0</v>
      </c>
      <c r="AY75" s="1">
        <v>0</v>
      </c>
      <c r="AZ75" s="1">
        <v>0</v>
      </c>
      <c r="BA75" s="1"/>
      <c r="BB75" s="1"/>
      <c r="BC75" s="1"/>
      <c r="BD75" s="1"/>
      <c r="BE75" s="1"/>
      <c r="BF75" s="1"/>
      <c r="BG75" s="1"/>
      <c r="BH75" s="1"/>
      <c r="BI75" s="1"/>
      <c r="BJ75" s="1"/>
      <c r="BK75" s="1" t="s">
        <v>437</v>
      </c>
      <c r="BL75" s="1"/>
      <c r="BM75" s="1"/>
      <c r="BN75" s="1"/>
      <c r="BO75" s="1"/>
      <c r="BP75" s="1" t="s">
        <v>386</v>
      </c>
      <c r="BQ75" s="1"/>
      <c r="BR75" s="1">
        <v>0</v>
      </c>
      <c r="BS75" s="1">
        <v>0</v>
      </c>
      <c r="BT75" s="1">
        <v>0</v>
      </c>
      <c r="BU75" s="1">
        <v>0</v>
      </c>
      <c r="BV75" s="1">
        <v>0</v>
      </c>
      <c r="BW75" s="1" t="s">
        <v>396</v>
      </c>
      <c r="BX75" s="1"/>
      <c r="BY75" s="1" t="s">
        <v>401</v>
      </c>
      <c r="BZ75" s="1">
        <v>0</v>
      </c>
      <c r="CA75" s="1">
        <v>0</v>
      </c>
      <c r="CB75" s="1">
        <v>0</v>
      </c>
      <c r="CC75" s="1">
        <v>0</v>
      </c>
      <c r="CD75" s="1">
        <v>0</v>
      </c>
    </row>
    <row r="76" spans="1:83" hidden="1">
      <c r="A76" s="1" t="s">
        <v>1143</v>
      </c>
      <c r="B76" s="1" t="str">
        <f>_xlfn.XLOOKUP(A:A,'Dados Elevatórias'!D:D,'Dados Elevatórias'!B:B)</f>
        <v>PL-RJB-EAT0031</v>
      </c>
      <c r="C76" s="1" t="str">
        <f>_xlfn.XLOOKUP(B:B,'Dados Elevatórias'!B:B,'Dados Elevatórias'!C:C)</f>
        <v>EAT</v>
      </c>
      <c r="D76" s="1" t="s">
        <v>373</v>
      </c>
      <c r="E76" s="1" t="s">
        <v>1144</v>
      </c>
      <c r="F76" s="1" t="s">
        <v>528</v>
      </c>
      <c r="G76" s="1" t="s">
        <v>421</v>
      </c>
      <c r="H76" s="1" t="str">
        <f>_xlfn.XLOOKUP(B:B,'Dados Elevatórias'!B:B,'Dados Elevatórias'!G:G)</f>
        <v>26221-130</v>
      </c>
      <c r="I76" s="1">
        <f>_xlfn.XLOOKUP(B76,COORDENADAS!A:A,COORDENADAS!B:B)</f>
        <v>-22.763999999999999</v>
      </c>
      <c r="J76" s="1">
        <f>_xlfn.XLOOKUP(B76,COORDENADAS!A:A,COORDENADAS!C:C)</f>
        <v>-43.438499999999998</v>
      </c>
      <c r="K76" s="1"/>
      <c r="L76" s="1" t="str">
        <f>_xlfn.XLOOKUP(A:A,'RELAÇÃO ANTIGA'!A:A,'RELAÇÃO ANTIGA'!J:J)</f>
        <v>FORMAL</v>
      </c>
      <c r="M76" s="1">
        <v>1</v>
      </c>
      <c r="N76" s="1" t="s">
        <v>378</v>
      </c>
      <c r="O76" s="1"/>
      <c r="P76" s="1"/>
      <c r="Q76" s="1"/>
      <c r="R76" s="1"/>
      <c r="S76" s="1" t="s">
        <v>1145</v>
      </c>
      <c r="T76" s="1"/>
      <c r="U76" s="1" t="s">
        <v>1146</v>
      </c>
      <c r="V76" s="1"/>
      <c r="W76" s="1"/>
      <c r="X76" s="1"/>
      <c r="Y76" s="1" t="s">
        <v>1147</v>
      </c>
      <c r="Z76" s="1"/>
      <c r="AA76" s="1"/>
      <c r="AB76" s="1"/>
      <c r="AC76" s="1" t="s">
        <v>727</v>
      </c>
      <c r="AD76" s="1"/>
      <c r="AE76" s="1"/>
      <c r="AF76" s="1"/>
      <c r="AG76" s="1"/>
      <c r="AH76" s="1"/>
      <c r="AI76" s="1"/>
      <c r="AJ76" s="1"/>
      <c r="AK76" s="1"/>
      <c r="AL76" s="1"/>
      <c r="AM76" s="1"/>
      <c r="AN76" s="1" t="str">
        <f>_xlfn.XLOOKUP('RELAÇÃO DE ELEVATÓRIAS'!A:A,'RELAÇÃO ANTIGA'!A:A,'RELAÇÃO ANTIGA'!AC:AC)</f>
        <v>220V</v>
      </c>
      <c r="AO76" s="1"/>
      <c r="AP76" s="1">
        <v>413730985</v>
      </c>
      <c r="AQ76" s="1">
        <v>5028143</v>
      </c>
      <c r="AR76" s="1">
        <v>0</v>
      </c>
      <c r="AS76" s="1" t="s">
        <v>1148</v>
      </c>
      <c r="AT76" s="1" t="s">
        <v>1149</v>
      </c>
      <c r="AU76" s="1" t="s">
        <v>988</v>
      </c>
      <c r="AV76" s="1" t="s">
        <v>988</v>
      </c>
      <c r="AW76" s="1">
        <v>0</v>
      </c>
      <c r="AX76" s="1">
        <v>0</v>
      </c>
      <c r="AY76" s="1">
        <v>0</v>
      </c>
      <c r="AZ76" s="1">
        <v>0</v>
      </c>
      <c r="BA76" s="1"/>
      <c r="BB76" s="1"/>
      <c r="BC76" s="1"/>
      <c r="BD76" s="1"/>
      <c r="BE76" s="1"/>
      <c r="BF76" s="1"/>
      <c r="BG76" s="1"/>
      <c r="BH76" s="1"/>
      <c r="BI76" s="1"/>
      <c r="BJ76" s="1"/>
      <c r="BK76" s="1" t="s">
        <v>427</v>
      </c>
      <c r="BL76" s="1"/>
      <c r="BM76" s="1" t="s">
        <v>734</v>
      </c>
      <c r="BN76" s="1"/>
      <c r="BO76" s="1"/>
      <c r="BP76" s="1" t="s">
        <v>386</v>
      </c>
      <c r="BQ76" s="1"/>
      <c r="BR76" s="1">
        <v>0</v>
      </c>
      <c r="BS76" s="1">
        <v>0</v>
      </c>
      <c r="BT76" s="1">
        <v>0</v>
      </c>
      <c r="BU76" s="1">
        <v>0</v>
      </c>
      <c r="BV76" s="1">
        <v>0</v>
      </c>
      <c r="BW76" s="1" t="s">
        <v>396</v>
      </c>
      <c r="BX76" s="1"/>
      <c r="BY76" s="1" t="s">
        <v>401</v>
      </c>
      <c r="BZ76" s="1">
        <v>0</v>
      </c>
      <c r="CA76" s="1">
        <v>0</v>
      </c>
      <c r="CB76" s="1">
        <v>0</v>
      </c>
      <c r="CC76" s="1">
        <v>0</v>
      </c>
      <c r="CD76" s="1" t="s">
        <v>1150</v>
      </c>
    </row>
    <row r="77" spans="1:83" hidden="1">
      <c r="A77" s="1" t="s">
        <v>1151</v>
      </c>
      <c r="B77" s="1" t="str">
        <f>_xlfn.XLOOKUP(A:A,'Dados Elevatórias'!D:D,'Dados Elevatórias'!B:B)</f>
        <v>PL-RJB-EAT0030</v>
      </c>
      <c r="C77" s="1" t="str">
        <f>_xlfn.XLOOKUP(B:B,'Dados Elevatórias'!B:B,'Dados Elevatórias'!C:C)</f>
        <v>EAT</v>
      </c>
      <c r="D77" s="1" t="s">
        <v>373</v>
      </c>
      <c r="E77" s="1" t="s">
        <v>1152</v>
      </c>
      <c r="F77" s="1" t="s">
        <v>375</v>
      </c>
      <c r="G77" s="1" t="s">
        <v>376</v>
      </c>
      <c r="H77" s="1" t="str">
        <f>_xlfn.XLOOKUP(B:B,'Dados Elevatórias'!B:B,'Dados Elevatórias'!G:G)</f>
        <v>26535-430</v>
      </c>
      <c r="I77" s="1">
        <f>_xlfn.XLOOKUP(B77,COORDENADAS!A:A,COORDENADAS!B:B)</f>
        <v>-22.8018</v>
      </c>
      <c r="J77" s="1">
        <f>_xlfn.XLOOKUP(B77,COORDENADAS!A:A,COORDENADAS!C:C)</f>
        <v>-43.405200000000001</v>
      </c>
      <c r="K77" s="1"/>
      <c r="L77" s="1" t="str">
        <f>_xlfn.XLOOKUP(A:A,'RELAÇÃO ANTIGA'!A:A,'RELAÇÃO ANTIGA'!J:J)</f>
        <v>INFORMAL</v>
      </c>
      <c r="M77" s="1">
        <v>1</v>
      </c>
      <c r="N77" s="1" t="s">
        <v>378</v>
      </c>
      <c r="O77" s="1" t="s">
        <v>957</v>
      </c>
      <c r="P77" s="1"/>
      <c r="Q77" s="1"/>
      <c r="R77" s="1"/>
      <c r="S77" s="1"/>
      <c r="T77" s="1"/>
      <c r="U77" s="1"/>
      <c r="V77" s="1"/>
      <c r="W77" s="1"/>
      <c r="X77" s="1"/>
      <c r="Y77" s="1"/>
      <c r="Z77" s="1"/>
      <c r="AA77" s="1"/>
      <c r="AB77" s="1"/>
      <c r="AC77" s="1" t="s">
        <v>727</v>
      </c>
      <c r="AD77" s="1"/>
      <c r="AE77" s="1"/>
      <c r="AF77" s="1"/>
      <c r="AG77" s="1"/>
      <c r="AH77" s="1"/>
      <c r="AI77" s="1"/>
      <c r="AJ77" s="1"/>
      <c r="AK77" s="1"/>
      <c r="AL77" s="1"/>
      <c r="AM77" s="1"/>
      <c r="AN77" s="1" t="str">
        <f>_xlfn.XLOOKUP('RELAÇÃO DE ELEVATÓRIAS'!A:A,'RELAÇÃO ANTIGA'!A:A,'RELAÇÃO ANTIGA'!AC:AC)</f>
        <v>220V</v>
      </c>
      <c r="AO77" s="1"/>
      <c r="AP77" s="1">
        <v>414857558</v>
      </c>
      <c r="AQ77" s="1">
        <v>5789840</v>
      </c>
      <c r="AR77" s="1">
        <v>0</v>
      </c>
      <c r="AS77" s="1" t="s">
        <v>1153</v>
      </c>
      <c r="AT77" s="1" t="s">
        <v>1154</v>
      </c>
      <c r="AU77" s="1">
        <v>0</v>
      </c>
      <c r="AV77" s="1">
        <v>0</v>
      </c>
      <c r="AW77" s="1">
        <v>0</v>
      </c>
      <c r="AX77" s="1">
        <v>0</v>
      </c>
      <c r="AY77" s="1">
        <v>0</v>
      </c>
      <c r="AZ77" s="1">
        <v>0</v>
      </c>
      <c r="BA77" s="1"/>
      <c r="BB77" s="1"/>
      <c r="BC77" s="1"/>
      <c r="BD77" s="1"/>
      <c r="BE77" s="1"/>
      <c r="BF77" s="1"/>
      <c r="BG77" s="1"/>
      <c r="BH77" s="1"/>
      <c r="BI77" s="1"/>
      <c r="BJ77" s="1"/>
      <c r="BK77" s="1" t="s">
        <v>427</v>
      </c>
      <c r="BL77" s="1"/>
      <c r="BM77" s="1"/>
      <c r="BN77" s="1"/>
      <c r="BO77" s="1"/>
      <c r="BP77" s="1" t="s">
        <v>386</v>
      </c>
      <c r="BQ77" s="1"/>
      <c r="BR77" s="1">
        <v>0</v>
      </c>
      <c r="BS77" s="1">
        <v>0</v>
      </c>
      <c r="BT77" s="1">
        <v>0</v>
      </c>
      <c r="BU77" s="1">
        <v>0</v>
      </c>
      <c r="BV77" s="1">
        <v>0</v>
      </c>
      <c r="BW77" s="1" t="s">
        <v>396</v>
      </c>
      <c r="BX77" s="1"/>
      <c r="BY77" s="1" t="s">
        <v>401</v>
      </c>
      <c r="BZ77" s="1">
        <v>0</v>
      </c>
      <c r="CA77" s="1">
        <v>0</v>
      </c>
      <c r="CB77" s="1">
        <v>0</v>
      </c>
      <c r="CC77" s="1" t="s">
        <v>962</v>
      </c>
      <c r="CD77" s="1" t="s">
        <v>1155</v>
      </c>
    </row>
    <row r="78" spans="1:83" hidden="1">
      <c r="A78" s="1" t="s">
        <v>1156</v>
      </c>
      <c r="B78" s="1" t="str">
        <f>_xlfn.XLOOKUP(A:A,'Dados Elevatórias'!D:D,'Dados Elevatórias'!B:B)</f>
        <v>PL-RJB-EAT0086</v>
      </c>
      <c r="C78" s="1" t="str">
        <f>_xlfn.XLOOKUP(B:B,'Dados Elevatórias'!B:B,'Dados Elevatórias'!C:C)</f>
        <v>EAT</v>
      </c>
      <c r="D78" s="1" t="s">
        <v>373</v>
      </c>
      <c r="E78" s="1" t="s">
        <v>1157</v>
      </c>
      <c r="F78" s="1" t="s">
        <v>1158</v>
      </c>
      <c r="G78" s="1" t="s">
        <v>605</v>
      </c>
      <c r="H78" s="1" t="str">
        <f>_xlfn.XLOOKUP(B:B,'Dados Elevatórias'!B:B,'Dados Elevatórias'!G:G)</f>
        <v>26556-030</v>
      </c>
      <c r="I78" s="1">
        <f>_xlfn.XLOOKUP(B78,COORDENADAS!A:A,COORDENADAS!B:B)</f>
        <v>-22.7805</v>
      </c>
      <c r="J78" s="1">
        <f>_xlfn.XLOOKUP(B78,COORDENADAS!A:A,COORDENADAS!C:C)</f>
        <v>-43.436100000000003</v>
      </c>
      <c r="K78" s="1"/>
      <c r="L78" s="1" t="s">
        <v>444</v>
      </c>
      <c r="M78" s="1">
        <v>1</v>
      </c>
      <c r="N78" s="1" t="s">
        <v>378</v>
      </c>
      <c r="O78" s="1" t="s">
        <v>529</v>
      </c>
      <c r="P78" s="1" t="s">
        <v>915</v>
      </c>
      <c r="Q78" s="1" t="s">
        <v>404</v>
      </c>
      <c r="R78" s="1"/>
      <c r="S78" s="1" t="s">
        <v>1159</v>
      </c>
      <c r="T78" s="1" t="s">
        <v>707</v>
      </c>
      <c r="U78" s="1" t="s">
        <v>1160</v>
      </c>
      <c r="V78" s="1"/>
      <c r="W78" s="1"/>
      <c r="X78" s="1"/>
      <c r="Y78" s="1" t="s">
        <v>1161</v>
      </c>
      <c r="Z78" s="1"/>
      <c r="AA78" s="1"/>
      <c r="AB78" s="1"/>
      <c r="AC78" s="1" t="s">
        <v>455</v>
      </c>
      <c r="AD78" s="1"/>
      <c r="AE78" s="1"/>
      <c r="AF78" s="1"/>
      <c r="AG78" s="1"/>
      <c r="AH78" s="1"/>
      <c r="AI78" s="1"/>
      <c r="AJ78" s="1"/>
      <c r="AK78" s="1"/>
      <c r="AL78" s="1"/>
      <c r="AM78" s="1"/>
      <c r="AN78" s="1" t="s">
        <v>1162</v>
      </c>
      <c r="AO78" s="1"/>
      <c r="AP78" s="1">
        <v>400131474</v>
      </c>
      <c r="AQ78" s="1">
        <v>7267348</v>
      </c>
      <c r="AR78" s="1">
        <v>0</v>
      </c>
      <c r="AS78" s="1" t="s">
        <v>1163</v>
      </c>
      <c r="AT78" s="1" t="s">
        <v>1164</v>
      </c>
      <c r="AU78" s="1" t="s">
        <v>1165</v>
      </c>
      <c r="AV78" s="1" t="s">
        <v>1165</v>
      </c>
      <c r="AW78" s="1">
        <v>0</v>
      </c>
      <c r="AX78" s="1">
        <v>0</v>
      </c>
      <c r="AY78" s="1">
        <v>0</v>
      </c>
      <c r="AZ78" s="1">
        <v>0</v>
      </c>
      <c r="BA78" s="1"/>
      <c r="BB78" s="1"/>
      <c r="BC78" s="1"/>
      <c r="BD78" s="1"/>
      <c r="BE78" s="1"/>
      <c r="BF78" s="1"/>
      <c r="BG78" s="1"/>
      <c r="BH78" s="1"/>
      <c r="BI78" s="1"/>
      <c r="BJ78" s="1"/>
      <c r="BK78" s="1" t="s">
        <v>427</v>
      </c>
      <c r="BL78" s="1" t="s">
        <v>404</v>
      </c>
      <c r="BM78" s="1" t="s">
        <v>734</v>
      </c>
      <c r="BN78" s="1"/>
      <c r="BO78" s="1"/>
      <c r="BP78" s="1" t="s">
        <v>396</v>
      </c>
      <c r="BQ78" s="1"/>
      <c r="BR78" s="1">
        <v>0</v>
      </c>
      <c r="BS78" s="1">
        <v>0</v>
      </c>
      <c r="BT78" s="1">
        <v>0</v>
      </c>
      <c r="BU78" s="1">
        <v>0</v>
      </c>
      <c r="BV78" s="1">
        <v>0</v>
      </c>
      <c r="BW78" s="1" t="s">
        <v>396</v>
      </c>
      <c r="BX78" s="1"/>
      <c r="BY78" s="1" t="s">
        <v>401</v>
      </c>
      <c r="BZ78" s="1">
        <v>0</v>
      </c>
      <c r="CA78" s="1">
        <v>0</v>
      </c>
      <c r="CB78" s="1">
        <v>0</v>
      </c>
      <c r="CC78" s="1" t="s">
        <v>1166</v>
      </c>
      <c r="CD78" s="1" t="s">
        <v>1167</v>
      </c>
    </row>
    <row r="79" spans="1:83" hidden="1">
      <c r="A79" s="1" t="s">
        <v>1156</v>
      </c>
      <c r="B79" s="1" t="str">
        <f>_xlfn.XLOOKUP(A:A,'Dados Elevatórias'!D:D,'Dados Elevatórias'!B:B)</f>
        <v>PL-RJB-EAT0086</v>
      </c>
      <c r="C79" s="1" t="str">
        <f>_xlfn.XLOOKUP(B:B,'Dados Elevatórias'!B:B,'Dados Elevatórias'!C:C)</f>
        <v>EAT</v>
      </c>
      <c r="D79" s="1" t="s">
        <v>373</v>
      </c>
      <c r="E79" s="1" t="s">
        <v>1157</v>
      </c>
      <c r="F79" s="1" t="s">
        <v>1158</v>
      </c>
      <c r="G79" s="1" t="s">
        <v>605</v>
      </c>
      <c r="H79" s="1" t="str">
        <f>_xlfn.XLOOKUP(B:B,'Dados Elevatórias'!B:B,'Dados Elevatórias'!G:G)</f>
        <v>26556-030</v>
      </c>
      <c r="I79" s="1">
        <f>_xlfn.XLOOKUP(B79,COORDENADAS!A:A,COORDENADAS!B:B)</f>
        <v>-22.7805</v>
      </c>
      <c r="J79" s="1">
        <f>_xlfn.XLOOKUP(B79,COORDENADAS!A:A,COORDENADAS!C:C)</f>
        <v>-43.436100000000003</v>
      </c>
      <c r="K79" s="1"/>
      <c r="L79" s="1" t="s">
        <v>570</v>
      </c>
      <c r="M79" s="1">
        <v>2</v>
      </c>
      <c r="N79" s="1" t="s">
        <v>378</v>
      </c>
      <c r="O79" s="1" t="s">
        <v>750</v>
      </c>
      <c r="P79" s="1" t="s">
        <v>1168</v>
      </c>
      <c r="Q79" s="1" t="s">
        <v>404</v>
      </c>
      <c r="R79" s="1"/>
      <c r="S79" s="1" t="s">
        <v>1169</v>
      </c>
      <c r="T79" s="1" t="s">
        <v>407</v>
      </c>
      <c r="U79" s="1"/>
      <c r="V79" s="1"/>
      <c r="W79" s="1"/>
      <c r="X79" s="1"/>
      <c r="Y79" s="1" t="s">
        <v>1170</v>
      </c>
      <c r="Z79" s="1"/>
      <c r="AA79" s="1"/>
      <c r="AB79" s="1"/>
      <c r="AC79" s="1"/>
      <c r="AD79" s="1"/>
      <c r="AE79" s="1"/>
      <c r="AF79" s="1"/>
      <c r="AG79" s="1"/>
      <c r="AH79" s="1"/>
      <c r="AI79" s="1"/>
      <c r="AJ79" s="1"/>
      <c r="AK79" s="1"/>
      <c r="AL79" s="1"/>
      <c r="AM79" s="1"/>
      <c r="AN79" s="1" t="s">
        <v>1162</v>
      </c>
      <c r="AO79" s="1"/>
      <c r="AP79" s="1">
        <v>400131474</v>
      </c>
      <c r="AQ79" s="1">
        <v>7267348</v>
      </c>
      <c r="AR79" s="1">
        <v>0</v>
      </c>
      <c r="AS79" s="1" t="s">
        <v>1163</v>
      </c>
      <c r="AT79" s="1" t="s">
        <v>1164</v>
      </c>
      <c r="AU79" s="1" t="s">
        <v>1165</v>
      </c>
      <c r="AV79" s="1" t="s">
        <v>1165</v>
      </c>
      <c r="AW79" s="1">
        <v>0</v>
      </c>
      <c r="AX79" s="1">
        <v>0</v>
      </c>
      <c r="AY79" s="1">
        <v>0</v>
      </c>
      <c r="AZ79" s="1">
        <v>0</v>
      </c>
      <c r="BA79" s="1"/>
      <c r="BB79" s="1"/>
      <c r="BC79" s="1"/>
      <c r="BD79" s="1"/>
      <c r="BE79" s="1"/>
      <c r="BF79" s="1"/>
      <c r="BG79" s="1"/>
      <c r="BH79" s="1"/>
      <c r="BI79" s="1"/>
      <c r="BJ79" s="1"/>
      <c r="BK79" s="1" t="s">
        <v>427</v>
      </c>
      <c r="BL79" s="1" t="s">
        <v>404</v>
      </c>
      <c r="BM79" s="1" t="s">
        <v>734</v>
      </c>
      <c r="BN79" s="1"/>
      <c r="BO79" s="1"/>
      <c r="BP79" s="1" t="s">
        <v>396</v>
      </c>
      <c r="BQ79" s="1"/>
      <c r="BR79" s="1">
        <v>0</v>
      </c>
      <c r="BS79" s="1">
        <v>0</v>
      </c>
      <c r="BT79" s="1">
        <v>0</v>
      </c>
      <c r="BU79" s="1">
        <v>0</v>
      </c>
      <c r="BV79" s="1">
        <v>0</v>
      </c>
      <c r="BW79" s="1" t="s">
        <v>396</v>
      </c>
      <c r="BX79" s="1"/>
      <c r="BY79" s="1" t="s">
        <v>401</v>
      </c>
      <c r="BZ79" s="1">
        <v>0</v>
      </c>
      <c r="CA79" s="1">
        <v>0</v>
      </c>
      <c r="CB79" s="1">
        <v>0</v>
      </c>
      <c r="CC79" s="1" t="s">
        <v>1166</v>
      </c>
      <c r="CD79" s="1" t="s">
        <v>1167</v>
      </c>
    </row>
    <row r="80" spans="1:83" hidden="1">
      <c r="A80" s="1" t="s">
        <v>1171</v>
      </c>
      <c r="B80" s="1" t="str">
        <f>_xlfn.XLOOKUP(A:A,'Dados Elevatórias'!D:D,'Dados Elevatórias'!B:B)</f>
        <v>PL-RJB-EAT0068</v>
      </c>
      <c r="C80" s="1" t="str">
        <f>_xlfn.XLOOKUP(B:B,'Dados Elevatórias'!B:B,'Dados Elevatórias'!C:C)</f>
        <v>EAT</v>
      </c>
      <c r="D80" s="1" t="s">
        <v>373</v>
      </c>
      <c r="E80" s="1" t="s">
        <v>1172</v>
      </c>
      <c r="F80" s="1" t="s">
        <v>1173</v>
      </c>
      <c r="G80" s="1" t="s">
        <v>421</v>
      </c>
      <c r="H80" s="1" t="str">
        <f>_xlfn.XLOOKUP(B:B,'Dados Elevatórias'!B:B,'Dados Elevatórias'!G:G)</f>
        <v>26010-450</v>
      </c>
      <c r="I80" s="1">
        <f>_xlfn.XLOOKUP(B80,COORDENADAS!A:A,COORDENADAS!B:B)</f>
        <v>-22.756699999999999</v>
      </c>
      <c r="J80" s="1">
        <f>_xlfn.XLOOKUP(B80,COORDENADAS!A:A,COORDENADAS!C:C)</f>
        <v>-43.420699999999997</v>
      </c>
      <c r="K80" s="1"/>
      <c r="L80" s="1" t="str">
        <f>_xlfn.XLOOKUP(A:A,'RELAÇÃO ANTIGA'!A:A,'RELAÇÃO ANTIGA'!J:J)</f>
        <v>FORMAL</v>
      </c>
      <c r="M80" s="1">
        <v>1</v>
      </c>
      <c r="N80" s="1" t="s">
        <v>378</v>
      </c>
      <c r="O80" s="1" t="s">
        <v>1174</v>
      </c>
      <c r="P80" s="1" t="s">
        <v>1175</v>
      </c>
      <c r="Q80" s="1"/>
      <c r="R80" s="1"/>
      <c r="S80" s="1" t="s">
        <v>993</v>
      </c>
      <c r="T80" s="1"/>
      <c r="U80" s="1"/>
      <c r="V80" s="1"/>
      <c r="W80" s="1"/>
      <c r="X80" s="1"/>
      <c r="Y80" s="1" t="s">
        <v>993</v>
      </c>
      <c r="Z80" s="1"/>
      <c r="AA80" s="1"/>
      <c r="AB80" s="1"/>
      <c r="AC80" s="1" t="s">
        <v>727</v>
      </c>
      <c r="AD80" s="1"/>
      <c r="AE80" s="1"/>
      <c r="AF80" s="1"/>
      <c r="AG80" s="1"/>
      <c r="AH80" s="1"/>
      <c r="AI80" s="1"/>
      <c r="AJ80" s="1"/>
      <c r="AK80" s="1"/>
      <c r="AL80" s="1"/>
      <c r="AM80" s="1"/>
      <c r="AN80" s="1" t="str">
        <f>_xlfn.XLOOKUP(A:A,'RELAÇÃO ANTIGA'!A:A,'RELAÇÃO ANTIGA'!AC:AC,X)</f>
        <v>220V</v>
      </c>
      <c r="AO80" s="1"/>
      <c r="AP80" s="1">
        <v>0</v>
      </c>
      <c r="AQ80" s="1">
        <v>7254021</v>
      </c>
      <c r="AR80" s="1">
        <v>0</v>
      </c>
      <c r="AS80" s="1" t="s">
        <v>1176</v>
      </c>
      <c r="AT80" s="1" t="s">
        <v>1177</v>
      </c>
      <c r="AU80" s="1" t="s">
        <v>698</v>
      </c>
      <c r="AV80" s="1" t="s">
        <v>698</v>
      </c>
      <c r="AW80" s="1">
        <v>0</v>
      </c>
      <c r="AX80" s="1">
        <v>0</v>
      </c>
      <c r="AY80" s="1">
        <v>0</v>
      </c>
      <c r="AZ80" s="1">
        <v>0</v>
      </c>
      <c r="BA80" s="1"/>
      <c r="BB80" s="1"/>
      <c r="BC80" s="1"/>
      <c r="BD80" s="1"/>
      <c r="BE80" s="1"/>
      <c r="BF80" s="1"/>
      <c r="BG80" s="1"/>
      <c r="BH80" s="1"/>
      <c r="BI80" s="1"/>
      <c r="BJ80" s="1"/>
      <c r="BK80" s="1" t="s">
        <v>427</v>
      </c>
      <c r="BL80" s="1"/>
      <c r="BM80" s="1"/>
      <c r="BN80" s="1"/>
      <c r="BO80" s="1"/>
      <c r="BP80" s="1" t="s">
        <v>396</v>
      </c>
      <c r="BQ80" s="1"/>
      <c r="BR80" s="1">
        <v>0</v>
      </c>
      <c r="BS80" s="1">
        <v>0</v>
      </c>
      <c r="BT80" s="1">
        <v>0</v>
      </c>
      <c r="BU80" s="1">
        <v>0</v>
      </c>
      <c r="BV80" s="1">
        <v>0</v>
      </c>
      <c r="BW80" s="1" t="s">
        <v>396</v>
      </c>
      <c r="BX80" s="1"/>
      <c r="BY80" s="1" t="s">
        <v>401</v>
      </c>
      <c r="BZ80" s="1">
        <v>0</v>
      </c>
      <c r="CA80" s="1">
        <v>0</v>
      </c>
      <c r="CB80" s="1">
        <v>0</v>
      </c>
      <c r="CC80" s="1">
        <v>0</v>
      </c>
      <c r="CD80" s="1">
        <v>0</v>
      </c>
    </row>
    <row r="81" spans="1:82" ht="15" hidden="1" customHeight="1">
      <c r="A81" s="1" t="s">
        <v>1178</v>
      </c>
      <c r="B81" s="1" t="str">
        <f>_xlfn.XLOOKUP(A:A,'Dados Elevatórias'!D:D,'Dados Elevatórias'!B:B)</f>
        <v>PL-RJB-EAT1014</v>
      </c>
      <c r="C81" s="1" t="str">
        <f>_xlfn.XLOOKUP(B:B,'Dados Elevatórias'!B:B,'Dados Elevatórias'!C:C)</f>
        <v>EAT</v>
      </c>
      <c r="D81" s="1" t="s">
        <v>373</v>
      </c>
      <c r="E81" s="1" t="s">
        <v>1179</v>
      </c>
      <c r="F81" s="1" t="s">
        <v>1180</v>
      </c>
      <c r="G81" s="1" t="s">
        <v>443</v>
      </c>
      <c r="H81" s="1" t="str">
        <f>_xlfn.XLOOKUP(B:B,'Dados Elevatórias'!B:B,'Dados Elevatórias'!G:G)</f>
        <v>26325-200</v>
      </c>
      <c r="I81" s="1">
        <f>_xlfn.XLOOKUP(B81,COORDENADAS!A:A,COORDENADAS!B:B)</f>
        <v>-22.7211</v>
      </c>
      <c r="J81" s="1">
        <f>_xlfn.XLOOKUP(B81,COORDENADAS!A:A,COORDENADAS!C:C)</f>
        <v>-43.551600000000001</v>
      </c>
      <c r="K81" s="1"/>
      <c r="L81" s="1"/>
      <c r="M81" s="1">
        <v>1</v>
      </c>
      <c r="N81" s="1" t="s">
        <v>378</v>
      </c>
      <c r="O81" s="1">
        <v>10</v>
      </c>
      <c r="P81" s="1" t="s">
        <v>788</v>
      </c>
      <c r="Q81" s="1" t="s">
        <v>404</v>
      </c>
      <c r="R81" s="1" t="s">
        <v>815</v>
      </c>
      <c r="S81" s="1" t="s">
        <v>1181</v>
      </c>
      <c r="T81" s="1" t="s">
        <v>619</v>
      </c>
      <c r="U81" s="1" t="s">
        <v>817</v>
      </c>
      <c r="V81" s="1"/>
      <c r="W81" s="1"/>
      <c r="X81" s="1"/>
      <c r="Y81" s="1" t="s">
        <v>1182</v>
      </c>
      <c r="Z81" s="1" t="s">
        <v>898</v>
      </c>
      <c r="AA81" s="1">
        <v>2</v>
      </c>
      <c r="AB81" s="1"/>
      <c r="AC81" s="1" t="s">
        <v>455</v>
      </c>
      <c r="AD81" s="1" t="s">
        <v>386</v>
      </c>
      <c r="AE81" s="1"/>
      <c r="AF81" s="1" t="s">
        <v>411</v>
      </c>
      <c r="AG81" s="1"/>
      <c r="AH81" s="1" t="s">
        <v>412</v>
      </c>
      <c r="AI81" s="1"/>
      <c r="AJ81" s="1"/>
      <c r="AK81" s="1"/>
      <c r="AL81" s="1"/>
      <c r="AM81" s="1"/>
      <c r="AN81" s="1"/>
      <c r="AO81" s="1"/>
      <c r="AP81" s="1">
        <v>0</v>
      </c>
      <c r="AQ81" s="1">
        <v>0</v>
      </c>
      <c r="AR81" s="1">
        <v>0</v>
      </c>
      <c r="AS81" s="1">
        <v>0</v>
      </c>
      <c r="AT81" s="1">
        <v>0</v>
      </c>
      <c r="AU81" s="1">
        <v>0</v>
      </c>
      <c r="AV81" s="1">
        <v>0</v>
      </c>
      <c r="AW81" s="1">
        <v>0</v>
      </c>
      <c r="AX81" s="1">
        <v>0</v>
      </c>
      <c r="AY81" s="1">
        <v>0</v>
      </c>
      <c r="AZ81" s="1">
        <v>0</v>
      </c>
      <c r="BA81" s="1"/>
      <c r="BB81" s="1"/>
      <c r="BC81" s="1" t="s">
        <v>386</v>
      </c>
      <c r="BD81" s="1" t="s">
        <v>396</v>
      </c>
      <c r="BE81" s="1" t="s">
        <v>396</v>
      </c>
      <c r="BF81" s="1"/>
      <c r="BG81" s="1"/>
      <c r="BH81" s="1"/>
      <c r="BI81" s="1"/>
      <c r="BJ81" s="1" t="s">
        <v>1183</v>
      </c>
      <c r="BK81" s="1" t="s">
        <v>391</v>
      </c>
      <c r="BL81" s="1" t="s">
        <v>462</v>
      </c>
      <c r="BM81" s="1" t="s">
        <v>1184</v>
      </c>
      <c r="BN81" s="1" t="s">
        <v>1185</v>
      </c>
      <c r="BO81" s="1" t="s">
        <v>1186</v>
      </c>
      <c r="BP81" s="1" t="s">
        <v>386</v>
      </c>
      <c r="BQ81" s="1"/>
      <c r="BR81" s="1" t="s">
        <v>1187</v>
      </c>
      <c r="BS81" s="1" t="s">
        <v>492</v>
      </c>
      <c r="BT81" s="1">
        <v>0</v>
      </c>
      <c r="BU81" s="1">
        <v>0</v>
      </c>
      <c r="BV81" s="1">
        <v>0</v>
      </c>
      <c r="BW81" s="1"/>
      <c r="BX81" s="1"/>
      <c r="BY81" s="1">
        <v>0</v>
      </c>
      <c r="BZ81" s="1">
        <v>0</v>
      </c>
      <c r="CA81" s="1">
        <v>0</v>
      </c>
      <c r="CB81" s="1">
        <v>0</v>
      </c>
      <c r="CC81" s="1">
        <v>0</v>
      </c>
      <c r="CD81" s="1">
        <v>0</v>
      </c>
    </row>
    <row r="82" spans="1:82" hidden="1">
      <c r="A82" s="1" t="s">
        <v>1188</v>
      </c>
      <c r="B82" s="1" t="str">
        <f>_xlfn.XLOOKUP(A:A,'Dados Elevatórias'!D:D,'Dados Elevatórias'!B:B)</f>
        <v>PL-RJB-EAT0039</v>
      </c>
      <c r="C82" s="1" t="str">
        <f>_xlfn.XLOOKUP(B:B,'Dados Elevatórias'!B:B,'Dados Elevatórias'!C:C)</f>
        <v>EAT</v>
      </c>
      <c r="D82" s="1" t="s">
        <v>373</v>
      </c>
      <c r="E82" s="1" t="s">
        <v>1189</v>
      </c>
      <c r="F82" s="1" t="s">
        <v>1028</v>
      </c>
      <c r="G82" s="1" t="s">
        <v>421</v>
      </c>
      <c r="H82" s="1" t="s">
        <v>1190</v>
      </c>
      <c r="I82" s="1">
        <f>_xlfn.XLOOKUP(B82,COORDENADAS!A:A,COORDENADAS!B:B)</f>
        <v>-22.730599999999999</v>
      </c>
      <c r="J82" s="1">
        <f>_xlfn.XLOOKUP(B82,COORDENADAS!A:A,COORDENADAS!C:C)</f>
        <v>-43.514600000000002</v>
      </c>
      <c r="K82" s="1"/>
      <c r="L82" s="1" t="s">
        <v>444</v>
      </c>
      <c r="M82" s="1">
        <v>1</v>
      </c>
      <c r="N82" s="1" t="s">
        <v>378</v>
      </c>
      <c r="O82" s="1" t="s">
        <v>1191</v>
      </c>
      <c r="P82" s="1" t="s">
        <v>481</v>
      </c>
      <c r="Q82" s="1" t="s">
        <v>1192</v>
      </c>
      <c r="R82" s="1"/>
      <c r="S82" s="1" t="s">
        <v>1193</v>
      </c>
      <c r="T82" s="1" t="s">
        <v>707</v>
      </c>
      <c r="U82" s="1" t="s">
        <v>1194</v>
      </c>
      <c r="V82" s="1"/>
      <c r="W82" s="1"/>
      <c r="X82" s="1"/>
      <c r="Y82" s="1" t="s">
        <v>1195</v>
      </c>
      <c r="Z82" s="1" t="s">
        <v>1192</v>
      </c>
      <c r="AA82" s="1"/>
      <c r="AB82" s="1"/>
      <c r="AC82" s="1" t="s">
        <v>727</v>
      </c>
      <c r="AD82" s="1"/>
      <c r="AE82" s="1"/>
      <c r="AF82" s="1"/>
      <c r="AG82" s="1"/>
      <c r="AH82" s="1"/>
      <c r="AI82" s="1"/>
      <c r="AJ82" s="1"/>
      <c r="AK82" s="1"/>
      <c r="AL82" s="1"/>
      <c r="AM82" s="1"/>
      <c r="AN82" s="1" t="str">
        <f>_xlfn.XLOOKUP(A:A,'RELAÇÃO ANTIGA'!A:A,'RELAÇÃO ANTIGA'!AC:AC,X)</f>
        <v>220V</v>
      </c>
      <c r="AO82" s="1"/>
      <c r="AP82" s="1">
        <v>420160768</v>
      </c>
      <c r="AQ82" s="1">
        <v>6098958</v>
      </c>
      <c r="AR82" s="1">
        <v>0</v>
      </c>
      <c r="AS82" s="1" t="s">
        <v>1196</v>
      </c>
      <c r="AT82" s="1" t="s">
        <v>1197</v>
      </c>
      <c r="AU82" s="1" t="s">
        <v>489</v>
      </c>
      <c r="AV82" s="1" t="s">
        <v>489</v>
      </c>
      <c r="AW82" s="1">
        <v>0</v>
      </c>
      <c r="AX82" s="1">
        <v>0</v>
      </c>
      <c r="AY82" s="1">
        <v>0</v>
      </c>
      <c r="AZ82" s="1">
        <v>0</v>
      </c>
      <c r="BA82" s="1"/>
      <c r="BB82" s="1"/>
      <c r="BC82" s="1"/>
      <c r="BD82" s="1"/>
      <c r="BE82" s="1"/>
      <c r="BF82" s="1"/>
      <c r="BG82" s="1"/>
      <c r="BH82" s="1"/>
      <c r="BI82" s="1"/>
      <c r="BJ82" s="1"/>
      <c r="BK82" s="1" t="s">
        <v>427</v>
      </c>
      <c r="BL82" s="1"/>
      <c r="BM82" s="1"/>
      <c r="BN82" s="1"/>
      <c r="BO82" s="1"/>
      <c r="BP82" s="1" t="s">
        <v>386</v>
      </c>
      <c r="BQ82" s="1"/>
      <c r="BR82" s="1">
        <v>0</v>
      </c>
      <c r="BS82" s="1">
        <v>0</v>
      </c>
      <c r="BT82" s="1">
        <v>0</v>
      </c>
      <c r="BU82" s="1">
        <v>0</v>
      </c>
      <c r="BV82" s="1">
        <v>0</v>
      </c>
      <c r="BW82" s="1" t="s">
        <v>396</v>
      </c>
      <c r="BX82" s="1"/>
      <c r="BY82" s="1" t="s">
        <v>401</v>
      </c>
      <c r="BZ82" s="1">
        <v>0</v>
      </c>
      <c r="CA82" s="1">
        <v>0</v>
      </c>
      <c r="CB82" s="1">
        <v>0</v>
      </c>
      <c r="CC82" s="1" t="s">
        <v>1198</v>
      </c>
      <c r="CD82" s="1" t="s">
        <v>1199</v>
      </c>
    </row>
    <row r="83" spans="1:82" ht="14.25" hidden="1" customHeight="1">
      <c r="A83" s="1" t="s">
        <v>1200</v>
      </c>
      <c r="B83" s="1" t="str">
        <f>_xlfn.XLOOKUP(A:A,'Dados Elevatórias'!D:D,'Dados Elevatórias'!B:B)</f>
        <v>PL-RJB-EAT0738</v>
      </c>
      <c r="C83" s="1" t="str">
        <f>_xlfn.XLOOKUP(B:B,'Dados Elevatórias'!B:B,'Dados Elevatórias'!C:C)</f>
        <v>EAT</v>
      </c>
      <c r="D83" s="1" t="s">
        <v>373</v>
      </c>
      <c r="E83" s="1" t="s">
        <v>1201</v>
      </c>
      <c r="F83" s="1" t="s">
        <v>1107</v>
      </c>
      <c r="G83" s="1" t="s">
        <v>421</v>
      </c>
      <c r="H83" s="1" t="s">
        <v>1202</v>
      </c>
      <c r="I83" s="1">
        <f>_xlfn.XLOOKUP(B83,COORDENADAS!A:A,COORDENADAS!B:B)</f>
        <v>-22.7029</v>
      </c>
      <c r="J83" s="1">
        <f>_xlfn.XLOOKUP(B83,COORDENADAS!A:A,COORDENADAS!C:C)</f>
        <v>-43.5334</v>
      </c>
      <c r="K83" s="1"/>
      <c r="L83" s="1" t="s">
        <v>444</v>
      </c>
      <c r="M83" s="1">
        <v>1</v>
      </c>
      <c r="N83" s="1" t="s">
        <v>378</v>
      </c>
      <c r="O83" s="1" t="s">
        <v>1203</v>
      </c>
      <c r="P83" s="1" t="s">
        <v>1204</v>
      </c>
      <c r="Q83" s="1" t="s">
        <v>1205</v>
      </c>
      <c r="R83" s="1" t="s">
        <v>1206</v>
      </c>
      <c r="S83" s="1"/>
      <c r="T83" s="1" t="s">
        <v>407</v>
      </c>
      <c r="U83" s="1" t="s">
        <v>1031</v>
      </c>
      <c r="V83" s="1" t="s">
        <v>819</v>
      </c>
      <c r="W83" s="1" t="s">
        <v>1207</v>
      </c>
      <c r="X83" s="1" t="s">
        <v>1208</v>
      </c>
      <c r="Y83" s="1" t="s">
        <v>993</v>
      </c>
      <c r="Z83" s="1" t="s">
        <v>1209</v>
      </c>
      <c r="AA83" s="1" t="s">
        <v>1210</v>
      </c>
      <c r="AB83" s="1" t="s">
        <v>1211</v>
      </c>
      <c r="AC83" s="1" t="s">
        <v>410</v>
      </c>
      <c r="AD83" s="1" t="s">
        <v>386</v>
      </c>
      <c r="AE83" s="1"/>
      <c r="AF83" s="1"/>
      <c r="AG83" s="1"/>
      <c r="AH83" s="1"/>
      <c r="AI83" s="1" t="s">
        <v>1212</v>
      </c>
      <c r="AJ83" s="1" t="s">
        <v>1213</v>
      </c>
      <c r="AK83" s="1"/>
      <c r="AL83" s="1"/>
      <c r="AM83" s="1"/>
      <c r="AN83" s="1" t="str">
        <f>_xlfn.XLOOKUP(A:A,'RELAÇÃO ANTIGA'!A:A,'RELAÇÃO ANTIGA'!AC:AC,X)</f>
        <v>220V</v>
      </c>
      <c r="AO83" s="1"/>
      <c r="AP83" s="1">
        <v>0</v>
      </c>
      <c r="AQ83" s="1">
        <v>0</v>
      </c>
      <c r="AR83" s="1">
        <v>0</v>
      </c>
      <c r="AS83" s="1">
        <v>0</v>
      </c>
      <c r="AT83" s="1">
        <v>0</v>
      </c>
      <c r="AU83" s="1" t="s">
        <v>698</v>
      </c>
      <c r="AV83" s="1" t="s">
        <v>698</v>
      </c>
      <c r="AW83" s="1">
        <v>0</v>
      </c>
      <c r="AX83" s="1">
        <v>0</v>
      </c>
      <c r="AY83" s="1">
        <v>0</v>
      </c>
      <c r="AZ83" s="1">
        <v>0</v>
      </c>
      <c r="BA83" s="1"/>
      <c r="BB83" s="1"/>
      <c r="BC83" s="1"/>
      <c r="BD83" s="1"/>
      <c r="BE83" s="1"/>
      <c r="BF83" s="1"/>
      <c r="BG83" s="1"/>
      <c r="BH83" s="1"/>
      <c r="BI83" s="1"/>
      <c r="BJ83" s="1"/>
      <c r="BK83" s="1" t="s">
        <v>391</v>
      </c>
      <c r="BL83" s="1"/>
      <c r="BM83" s="1"/>
      <c r="BN83" s="1"/>
      <c r="BO83" s="1"/>
      <c r="BP83" s="1" t="s">
        <v>396</v>
      </c>
      <c r="BQ83" s="1"/>
      <c r="BR83" s="1" t="s">
        <v>594</v>
      </c>
      <c r="BS83" s="1" t="s">
        <v>397</v>
      </c>
      <c r="BT83" s="1">
        <v>0</v>
      </c>
      <c r="BU83" s="1">
        <v>0</v>
      </c>
      <c r="BV83" s="1">
        <v>0</v>
      </c>
      <c r="BW83" s="1" t="s">
        <v>396</v>
      </c>
      <c r="BX83" s="1"/>
      <c r="BY83" s="1" t="s">
        <v>401</v>
      </c>
      <c r="BZ83" s="1">
        <v>0</v>
      </c>
      <c r="CA83" s="1">
        <v>0</v>
      </c>
      <c r="CB83" s="1">
        <v>0</v>
      </c>
      <c r="CC83" s="1">
        <v>0</v>
      </c>
      <c r="CD83" s="1">
        <v>0</v>
      </c>
    </row>
    <row r="84" spans="1:82" hidden="1">
      <c r="A84" s="1" t="s">
        <v>1214</v>
      </c>
      <c r="B84" s="1" t="str">
        <f>_xlfn.XLOOKUP(A:A,'Dados Elevatórias'!D:D,'Dados Elevatórias'!B:B)</f>
        <v>PL-RJB-EAT0832</v>
      </c>
      <c r="C84" s="1" t="str">
        <f>_xlfn.XLOOKUP(B:B,'Dados Elevatórias'!B:B,'Dados Elevatórias'!C:C)</f>
        <v>EAT</v>
      </c>
      <c r="D84" s="1" t="s">
        <v>373</v>
      </c>
      <c r="E84" s="1" t="s">
        <v>1215</v>
      </c>
      <c r="F84" s="1" t="s">
        <v>528</v>
      </c>
      <c r="G84" s="1" t="s">
        <v>576</v>
      </c>
      <c r="H84" s="1" t="str">
        <f>_xlfn.XLOOKUP(B:B,'Dados Elevatórias'!B:B,'Dados Elevatórias'!G:G)</f>
        <v>26435-267</v>
      </c>
      <c r="I84" s="1">
        <f>_xlfn.XLOOKUP(B84,COORDENADAS!A:A,COORDENADAS!B:B)</f>
        <v>-22.6419</v>
      </c>
      <c r="J84" s="1">
        <f>_xlfn.XLOOKUP(B84,COORDENADAS!A:A,COORDENADAS!C:C)</f>
        <v>-43.654600000000002</v>
      </c>
      <c r="K84" s="1"/>
      <c r="L84" s="1"/>
      <c r="M84" s="1">
        <v>1</v>
      </c>
      <c r="N84" s="1" t="s">
        <v>378</v>
      </c>
      <c r="O84" s="1" t="s">
        <v>1070</v>
      </c>
      <c r="P84" s="1" t="s">
        <v>1216</v>
      </c>
      <c r="Q84" s="1"/>
      <c r="R84" s="1"/>
      <c r="S84" s="1"/>
      <c r="T84" s="1"/>
      <c r="U84" s="1"/>
      <c r="V84" s="1"/>
      <c r="W84" s="1"/>
      <c r="X84" s="1"/>
      <c r="Y84" s="1"/>
      <c r="Z84" s="1"/>
      <c r="AA84" s="1"/>
      <c r="AB84" s="1"/>
      <c r="AC84" s="1" t="s">
        <v>455</v>
      </c>
      <c r="AD84" s="1"/>
      <c r="AE84" s="1"/>
      <c r="AF84" s="1"/>
      <c r="AG84" s="1"/>
      <c r="AH84" s="1" t="s">
        <v>412</v>
      </c>
      <c r="AI84" s="1" t="s">
        <v>1212</v>
      </c>
      <c r="AJ84" s="1" t="s">
        <v>1213</v>
      </c>
      <c r="AK84" s="1"/>
      <c r="AL84" s="1"/>
      <c r="AM84" s="1"/>
      <c r="AN84" s="1" t="str">
        <f>_xlfn.XLOOKUP(A:A,'RELAÇÃO ANTIGA'!A:A,'RELAÇÃO ANTIGA'!AC:AC,X)</f>
        <v>220v</v>
      </c>
      <c r="AO84" s="1"/>
      <c r="AP84" s="1">
        <v>0</v>
      </c>
      <c r="AQ84" s="1">
        <v>0</v>
      </c>
      <c r="AR84" s="1">
        <v>0</v>
      </c>
      <c r="AS84" s="1" t="s">
        <v>509</v>
      </c>
      <c r="AT84" s="1">
        <v>0</v>
      </c>
      <c r="AU84" s="1">
        <v>0</v>
      </c>
      <c r="AV84" s="1">
        <v>0</v>
      </c>
      <c r="AW84" s="1">
        <v>0</v>
      </c>
      <c r="AX84" s="1">
        <v>0</v>
      </c>
      <c r="AY84" s="1">
        <v>0</v>
      </c>
      <c r="AZ84" s="1">
        <v>0</v>
      </c>
      <c r="BA84" s="1"/>
      <c r="BB84" s="1"/>
      <c r="BC84" s="1"/>
      <c r="BD84" s="1"/>
      <c r="BE84" s="1"/>
      <c r="BF84" s="1"/>
      <c r="BG84" s="1"/>
      <c r="BH84" s="1"/>
      <c r="BI84" s="1"/>
      <c r="BJ84" s="1"/>
      <c r="BK84" s="1" t="s">
        <v>391</v>
      </c>
      <c r="BL84" s="1" t="s">
        <v>462</v>
      </c>
      <c r="BM84" s="1" t="s">
        <v>826</v>
      </c>
      <c r="BN84" s="1" t="s">
        <v>827</v>
      </c>
      <c r="BO84" s="1"/>
      <c r="BP84" s="1" t="s">
        <v>396</v>
      </c>
      <c r="BQ84" s="1"/>
      <c r="BR84" s="1" t="s">
        <v>1217</v>
      </c>
      <c r="BS84" s="1" t="s">
        <v>1218</v>
      </c>
      <c r="BT84" s="1">
        <v>0</v>
      </c>
      <c r="BU84" s="1">
        <v>0</v>
      </c>
      <c r="BV84" s="1">
        <v>0</v>
      </c>
      <c r="BW84" s="1"/>
      <c r="BX84" s="1"/>
      <c r="BY84" s="1">
        <v>0</v>
      </c>
      <c r="BZ84" s="1">
        <v>0</v>
      </c>
      <c r="CA84" s="1">
        <v>0</v>
      </c>
      <c r="CB84" s="1">
        <v>0</v>
      </c>
      <c r="CC84" s="1">
        <v>0</v>
      </c>
      <c r="CD84" s="1">
        <v>0</v>
      </c>
    </row>
    <row r="85" spans="1:82" hidden="1">
      <c r="A85" s="1" t="s">
        <v>1219</v>
      </c>
      <c r="B85" s="1" t="str">
        <f>_xlfn.XLOOKUP(A:A,'Dados Elevatórias'!D:D,'Dados Elevatórias'!B:B)</f>
        <v>PL-RJB-EAT0825</v>
      </c>
      <c r="C85" s="1" t="str">
        <f>_xlfn.XLOOKUP(B:B,'Dados Elevatórias'!B:B,'Dados Elevatórias'!C:C)</f>
        <v>EAT</v>
      </c>
      <c r="D85" s="1" t="s">
        <v>373</v>
      </c>
      <c r="E85" s="1" t="s">
        <v>1220</v>
      </c>
      <c r="F85" s="1" t="s">
        <v>1221</v>
      </c>
      <c r="G85" s="1" t="s">
        <v>421</v>
      </c>
      <c r="H85" s="1" t="s">
        <v>1222</v>
      </c>
      <c r="I85" s="1">
        <f>_xlfn.XLOOKUP(B85,COORDENADAS!A:A,COORDENADAS!B:B)</f>
        <v>-22.762</v>
      </c>
      <c r="J85" s="1">
        <f>_xlfn.XLOOKUP(B85,COORDENADAS!A:A,COORDENADAS!C:C)</f>
        <v>-43.483600000000003</v>
      </c>
      <c r="K85" s="1"/>
      <c r="L85" s="1"/>
      <c r="M85" s="1">
        <v>1</v>
      </c>
      <c r="N85" s="1" t="s">
        <v>378</v>
      </c>
      <c r="O85" s="1" t="s">
        <v>1223</v>
      </c>
      <c r="P85" s="1" t="s">
        <v>774</v>
      </c>
      <c r="Q85" s="1"/>
      <c r="R85" s="1" t="s">
        <v>1224</v>
      </c>
      <c r="S85" s="1" t="s">
        <v>993</v>
      </c>
      <c r="T85" s="1" t="s">
        <v>407</v>
      </c>
      <c r="U85" s="1" t="s">
        <v>1031</v>
      </c>
      <c r="V85" s="1"/>
      <c r="W85" s="1"/>
      <c r="X85" s="1"/>
      <c r="Y85" s="1" t="s">
        <v>1225</v>
      </c>
      <c r="Z85" s="1" t="s">
        <v>975</v>
      </c>
      <c r="AA85" s="1"/>
      <c r="AB85" s="1"/>
      <c r="AC85" s="1" t="s">
        <v>455</v>
      </c>
      <c r="AD85" s="1"/>
      <c r="AE85" s="1"/>
      <c r="AF85" s="1"/>
      <c r="AG85" s="1"/>
      <c r="AH85" s="1"/>
      <c r="AI85" s="1"/>
      <c r="AJ85" s="1"/>
      <c r="AK85" s="1"/>
      <c r="AL85" s="1"/>
      <c r="AM85" s="1"/>
      <c r="AN85" s="1" t="str">
        <f>_xlfn.XLOOKUP(A:A,'RELAÇÃO ANTIGA'!A:A,'RELAÇÃO ANTIGA'!AC:AC,X)</f>
        <v>220v</v>
      </c>
      <c r="AO85" s="1"/>
      <c r="AP85" s="1">
        <v>0</v>
      </c>
      <c r="AQ85" s="1">
        <v>0</v>
      </c>
      <c r="AR85" s="1">
        <v>0</v>
      </c>
      <c r="AS85" s="1">
        <v>0</v>
      </c>
      <c r="AT85" s="1">
        <v>0</v>
      </c>
      <c r="AU85" s="1">
        <v>0</v>
      </c>
      <c r="AV85" s="1">
        <v>0</v>
      </c>
      <c r="AW85" s="1">
        <v>0</v>
      </c>
      <c r="AX85" s="1">
        <v>0</v>
      </c>
      <c r="AY85" s="1">
        <v>0</v>
      </c>
      <c r="AZ85" s="1">
        <v>0</v>
      </c>
      <c r="BA85" s="1"/>
      <c r="BB85" s="1"/>
      <c r="BC85" s="1"/>
      <c r="BD85" s="1"/>
      <c r="BE85" s="1"/>
      <c r="BF85" s="1"/>
      <c r="BG85" s="1"/>
      <c r="BH85" s="1"/>
      <c r="BI85" s="1"/>
      <c r="BJ85" s="1"/>
      <c r="BK85" s="1" t="s">
        <v>391</v>
      </c>
      <c r="BL85" s="1"/>
      <c r="BM85" s="1"/>
      <c r="BN85" s="1"/>
      <c r="BO85" s="1"/>
      <c r="BP85" s="1" t="s">
        <v>386</v>
      </c>
      <c r="BQ85" s="1"/>
      <c r="BR85" s="1">
        <v>0</v>
      </c>
      <c r="BS85" s="1">
        <v>0</v>
      </c>
      <c r="BT85" s="1">
        <v>0</v>
      </c>
      <c r="BU85" s="1">
        <v>0</v>
      </c>
      <c r="BV85" s="1">
        <v>0</v>
      </c>
      <c r="BW85" s="1"/>
      <c r="BX85" s="1"/>
      <c r="BY85" s="1">
        <v>0</v>
      </c>
      <c r="BZ85" s="1">
        <v>0</v>
      </c>
      <c r="CA85" s="1">
        <v>0</v>
      </c>
      <c r="CB85" s="1">
        <v>0</v>
      </c>
      <c r="CC85" s="1">
        <v>0</v>
      </c>
      <c r="CD85" s="1">
        <v>0</v>
      </c>
    </row>
    <row r="86" spans="1:82" hidden="1">
      <c r="A86" s="1" t="s">
        <v>376</v>
      </c>
      <c r="B86" s="1" t="str">
        <f>_xlfn.XLOOKUP(A:A,'Dados Elevatórias'!D:D,'Dados Elevatórias'!B:B)</f>
        <v>PL-RJB-EAT0113</v>
      </c>
      <c r="C86" s="1" t="str">
        <f>_xlfn.XLOOKUP(B:B,'Dados Elevatórias'!B:B,'Dados Elevatórias'!C:C)</f>
        <v>EAT</v>
      </c>
      <c r="D86" s="1" t="s">
        <v>373</v>
      </c>
      <c r="E86" s="1" t="s">
        <v>1226</v>
      </c>
      <c r="F86" s="1" t="s">
        <v>1124</v>
      </c>
      <c r="G86" s="1" t="s">
        <v>376</v>
      </c>
      <c r="H86" s="1" t="str">
        <f>_xlfn.XLOOKUP(B:B,'Dados Elevatórias'!B:B,'Dados Elevatórias'!G:G)</f>
        <v>21645-010</v>
      </c>
      <c r="I86" s="1">
        <f>_xlfn.XLOOKUP(B86,COORDENADAS!A:A,COORDENADAS!B:B)</f>
        <v>-22.820699999999999</v>
      </c>
      <c r="J86" s="1">
        <f>_xlfn.XLOOKUP(B86,COORDENADAS!A:A,COORDENADAS!C:C)</f>
        <v>-43.407200000000003</v>
      </c>
      <c r="K86" s="1"/>
      <c r="L86" s="1" t="s">
        <v>377</v>
      </c>
      <c r="M86" s="1">
        <v>1</v>
      </c>
      <c r="N86" s="1" t="s">
        <v>378</v>
      </c>
      <c r="O86" s="1" t="s">
        <v>1227</v>
      </c>
      <c r="P86" s="1" t="s">
        <v>1228</v>
      </c>
      <c r="Q86" s="1" t="s">
        <v>1205</v>
      </c>
      <c r="R86" s="1"/>
      <c r="S86" s="1" t="s">
        <v>1229</v>
      </c>
      <c r="T86" s="1">
        <v>440</v>
      </c>
      <c r="U86" s="1">
        <v>258</v>
      </c>
      <c r="V86" s="1"/>
      <c r="W86" s="1"/>
      <c r="X86" s="1" t="s">
        <v>1230</v>
      </c>
      <c r="Y86" s="1" t="s">
        <v>1231</v>
      </c>
      <c r="Z86" s="1" t="s">
        <v>1232</v>
      </c>
      <c r="AA86" s="1">
        <v>6</v>
      </c>
      <c r="AB86" s="1" t="s">
        <v>1233</v>
      </c>
      <c r="AC86" s="1" t="s">
        <v>455</v>
      </c>
      <c r="AD86" s="1" t="s">
        <v>386</v>
      </c>
      <c r="AE86" s="1"/>
      <c r="AF86" s="1" t="s">
        <v>411</v>
      </c>
      <c r="AG86" s="1"/>
      <c r="AH86" s="1" t="s">
        <v>411</v>
      </c>
      <c r="AI86" s="1" t="s">
        <v>1234</v>
      </c>
      <c r="AJ86" s="1">
        <v>26</v>
      </c>
      <c r="AK86" s="1"/>
      <c r="AL86" s="1"/>
      <c r="AM86" s="1"/>
      <c r="AN86" s="1" t="s">
        <v>563</v>
      </c>
      <c r="AO86" s="1"/>
      <c r="AP86" s="1">
        <v>0</v>
      </c>
      <c r="AQ86" s="1">
        <v>0</v>
      </c>
      <c r="AR86" s="1">
        <v>0</v>
      </c>
      <c r="AS86" s="1">
        <v>0</v>
      </c>
      <c r="AT86" s="1">
        <v>0</v>
      </c>
      <c r="AU86" s="1">
        <v>0</v>
      </c>
      <c r="AV86" s="1">
        <v>0</v>
      </c>
      <c r="AW86" s="1">
        <v>0</v>
      </c>
      <c r="AX86" s="1">
        <v>0</v>
      </c>
      <c r="AY86" s="1">
        <v>0</v>
      </c>
      <c r="AZ86" s="1">
        <v>0</v>
      </c>
      <c r="BA86" s="1"/>
      <c r="BB86" s="1"/>
      <c r="BC86" s="1"/>
      <c r="BD86" s="1"/>
      <c r="BE86" s="1"/>
      <c r="BF86" s="1"/>
      <c r="BG86" s="1"/>
      <c r="BH86" s="1"/>
      <c r="BI86" s="1"/>
      <c r="BJ86" s="1"/>
      <c r="BK86" s="1" t="s">
        <v>391</v>
      </c>
      <c r="BL86" s="1" t="s">
        <v>404</v>
      </c>
      <c r="BM86" s="1" t="s">
        <v>514</v>
      </c>
      <c r="BN86" s="1" t="s">
        <v>1235</v>
      </c>
      <c r="BO86" s="1" t="s">
        <v>1236</v>
      </c>
      <c r="BP86" s="1" t="s">
        <v>396</v>
      </c>
      <c r="BQ86" s="1"/>
      <c r="BR86" s="1" t="s">
        <v>516</v>
      </c>
      <c r="BS86" s="1">
        <v>0</v>
      </c>
      <c r="BT86" s="1" t="s">
        <v>1237</v>
      </c>
      <c r="BU86" s="1" t="s">
        <v>1238</v>
      </c>
      <c r="BV86" s="1" t="s">
        <v>1238</v>
      </c>
      <c r="BW86" s="1"/>
      <c r="BX86" s="1"/>
      <c r="BY86" s="1">
        <v>0</v>
      </c>
      <c r="BZ86" s="1">
        <v>0</v>
      </c>
      <c r="CA86" s="1">
        <v>0</v>
      </c>
      <c r="CB86" s="1">
        <v>0</v>
      </c>
      <c r="CC86" s="1">
        <v>0</v>
      </c>
      <c r="CD86" s="1">
        <v>0</v>
      </c>
    </row>
    <row r="87" spans="1:82" hidden="1">
      <c r="A87" s="1" t="s">
        <v>376</v>
      </c>
      <c r="B87" s="1" t="str">
        <f>_xlfn.XLOOKUP(A:A,'Dados Elevatórias'!D:D,'Dados Elevatórias'!B:B)</f>
        <v>PL-RJB-EAT0113</v>
      </c>
      <c r="C87" s="1" t="str">
        <f>_xlfn.XLOOKUP(B:B,'Dados Elevatórias'!B:B,'Dados Elevatórias'!C:C)</f>
        <v>EAT</v>
      </c>
      <c r="D87" s="1" t="s">
        <v>373</v>
      </c>
      <c r="E87" s="1" t="s">
        <v>1226</v>
      </c>
      <c r="F87" s="1" t="s">
        <v>1124</v>
      </c>
      <c r="G87" s="1" t="s">
        <v>376</v>
      </c>
      <c r="H87" s="1" t="str">
        <f>_xlfn.XLOOKUP(B:B,'Dados Elevatórias'!B:B,'Dados Elevatórias'!G:G)</f>
        <v>21645-010</v>
      </c>
      <c r="I87" s="1">
        <f>_xlfn.XLOOKUP(B87,COORDENADAS!A:A,COORDENADAS!B:B)</f>
        <v>-22.820699999999999</v>
      </c>
      <c r="J87" s="1">
        <f>_xlfn.XLOOKUP(B87,COORDENADAS!A:A,COORDENADAS!C:C)</f>
        <v>-43.407200000000003</v>
      </c>
      <c r="K87" s="1"/>
      <c r="L87" s="1" t="s">
        <v>377</v>
      </c>
      <c r="M87" s="1">
        <v>2</v>
      </c>
      <c r="N87" s="1" t="s">
        <v>378</v>
      </c>
      <c r="O87" s="1" t="s">
        <v>1227</v>
      </c>
      <c r="P87" s="1" t="s">
        <v>1228</v>
      </c>
      <c r="Q87" s="1" t="s">
        <v>1205</v>
      </c>
      <c r="R87" s="1"/>
      <c r="S87" s="1" t="s">
        <v>1239</v>
      </c>
      <c r="T87" s="1">
        <v>440</v>
      </c>
      <c r="U87" s="1">
        <v>258</v>
      </c>
      <c r="V87" s="1"/>
      <c r="W87" s="1"/>
      <c r="X87" s="1" t="s">
        <v>1230</v>
      </c>
      <c r="Y87" s="1" t="s">
        <v>1240</v>
      </c>
      <c r="Z87" s="1" t="s">
        <v>1232</v>
      </c>
      <c r="AA87" s="1">
        <v>6</v>
      </c>
      <c r="AB87" s="1" t="s">
        <v>1233</v>
      </c>
      <c r="AC87" s="1" t="s">
        <v>455</v>
      </c>
      <c r="AD87" s="1" t="s">
        <v>386</v>
      </c>
      <c r="AE87" s="1"/>
      <c r="AF87" s="1" t="s">
        <v>411</v>
      </c>
      <c r="AG87" s="1"/>
      <c r="AH87" s="1" t="s">
        <v>411</v>
      </c>
      <c r="AI87" s="1" t="s">
        <v>1234</v>
      </c>
      <c r="AJ87" s="1">
        <v>26</v>
      </c>
      <c r="AK87" s="1"/>
      <c r="AL87" s="1"/>
      <c r="AM87" s="1"/>
      <c r="AN87" s="1" t="s">
        <v>563</v>
      </c>
      <c r="AO87" s="1"/>
      <c r="AP87" s="1">
        <v>0</v>
      </c>
      <c r="AQ87" s="1">
        <v>0</v>
      </c>
      <c r="AR87" s="1">
        <v>0</v>
      </c>
      <c r="AS87" s="1">
        <v>0</v>
      </c>
      <c r="AT87" s="1">
        <v>0</v>
      </c>
      <c r="AU87" s="1">
        <v>0</v>
      </c>
      <c r="AV87" s="1">
        <v>0</v>
      </c>
      <c r="AW87" s="1">
        <v>0</v>
      </c>
      <c r="AX87" s="1">
        <v>0</v>
      </c>
      <c r="AY87" s="1">
        <v>0</v>
      </c>
      <c r="AZ87" s="1">
        <v>0</v>
      </c>
      <c r="BA87" s="1"/>
      <c r="BB87" s="1"/>
      <c r="BC87" s="1"/>
      <c r="BD87" s="1"/>
      <c r="BE87" s="1"/>
      <c r="BF87" s="1"/>
      <c r="BG87" s="1"/>
      <c r="BH87" s="1"/>
      <c r="BI87" s="1"/>
      <c r="BJ87" s="1"/>
      <c r="BK87" s="1" t="s">
        <v>391</v>
      </c>
      <c r="BL87" s="1" t="s">
        <v>404</v>
      </c>
      <c r="BM87" s="1" t="s">
        <v>514</v>
      </c>
      <c r="BN87" s="1" t="s">
        <v>1235</v>
      </c>
      <c r="BO87" s="1" t="s">
        <v>1241</v>
      </c>
      <c r="BP87" s="1" t="s">
        <v>396</v>
      </c>
      <c r="BQ87" s="1"/>
      <c r="BR87" s="1" t="s">
        <v>516</v>
      </c>
      <c r="BS87" s="1">
        <v>0</v>
      </c>
      <c r="BT87" s="1" t="s">
        <v>1237</v>
      </c>
      <c r="BU87" s="1" t="s">
        <v>1238</v>
      </c>
      <c r="BV87" s="1" t="s">
        <v>1238</v>
      </c>
      <c r="BW87" s="1"/>
      <c r="BX87" s="1"/>
      <c r="BY87" s="1">
        <v>0</v>
      </c>
      <c r="BZ87" s="1">
        <v>0</v>
      </c>
      <c r="CA87" s="1">
        <v>0</v>
      </c>
      <c r="CB87" s="1">
        <v>0</v>
      </c>
      <c r="CC87" s="1">
        <v>0</v>
      </c>
      <c r="CD87" s="1">
        <v>0</v>
      </c>
    </row>
    <row r="88" spans="1:82" hidden="1">
      <c r="A88" s="1" t="s">
        <v>376</v>
      </c>
      <c r="B88" s="1" t="str">
        <f>_xlfn.XLOOKUP(A:A,'Dados Elevatórias'!D:D,'Dados Elevatórias'!B:B)</f>
        <v>PL-RJB-EAT0113</v>
      </c>
      <c r="C88" s="1" t="str">
        <f>_xlfn.XLOOKUP(B:B,'Dados Elevatórias'!B:B,'Dados Elevatórias'!C:C)</f>
        <v>EAT</v>
      </c>
      <c r="D88" s="1" t="s">
        <v>373</v>
      </c>
      <c r="E88" s="1" t="s">
        <v>1226</v>
      </c>
      <c r="F88" s="1" t="s">
        <v>1124</v>
      </c>
      <c r="G88" s="1" t="s">
        <v>376</v>
      </c>
      <c r="H88" s="1" t="str">
        <f>_xlfn.XLOOKUP(B:B,'Dados Elevatórias'!B:B,'Dados Elevatórias'!G:G)</f>
        <v>21645-010</v>
      </c>
      <c r="I88" s="1">
        <f>_xlfn.XLOOKUP(B88,COORDENADAS!A:A,COORDENADAS!B:B)</f>
        <v>-22.820699999999999</v>
      </c>
      <c r="J88" s="1">
        <f>_xlfn.XLOOKUP(B88,COORDENADAS!A:A,COORDENADAS!C:C)</f>
        <v>-43.407200000000003</v>
      </c>
      <c r="K88" s="1"/>
      <c r="L88" s="1" t="s">
        <v>377</v>
      </c>
      <c r="M88" s="1">
        <v>3</v>
      </c>
      <c r="N88" s="1" t="s">
        <v>378</v>
      </c>
      <c r="O88" s="1" t="s">
        <v>1227</v>
      </c>
      <c r="P88" s="1" t="s">
        <v>1228</v>
      </c>
      <c r="Q88" s="1" t="s">
        <v>1205</v>
      </c>
      <c r="R88" s="1"/>
      <c r="S88" s="1" t="s">
        <v>1242</v>
      </c>
      <c r="T88" s="1">
        <v>440</v>
      </c>
      <c r="U88" s="1">
        <v>258</v>
      </c>
      <c r="V88" s="1"/>
      <c r="W88" s="1"/>
      <c r="X88" s="1" t="s">
        <v>1230</v>
      </c>
      <c r="Y88" s="1" t="s">
        <v>1243</v>
      </c>
      <c r="Z88" s="1" t="s">
        <v>1232</v>
      </c>
      <c r="AA88" s="1">
        <v>6</v>
      </c>
      <c r="AB88" s="1" t="s">
        <v>1233</v>
      </c>
      <c r="AC88" s="1" t="s">
        <v>455</v>
      </c>
      <c r="AD88" s="1" t="s">
        <v>386</v>
      </c>
      <c r="AE88" s="1"/>
      <c r="AF88" s="1" t="s">
        <v>411</v>
      </c>
      <c r="AG88" s="1"/>
      <c r="AH88" s="1" t="s">
        <v>411</v>
      </c>
      <c r="AI88" s="1" t="s">
        <v>1234</v>
      </c>
      <c r="AJ88" s="1">
        <v>26</v>
      </c>
      <c r="AK88" s="1"/>
      <c r="AL88" s="1"/>
      <c r="AM88" s="1"/>
      <c r="AN88" s="1" t="s">
        <v>563</v>
      </c>
      <c r="AO88" s="1"/>
      <c r="AP88" s="1">
        <v>0</v>
      </c>
      <c r="AQ88" s="1">
        <v>0</v>
      </c>
      <c r="AR88" s="1">
        <v>0</v>
      </c>
      <c r="AS88" s="1">
        <v>0</v>
      </c>
      <c r="AT88" s="1">
        <v>0</v>
      </c>
      <c r="AU88" s="1">
        <v>0</v>
      </c>
      <c r="AV88" s="1">
        <v>0</v>
      </c>
      <c r="AW88" s="1">
        <v>0</v>
      </c>
      <c r="AX88" s="1">
        <v>0</v>
      </c>
      <c r="AY88" s="1">
        <v>0</v>
      </c>
      <c r="AZ88" s="1">
        <v>0</v>
      </c>
      <c r="BA88" s="1"/>
      <c r="BB88" s="1"/>
      <c r="BC88" s="1"/>
      <c r="BD88" s="1"/>
      <c r="BE88" s="1"/>
      <c r="BF88" s="1"/>
      <c r="BG88" s="1"/>
      <c r="BH88" s="1"/>
      <c r="BI88" s="1"/>
      <c r="BJ88" s="1"/>
      <c r="BK88" s="1" t="s">
        <v>391</v>
      </c>
      <c r="BL88" s="1" t="s">
        <v>589</v>
      </c>
      <c r="BM88" s="1" t="s">
        <v>1244</v>
      </c>
      <c r="BN88" s="1" t="s">
        <v>1245</v>
      </c>
      <c r="BO88" s="1" t="s">
        <v>1246</v>
      </c>
      <c r="BP88" s="1" t="s">
        <v>396</v>
      </c>
      <c r="BQ88" s="1"/>
      <c r="BR88" s="1" t="s">
        <v>516</v>
      </c>
      <c r="BS88" s="1">
        <v>0</v>
      </c>
      <c r="BT88" s="1" t="s">
        <v>1237</v>
      </c>
      <c r="BU88" s="1" t="s">
        <v>1238</v>
      </c>
      <c r="BV88" s="1" t="s">
        <v>1238</v>
      </c>
      <c r="BW88" s="1"/>
      <c r="BX88" s="1"/>
      <c r="BY88" s="1">
        <v>0</v>
      </c>
      <c r="BZ88" s="1">
        <v>0</v>
      </c>
      <c r="CA88" s="1">
        <v>0</v>
      </c>
      <c r="CB88" s="1">
        <v>0</v>
      </c>
      <c r="CC88" s="1">
        <v>0</v>
      </c>
      <c r="CD88" s="1">
        <v>0</v>
      </c>
    </row>
    <row r="89" spans="1:82" hidden="1">
      <c r="A89" s="1" t="s">
        <v>1247</v>
      </c>
      <c r="B89" s="1" t="str">
        <f>_xlfn.XLOOKUP(A:A,'Dados Elevatórias'!D:D,'Dados Elevatórias'!B:B)</f>
        <v>PL-RJB-EAT0024</v>
      </c>
      <c r="C89" s="1" t="str">
        <f>_xlfn.XLOOKUP(B:B,'Dados Elevatórias'!B:B,'Dados Elevatórias'!C:C)</f>
        <v>EAT</v>
      </c>
      <c r="D89" s="1" t="s">
        <v>373</v>
      </c>
      <c r="E89" s="1" t="s">
        <v>1248</v>
      </c>
      <c r="F89" s="1" t="s">
        <v>1249</v>
      </c>
      <c r="G89" s="1" t="s">
        <v>376</v>
      </c>
      <c r="H89" s="1" t="str">
        <f>_xlfn.XLOOKUP(B:B,'Dados Elevatórias'!B:B,'Dados Elevatórias'!G:G)</f>
        <v>26545-191</v>
      </c>
      <c r="I89" s="1">
        <f>_xlfn.XLOOKUP(B89,COORDENADAS!A:A,COORDENADAS!B:B)</f>
        <v>-22.810400000000001</v>
      </c>
      <c r="J89" s="1">
        <f>_xlfn.XLOOKUP(B89,COORDENADAS!A:A,COORDENADAS!C:C)</f>
        <v>-43.404400000000003</v>
      </c>
      <c r="K89" s="1"/>
      <c r="L89" s="1"/>
      <c r="M89" s="1">
        <v>1</v>
      </c>
      <c r="N89" s="1" t="s">
        <v>378</v>
      </c>
      <c r="O89" s="1"/>
      <c r="P89" s="1"/>
      <c r="Q89" s="1"/>
      <c r="R89" s="1"/>
      <c r="S89" s="1" t="s">
        <v>993</v>
      </c>
      <c r="T89" s="1"/>
      <c r="U89" s="1"/>
      <c r="V89" s="1"/>
      <c r="W89" s="1"/>
      <c r="X89" s="1"/>
      <c r="Y89" s="1" t="s">
        <v>992</v>
      </c>
      <c r="Z89" s="1"/>
      <c r="AA89" s="1"/>
      <c r="AB89" s="1"/>
      <c r="AC89" s="1" t="s">
        <v>385</v>
      </c>
      <c r="AD89" s="1"/>
      <c r="AE89" s="1"/>
      <c r="AF89" s="1"/>
      <c r="AG89" s="1"/>
      <c r="AH89" s="1"/>
      <c r="AI89" s="1"/>
      <c r="AJ89" s="1"/>
      <c r="AK89" s="1"/>
      <c r="AL89" s="1"/>
      <c r="AM89" s="1"/>
      <c r="AN89" s="1" t="s">
        <v>433</v>
      </c>
      <c r="AO89" s="1"/>
      <c r="AP89" s="1">
        <v>400375870</v>
      </c>
      <c r="AQ89" s="1">
        <v>8402966</v>
      </c>
      <c r="AR89" s="1">
        <v>0</v>
      </c>
      <c r="AS89" s="1" t="s">
        <v>1250</v>
      </c>
      <c r="AT89" s="1" t="s">
        <v>1251</v>
      </c>
      <c r="AU89" s="1" t="s">
        <v>489</v>
      </c>
      <c r="AV89" s="1" t="s">
        <v>698</v>
      </c>
      <c r="AW89" s="1">
        <v>0</v>
      </c>
      <c r="AX89" s="1">
        <v>0</v>
      </c>
      <c r="AY89" s="1">
        <v>0</v>
      </c>
      <c r="AZ89" s="1">
        <v>0</v>
      </c>
      <c r="BA89" s="1"/>
      <c r="BB89" s="1"/>
      <c r="BC89" s="1"/>
      <c r="BD89" s="1"/>
      <c r="BE89" s="1"/>
      <c r="BF89" s="1"/>
      <c r="BG89" s="1"/>
      <c r="BH89" s="1"/>
      <c r="BI89" s="1"/>
      <c r="BJ89" s="1"/>
      <c r="BK89" s="1" t="s">
        <v>437</v>
      </c>
      <c r="BL89" s="1"/>
      <c r="BM89" s="1"/>
      <c r="BN89" s="1"/>
      <c r="BO89" s="1"/>
      <c r="BP89" s="1" t="s">
        <v>386</v>
      </c>
      <c r="BQ89" s="1"/>
      <c r="BR89" s="1">
        <v>0</v>
      </c>
      <c r="BS89" s="1">
        <v>0</v>
      </c>
      <c r="BT89" s="1">
        <v>0</v>
      </c>
      <c r="BU89" s="1">
        <v>0</v>
      </c>
      <c r="BV89" s="1">
        <v>0</v>
      </c>
      <c r="BW89" s="1" t="s">
        <v>396</v>
      </c>
      <c r="BX89" s="1"/>
      <c r="BY89" s="1" t="s">
        <v>401</v>
      </c>
      <c r="BZ89" s="1">
        <v>0</v>
      </c>
      <c r="CA89" s="1">
        <v>0</v>
      </c>
      <c r="CB89" s="1">
        <v>0</v>
      </c>
      <c r="CC89" s="1">
        <v>0</v>
      </c>
      <c r="CD89" s="1" t="s">
        <v>1252</v>
      </c>
    </row>
    <row r="90" spans="1:82" hidden="1">
      <c r="A90" s="1" t="s">
        <v>1253</v>
      </c>
      <c r="B90" s="1" t="str">
        <f>_xlfn.XLOOKUP(A:A,'Dados Elevatórias'!D:D,'Dados Elevatórias'!B:B)</f>
        <v>PL-RJB-EAT0737</v>
      </c>
      <c r="C90" s="1" t="str">
        <f>_xlfn.XLOOKUP(B:B,'Dados Elevatórias'!B:B,'Dados Elevatórias'!C:C)</f>
        <v>EAT</v>
      </c>
      <c r="D90" s="1" t="s">
        <v>373</v>
      </c>
      <c r="E90" s="1" t="s">
        <v>1254</v>
      </c>
      <c r="F90" s="1" t="s">
        <v>528</v>
      </c>
      <c r="G90" s="1" t="s">
        <v>443</v>
      </c>
      <c r="H90" s="1" t="str">
        <f>_xlfn.XLOOKUP(B:B,'Dados Elevatórias'!B:B,'Dados Elevatórias'!G:G)</f>
        <v>26310-190</v>
      </c>
      <c r="I90" s="1">
        <f>_xlfn.XLOOKUP(B90,COORDENADAS!A:A,COORDENADAS!B:B)</f>
        <v>-22.715699999999998</v>
      </c>
      <c r="J90" s="1">
        <f>_xlfn.XLOOKUP(B90,COORDENADAS!A:A,COORDENADAS!C:C)</f>
        <v>-43.560200000000002</v>
      </c>
      <c r="K90" s="1"/>
      <c r="L90" s="1" t="str">
        <f>_xlfn.XLOOKUP(A:A,'RELAÇÃO ANTIGA'!A:A,'RELAÇÃO ANTIGA'!J:J)</f>
        <v>INFORMAL</v>
      </c>
      <c r="M90" s="1">
        <v>1</v>
      </c>
      <c r="N90" s="1" t="s">
        <v>378</v>
      </c>
      <c r="O90" s="1" t="s">
        <v>861</v>
      </c>
      <c r="P90" s="1" t="s">
        <v>1006</v>
      </c>
      <c r="Q90" s="1" t="s">
        <v>404</v>
      </c>
      <c r="R90" s="1"/>
      <c r="S90" s="1" t="s">
        <v>1255</v>
      </c>
      <c r="T90" s="1" t="s">
        <v>619</v>
      </c>
      <c r="U90" s="1" t="s">
        <v>1256</v>
      </c>
      <c r="V90" s="1"/>
      <c r="W90" s="1"/>
      <c r="X90" s="1"/>
      <c r="Y90" s="1"/>
      <c r="Z90" s="1"/>
      <c r="AA90" s="1">
        <v>2</v>
      </c>
      <c r="AB90" s="1"/>
      <c r="AC90" s="1" t="s">
        <v>432</v>
      </c>
      <c r="AD90" s="1"/>
      <c r="AE90" s="1"/>
      <c r="AF90" s="1" t="s">
        <v>411</v>
      </c>
      <c r="AG90" s="1"/>
      <c r="AH90" s="1" t="s">
        <v>411</v>
      </c>
      <c r="AI90" s="1"/>
      <c r="AJ90" s="1"/>
      <c r="AK90" s="1"/>
      <c r="AL90" s="1"/>
      <c r="AM90" s="1"/>
      <c r="AN90" s="1" t="str">
        <f>_xlfn.XLOOKUP(A:A,'RELAÇÃO ANTIGA'!A:A,'RELAÇÃO ANTIGA'!AC:AC,X)</f>
        <v>220V</v>
      </c>
      <c r="AO90" s="1"/>
      <c r="AP90" s="1">
        <v>0</v>
      </c>
      <c r="AQ90" s="1">
        <v>0</v>
      </c>
      <c r="AR90" s="1">
        <v>0</v>
      </c>
      <c r="AS90" s="1">
        <v>0</v>
      </c>
      <c r="AT90" s="1">
        <v>0</v>
      </c>
      <c r="AU90" s="1" t="s">
        <v>669</v>
      </c>
      <c r="AV90" s="1" t="s">
        <v>669</v>
      </c>
      <c r="AW90" s="1">
        <v>0</v>
      </c>
      <c r="AX90" s="1">
        <v>0</v>
      </c>
      <c r="AY90" s="1">
        <v>0</v>
      </c>
      <c r="AZ90" s="1">
        <v>0</v>
      </c>
      <c r="BA90" s="1"/>
      <c r="BB90" s="1"/>
      <c r="BC90" s="1"/>
      <c r="BD90" s="1"/>
      <c r="BE90" s="1"/>
      <c r="BF90" s="1"/>
      <c r="BG90" s="1"/>
      <c r="BH90" s="1"/>
      <c r="BI90" s="1"/>
      <c r="BJ90" s="1"/>
      <c r="BK90" s="1" t="s">
        <v>391</v>
      </c>
      <c r="BL90" s="1"/>
      <c r="BM90" s="1"/>
      <c r="BN90" s="1"/>
      <c r="BO90" s="1"/>
      <c r="BP90" s="1" t="s">
        <v>386</v>
      </c>
      <c r="BQ90" s="1"/>
      <c r="BR90" s="1">
        <v>0</v>
      </c>
      <c r="BS90" s="1">
        <v>0</v>
      </c>
      <c r="BT90" s="1">
        <v>0</v>
      </c>
      <c r="BU90" s="1">
        <v>0</v>
      </c>
      <c r="BV90" s="1">
        <v>0</v>
      </c>
      <c r="BW90" s="1" t="s">
        <v>396</v>
      </c>
      <c r="BX90" s="1"/>
      <c r="BY90" s="1" t="s">
        <v>401</v>
      </c>
      <c r="BZ90" s="1">
        <v>0</v>
      </c>
      <c r="CA90" s="1">
        <v>0</v>
      </c>
      <c r="CB90" s="1">
        <v>0</v>
      </c>
      <c r="CC90" s="1">
        <v>0</v>
      </c>
      <c r="CD90" s="1">
        <v>0</v>
      </c>
    </row>
    <row r="91" spans="1:82" hidden="1">
      <c r="A91" s="1" t="s">
        <v>1257</v>
      </c>
      <c r="B91" s="1" t="str">
        <f>_xlfn.XLOOKUP(A:A,'Dados Elevatórias'!D:D,'Dados Elevatórias'!B:B)</f>
        <v>PL-RJB-EAT0124</v>
      </c>
      <c r="C91" s="1" t="str">
        <f>_xlfn.XLOOKUP(B:B,'Dados Elevatórias'!B:B,'Dados Elevatórias'!C:C)</f>
        <v>EAT</v>
      </c>
      <c r="D91" s="1" t="s">
        <v>373</v>
      </c>
      <c r="E91" s="1" t="s">
        <v>1258</v>
      </c>
      <c r="F91" s="1" t="s">
        <v>1221</v>
      </c>
      <c r="G91" s="1" t="s">
        <v>421</v>
      </c>
      <c r="H91" s="1" t="str">
        <f>_xlfn.XLOOKUP(B:B,'Dados Elevatórias'!B:B,'Dados Elevatórias'!G:G)</f>
        <v>26265-090</v>
      </c>
      <c r="I91" s="1">
        <f>_xlfn.XLOOKUP(B91,COORDENADAS!A:A,COORDENADAS!B:B)</f>
        <v>-22.762699999999999</v>
      </c>
      <c r="J91" s="1">
        <f>_xlfn.XLOOKUP(B91,COORDENADAS!A:A,COORDENADAS!C:C)</f>
        <v>-43.486199999999997</v>
      </c>
      <c r="K91" s="1"/>
      <c r="L91" s="1"/>
      <c r="M91" s="1">
        <v>1</v>
      </c>
      <c r="N91" s="1" t="s">
        <v>378</v>
      </c>
      <c r="O91" s="1" t="s">
        <v>1259</v>
      </c>
      <c r="P91" s="1" t="s">
        <v>1260</v>
      </c>
      <c r="Q91" s="1" t="s">
        <v>404</v>
      </c>
      <c r="R91" s="1" t="s">
        <v>1261</v>
      </c>
      <c r="S91" s="1" t="s">
        <v>1262</v>
      </c>
      <c r="T91" s="1" t="s">
        <v>407</v>
      </c>
      <c r="U91" s="1"/>
      <c r="V91" s="1"/>
      <c r="W91" s="1"/>
      <c r="X91" s="1"/>
      <c r="Y91" s="1" t="s">
        <v>1263</v>
      </c>
      <c r="Z91" s="1"/>
      <c r="AA91" s="1">
        <v>2</v>
      </c>
      <c r="AB91" s="1"/>
      <c r="AC91" s="1" t="s">
        <v>385</v>
      </c>
      <c r="AD91" s="1"/>
      <c r="AE91" s="1"/>
      <c r="AF91" s="1"/>
      <c r="AG91" s="1"/>
      <c r="AH91" s="1"/>
      <c r="AI91" s="1"/>
      <c r="AJ91" s="1"/>
      <c r="AK91" s="1"/>
      <c r="AL91" s="1"/>
      <c r="AM91" s="1"/>
      <c r="AN91" s="1" t="s">
        <v>433</v>
      </c>
      <c r="AO91" s="1"/>
      <c r="AP91" s="1">
        <v>413341469</v>
      </c>
      <c r="AQ91" s="1">
        <v>7596746</v>
      </c>
      <c r="AR91" s="1">
        <v>0</v>
      </c>
      <c r="AS91" s="1" t="s">
        <v>1264</v>
      </c>
      <c r="AT91" s="1" t="s">
        <v>1265</v>
      </c>
      <c r="AU91" s="1" t="s">
        <v>489</v>
      </c>
      <c r="AV91" s="1" t="s">
        <v>489</v>
      </c>
      <c r="AW91" s="1">
        <v>0</v>
      </c>
      <c r="AX91" s="1">
        <v>0</v>
      </c>
      <c r="AY91" s="1">
        <v>0</v>
      </c>
      <c r="AZ91" s="1">
        <v>0</v>
      </c>
      <c r="BA91" s="1"/>
      <c r="BB91" s="1"/>
      <c r="BC91" s="1"/>
      <c r="BD91" s="1"/>
      <c r="BE91" s="1"/>
      <c r="BF91" s="1"/>
      <c r="BG91" s="1"/>
      <c r="BH91" s="1"/>
      <c r="BI91" s="1"/>
      <c r="BJ91" s="1"/>
      <c r="BK91" s="1" t="s">
        <v>427</v>
      </c>
      <c r="BL91" s="1"/>
      <c r="BM91" s="1"/>
      <c r="BN91" s="1"/>
      <c r="BO91" s="1"/>
      <c r="BP91" s="1" t="s">
        <v>396</v>
      </c>
      <c r="BQ91" s="1"/>
      <c r="BR91" s="1">
        <v>0</v>
      </c>
      <c r="BS91" s="1">
        <v>0</v>
      </c>
      <c r="BT91" s="1">
        <v>0</v>
      </c>
      <c r="BU91" s="1">
        <v>0</v>
      </c>
      <c r="BV91" s="1">
        <v>0</v>
      </c>
      <c r="BW91" s="1" t="s">
        <v>396</v>
      </c>
      <c r="BX91" s="1"/>
      <c r="BY91" s="1" t="s">
        <v>401</v>
      </c>
      <c r="BZ91" s="1">
        <v>0</v>
      </c>
      <c r="CA91" s="1">
        <v>0</v>
      </c>
      <c r="CB91" s="1">
        <v>0</v>
      </c>
      <c r="CC91" s="1">
        <v>0</v>
      </c>
      <c r="CD91" s="1" t="s">
        <v>1266</v>
      </c>
    </row>
    <row r="92" spans="1:82" hidden="1">
      <c r="A92" s="1" t="s">
        <v>1267</v>
      </c>
      <c r="B92" s="1" t="str">
        <f>_xlfn.XLOOKUP(A:A,'Dados Elevatórias'!D:D,'Dados Elevatórias'!B:B)</f>
        <v>PL-RJB-EAT0735</v>
      </c>
      <c r="C92" s="1" t="str">
        <f>_xlfn.XLOOKUP(B:B,'Dados Elevatórias'!B:B,'Dados Elevatórias'!C:C)</f>
        <v>EAT</v>
      </c>
      <c r="D92" s="1" t="s">
        <v>373</v>
      </c>
      <c r="E92" s="1" t="s">
        <v>1268</v>
      </c>
      <c r="F92" s="1" t="s">
        <v>1269</v>
      </c>
      <c r="G92" s="1" t="s">
        <v>443</v>
      </c>
      <c r="H92" s="1" t="str">
        <f>_xlfn.XLOOKUP(B:B,'Dados Elevatórias'!B:B,'Dados Elevatórias'!G:G)</f>
        <v>26323-400</v>
      </c>
      <c r="I92" s="1">
        <f>_xlfn.XLOOKUP(B92,COORDENADAS!A:A,COORDENADAS!B:B)</f>
        <v>-22.723700000000001</v>
      </c>
      <c r="J92" s="1">
        <f>_xlfn.XLOOKUP(B92,COORDENADAS!A:A,COORDENADAS!C:C)</f>
        <v>-43.557099999999998</v>
      </c>
      <c r="K92" s="1"/>
      <c r="L92" s="1" t="str">
        <f>_xlfn.XLOOKUP(A:A,'RELAÇÃO ANTIGA'!A:A,'RELAÇÃO ANTIGA'!J:J)</f>
        <v>FORMAL</v>
      </c>
      <c r="M92" s="1">
        <v>1</v>
      </c>
      <c r="N92" s="1" t="s">
        <v>378</v>
      </c>
      <c r="O92" s="1" t="s">
        <v>1029</v>
      </c>
      <c r="P92" s="1" t="s">
        <v>1270</v>
      </c>
      <c r="Q92" s="1" t="s">
        <v>404</v>
      </c>
      <c r="R92" s="1" t="s">
        <v>741</v>
      </c>
      <c r="S92" s="1" t="s">
        <v>1271</v>
      </c>
      <c r="T92" s="1"/>
      <c r="U92" s="1"/>
      <c r="V92" s="1"/>
      <c r="W92" s="1"/>
      <c r="X92" s="1"/>
      <c r="Y92" s="1" t="s">
        <v>1272</v>
      </c>
      <c r="Z92" s="1"/>
      <c r="AA92" s="1"/>
      <c r="AB92" s="1"/>
      <c r="AC92" s="1" t="s">
        <v>432</v>
      </c>
      <c r="AD92" s="1"/>
      <c r="AE92" s="1"/>
      <c r="AF92" s="1"/>
      <c r="AG92" s="1"/>
      <c r="AH92" s="1"/>
      <c r="AI92" s="1"/>
      <c r="AJ92" s="1"/>
      <c r="AK92" s="1"/>
      <c r="AL92" s="1"/>
      <c r="AM92" s="1"/>
      <c r="AN92" s="1" t="str">
        <f>_xlfn.XLOOKUP(A:A,'RELAÇÃO ANTIGA'!A:A,'RELAÇÃO ANTIGA'!AC:AC,X)</f>
        <v>220V</v>
      </c>
      <c r="AO92" s="1"/>
      <c r="AP92" s="1">
        <v>430097071</v>
      </c>
      <c r="AQ92" s="1">
        <v>8576702</v>
      </c>
      <c r="AR92" s="1">
        <v>0</v>
      </c>
      <c r="AS92" s="1" t="s">
        <v>1273</v>
      </c>
      <c r="AT92" s="1" t="s">
        <v>1274</v>
      </c>
      <c r="AU92" s="1" t="s">
        <v>669</v>
      </c>
      <c r="AV92" s="1" t="s">
        <v>669</v>
      </c>
      <c r="AW92" s="1">
        <v>0</v>
      </c>
      <c r="AX92" s="1">
        <v>0</v>
      </c>
      <c r="AY92" s="1">
        <v>0</v>
      </c>
      <c r="AZ92" s="1">
        <v>0</v>
      </c>
      <c r="BA92" s="1"/>
      <c r="BB92" s="1"/>
      <c r="BC92" s="1"/>
      <c r="BD92" s="1"/>
      <c r="BE92" s="1"/>
      <c r="BF92" s="1"/>
      <c r="BG92" s="1"/>
      <c r="BH92" s="1"/>
      <c r="BI92" s="1"/>
      <c r="BJ92" s="1"/>
      <c r="BK92" s="1" t="s">
        <v>437</v>
      </c>
      <c r="BL92" s="1"/>
      <c r="BM92" s="1"/>
      <c r="BN92" s="1"/>
      <c r="BO92" s="1"/>
      <c r="BP92" s="1" t="s">
        <v>386</v>
      </c>
      <c r="BQ92" s="1"/>
      <c r="BR92" s="1">
        <v>0</v>
      </c>
      <c r="BS92" s="1">
        <v>0</v>
      </c>
      <c r="BT92" s="1">
        <v>0</v>
      </c>
      <c r="BU92" s="1">
        <v>0</v>
      </c>
      <c r="BV92" s="1">
        <v>0</v>
      </c>
      <c r="BW92" s="1"/>
      <c r="BX92" s="1"/>
      <c r="BY92" s="1" t="s">
        <v>401</v>
      </c>
      <c r="BZ92" s="1">
        <v>0</v>
      </c>
      <c r="CA92" s="1">
        <v>0</v>
      </c>
      <c r="CB92" s="1">
        <v>0</v>
      </c>
      <c r="CC92" s="1">
        <v>0</v>
      </c>
      <c r="CD92" s="1">
        <v>0</v>
      </c>
    </row>
    <row r="93" spans="1:82" hidden="1">
      <c r="A93" s="1" t="s">
        <v>1275</v>
      </c>
      <c r="B93" s="1" t="str">
        <f>_xlfn.XLOOKUP(A:A,'Dados Elevatórias'!D:D,'Dados Elevatórias'!B:B)</f>
        <v>PL-RJB-EAT0022</v>
      </c>
      <c r="C93" s="1" t="str">
        <f>_xlfn.XLOOKUP(B:B,'Dados Elevatórias'!B:B,'Dados Elevatórias'!C:C)</f>
        <v>EAT</v>
      </c>
      <c r="D93" s="1" t="s">
        <v>373</v>
      </c>
      <c r="E93" s="1" t="s">
        <v>1276</v>
      </c>
      <c r="F93" s="1" t="s">
        <v>1277</v>
      </c>
      <c r="G93" s="1" t="s">
        <v>421</v>
      </c>
      <c r="H93" s="1" t="str">
        <f>_xlfn.XLOOKUP(B:B,'Dados Elevatórias'!B:B,'Dados Elevatórias'!G:G)</f>
        <v>26012-451</v>
      </c>
      <c r="I93" s="1">
        <f>_xlfn.XLOOKUP(B93,COORDENADAS!A:A,COORDENADAS!B:B)</f>
        <v>-22.738600000000002</v>
      </c>
      <c r="J93" s="1">
        <f>_xlfn.XLOOKUP(B93,COORDENADAS!A:A,COORDENADAS!C:C)</f>
        <v>-43.4343</v>
      </c>
      <c r="K93" s="1"/>
      <c r="L93" s="1" t="str">
        <f>_xlfn.XLOOKUP(A:A,'RELAÇÃO ANTIGA'!A:A,'RELAÇÃO ANTIGA'!J:J)</f>
        <v>FORMAL</v>
      </c>
      <c r="M93" s="1">
        <v>1</v>
      </c>
      <c r="N93" s="1" t="s">
        <v>378</v>
      </c>
      <c r="O93" s="1" t="s">
        <v>1278</v>
      </c>
      <c r="P93" s="1" t="s">
        <v>939</v>
      </c>
      <c r="Q93" s="1" t="s">
        <v>722</v>
      </c>
      <c r="R93" s="1" t="s">
        <v>1279</v>
      </c>
      <c r="S93" s="1" t="s">
        <v>1280</v>
      </c>
      <c r="T93" s="1" t="s">
        <v>707</v>
      </c>
      <c r="U93" s="1" t="s">
        <v>1281</v>
      </c>
      <c r="V93" s="1"/>
      <c r="W93" s="1"/>
      <c r="X93" s="1" t="s">
        <v>1282</v>
      </c>
      <c r="Y93" s="1" t="s">
        <v>1283</v>
      </c>
      <c r="Z93" s="1" t="s">
        <v>722</v>
      </c>
      <c r="AA93" s="1">
        <v>2</v>
      </c>
      <c r="AB93" s="1"/>
      <c r="AC93" s="1" t="s">
        <v>727</v>
      </c>
      <c r="AD93" s="1"/>
      <c r="AE93" s="1"/>
      <c r="AF93" s="1"/>
      <c r="AG93" s="1"/>
      <c r="AH93" s="1"/>
      <c r="AI93" s="1" t="s">
        <v>1130</v>
      </c>
      <c r="AJ93" s="1"/>
      <c r="AK93" s="1"/>
      <c r="AL93" s="1"/>
      <c r="AM93" s="1"/>
      <c r="AN93" s="1" t="str">
        <f>_xlfn.XLOOKUP(A:A,'RELAÇÃO ANTIGA'!A:A,'RELAÇÃO ANTIGA'!AC:AC,X)</f>
        <v>220V</v>
      </c>
      <c r="AO93" s="1"/>
      <c r="AP93" s="1">
        <v>430054507</v>
      </c>
      <c r="AQ93" s="1">
        <v>9464391</v>
      </c>
      <c r="AR93" s="1">
        <v>0</v>
      </c>
      <c r="AS93" s="1">
        <v>0</v>
      </c>
      <c r="AT93" s="1">
        <v>0</v>
      </c>
      <c r="AU93" s="1" t="s">
        <v>988</v>
      </c>
      <c r="AV93" s="1" t="s">
        <v>489</v>
      </c>
      <c r="AW93" s="1">
        <v>0</v>
      </c>
      <c r="AX93" s="1">
        <v>0</v>
      </c>
      <c r="AY93" s="1">
        <v>0</v>
      </c>
      <c r="AZ93" s="1">
        <v>0</v>
      </c>
      <c r="BA93" s="1"/>
      <c r="BB93" s="1"/>
      <c r="BC93" s="1"/>
      <c r="BD93" s="1"/>
      <c r="BE93" s="1"/>
      <c r="BF93" s="1"/>
      <c r="BG93" s="1"/>
      <c r="BH93" s="1"/>
      <c r="BI93" s="1"/>
      <c r="BJ93" s="1"/>
      <c r="BK93" s="1" t="s">
        <v>427</v>
      </c>
      <c r="BL93" s="1" t="s">
        <v>404</v>
      </c>
      <c r="BM93" s="1" t="s">
        <v>734</v>
      </c>
      <c r="BN93" s="1"/>
      <c r="BO93" s="1"/>
      <c r="BP93" s="1" t="s">
        <v>396</v>
      </c>
      <c r="BQ93" s="1"/>
      <c r="BR93" s="1">
        <v>0</v>
      </c>
      <c r="BS93" s="1">
        <v>0</v>
      </c>
      <c r="BT93" s="1">
        <v>0</v>
      </c>
      <c r="BU93" s="1">
        <v>0</v>
      </c>
      <c r="BV93" s="1">
        <v>0</v>
      </c>
      <c r="BW93" s="1" t="s">
        <v>396</v>
      </c>
      <c r="BX93" s="1"/>
      <c r="BY93" s="1" t="s">
        <v>401</v>
      </c>
      <c r="BZ93" s="1">
        <v>0</v>
      </c>
      <c r="CA93" s="1">
        <v>0</v>
      </c>
      <c r="CB93" s="1">
        <v>0</v>
      </c>
      <c r="CC93" s="1" t="s">
        <v>1284</v>
      </c>
      <c r="CD93" s="1">
        <v>0</v>
      </c>
    </row>
    <row r="94" spans="1:82" hidden="1">
      <c r="A94" s="1" t="s">
        <v>735</v>
      </c>
      <c r="B94" s="1" t="str">
        <f>_xlfn.XLOOKUP(A:A,'Dados Elevatórias'!D:D,'Dados Elevatórias'!B:B)</f>
        <v>PL-RJB-EAT0050</v>
      </c>
      <c r="C94" s="1" t="str">
        <f>_xlfn.XLOOKUP(B:B,'Dados Elevatórias'!B:B,'Dados Elevatórias'!C:C)</f>
        <v>EAT</v>
      </c>
      <c r="D94" s="1" t="s">
        <v>373</v>
      </c>
      <c r="E94" s="1" t="s">
        <v>718</v>
      </c>
      <c r="F94" s="1" t="s">
        <v>719</v>
      </c>
      <c r="G94" s="1" t="s">
        <v>376</v>
      </c>
      <c r="H94" s="1" t="str">
        <f>_xlfn.XLOOKUP(B:B,'Dados Elevatórias'!B:B,'Dados Elevatórias'!G:G)</f>
        <v>26545-470</v>
      </c>
      <c r="I94" s="1">
        <f>_xlfn.XLOOKUP(B94,COORDENADAS!A:A,COORDENADAS!B:B)</f>
        <v>-22.815200000000001</v>
      </c>
      <c r="J94" s="1">
        <f>_xlfn.XLOOKUP(B94,COORDENADAS!A:A,COORDENADAS!C:C)</f>
        <v>-43.396700000000003</v>
      </c>
      <c r="K94" s="1"/>
      <c r="L94" s="1" t="str">
        <f>_xlfn.XLOOKUP(A:A,'RELAÇÃO ANTIGA'!A:A,'RELAÇÃO ANTIGA'!J:J)</f>
        <v>INFORMAL</v>
      </c>
      <c r="M94" s="1">
        <v>1</v>
      </c>
      <c r="N94" s="1" t="s">
        <v>378</v>
      </c>
      <c r="O94" s="1" t="s">
        <v>1285</v>
      </c>
      <c r="P94" s="1" t="s">
        <v>939</v>
      </c>
      <c r="Q94" s="1"/>
      <c r="R94" s="1"/>
      <c r="S94" s="1"/>
      <c r="T94" s="1"/>
      <c r="U94" s="1"/>
      <c r="V94" s="1"/>
      <c r="W94" s="1"/>
      <c r="X94" s="1"/>
      <c r="Y94" s="1"/>
      <c r="Z94" s="1"/>
      <c r="AA94" s="1"/>
      <c r="AB94" s="1"/>
      <c r="AC94" s="1" t="s">
        <v>727</v>
      </c>
      <c r="AD94" s="1"/>
      <c r="AE94" s="1"/>
      <c r="AF94" s="1"/>
      <c r="AG94" s="1"/>
      <c r="AH94" s="1"/>
      <c r="AI94" s="1"/>
      <c r="AJ94" s="1"/>
      <c r="AK94" s="1"/>
      <c r="AL94" s="1"/>
      <c r="AM94" s="1"/>
      <c r="AN94" s="1" t="str">
        <f>_xlfn.XLOOKUP(A:A,'RELAÇÃO ANTIGA'!A:A,'RELAÇÃO ANTIGA'!AC:AC,X)</f>
        <v>220V</v>
      </c>
      <c r="AO94" s="1"/>
      <c r="AP94" s="1">
        <v>414658235</v>
      </c>
      <c r="AQ94" s="1">
        <v>5411350</v>
      </c>
      <c r="AR94" s="1">
        <v>0</v>
      </c>
      <c r="AS94" s="1" t="s">
        <v>1286</v>
      </c>
      <c r="AT94" s="1" t="s">
        <v>1287</v>
      </c>
      <c r="AU94" s="1" t="s">
        <v>489</v>
      </c>
      <c r="AV94" s="1" t="s">
        <v>489</v>
      </c>
      <c r="AW94" s="1">
        <v>0</v>
      </c>
      <c r="AX94" s="1">
        <v>0</v>
      </c>
      <c r="AY94" s="1">
        <v>0</v>
      </c>
      <c r="AZ94" s="1">
        <v>0</v>
      </c>
      <c r="BA94" s="1"/>
      <c r="BB94" s="1"/>
      <c r="BC94" s="1"/>
      <c r="BD94" s="1"/>
      <c r="BE94" s="1"/>
      <c r="BF94" s="1"/>
      <c r="BG94" s="1"/>
      <c r="BH94" s="1"/>
      <c r="BI94" s="1"/>
      <c r="BJ94" s="1"/>
      <c r="BK94" s="1" t="s">
        <v>427</v>
      </c>
      <c r="BL94" s="1"/>
      <c r="BM94" s="1"/>
      <c r="BN94" s="1"/>
      <c r="BO94" s="1"/>
      <c r="BP94" s="1" t="s">
        <v>396</v>
      </c>
      <c r="BQ94" s="1"/>
      <c r="BR94" s="1">
        <v>0</v>
      </c>
      <c r="BS94" s="1">
        <v>0</v>
      </c>
      <c r="BT94" s="1">
        <v>0</v>
      </c>
      <c r="BU94" s="1">
        <v>0</v>
      </c>
      <c r="BV94" s="1">
        <v>0</v>
      </c>
      <c r="BW94" s="1" t="s">
        <v>396</v>
      </c>
      <c r="BX94" s="1"/>
      <c r="BY94" s="1" t="s">
        <v>401</v>
      </c>
      <c r="BZ94" s="1">
        <v>0</v>
      </c>
      <c r="CA94" s="1">
        <v>0</v>
      </c>
      <c r="CB94" s="1">
        <v>0</v>
      </c>
      <c r="CC94" s="1" t="s">
        <v>735</v>
      </c>
      <c r="CD94" s="1" t="s">
        <v>1288</v>
      </c>
    </row>
    <row r="95" spans="1:82" hidden="1">
      <c r="A95" s="1" t="s">
        <v>1289</v>
      </c>
      <c r="B95" s="1" t="str">
        <f>_xlfn.XLOOKUP(A:A,'Dados Elevatórias'!D:D,'Dados Elevatórias'!B:B)</f>
        <v>PL-RJB-EAT0044</v>
      </c>
      <c r="C95" s="1" t="str">
        <f>_xlfn.XLOOKUP(B:B,'Dados Elevatórias'!B:B,'Dados Elevatórias'!C:C)</f>
        <v>EAT</v>
      </c>
      <c r="D95" s="1" t="s">
        <v>373</v>
      </c>
      <c r="E95" s="1" t="s">
        <v>1290</v>
      </c>
      <c r="F95" s="1" t="s">
        <v>1291</v>
      </c>
      <c r="G95" s="1" t="s">
        <v>421</v>
      </c>
      <c r="H95" s="1" t="str">
        <f>_xlfn.XLOOKUP(B:B,'Dados Elevatórias'!B:B,'Dados Elevatórias'!G:G)</f>
        <v>26290-006</v>
      </c>
      <c r="I95" s="1">
        <f>_xlfn.XLOOKUP(B95,COORDENADAS!A:A,COORDENADAS!B:B)</f>
        <v>-22.752800000000001</v>
      </c>
      <c r="J95" s="1">
        <f>_xlfn.XLOOKUP(B95,COORDENADAS!A:A,COORDENADAS!C:C)</f>
        <v>-43.518900000000002</v>
      </c>
      <c r="K95" s="1"/>
      <c r="L95" s="1" t="str">
        <f>_xlfn.XLOOKUP(A:A,'RELAÇÃO ANTIGA'!A:A,'RELAÇÃO ANTIGA'!J:J)</f>
        <v>FORMAL</v>
      </c>
      <c r="M95" s="1">
        <v>1</v>
      </c>
      <c r="N95" s="1" t="s">
        <v>378</v>
      </c>
      <c r="O95" s="1" t="s">
        <v>1029</v>
      </c>
      <c r="P95" s="1" t="s">
        <v>481</v>
      </c>
      <c r="Q95" s="1" t="s">
        <v>404</v>
      </c>
      <c r="R95" s="1" t="s">
        <v>815</v>
      </c>
      <c r="S95" s="1" t="s">
        <v>1292</v>
      </c>
      <c r="T95" s="1" t="s">
        <v>407</v>
      </c>
      <c r="U95" s="1" t="s">
        <v>1293</v>
      </c>
      <c r="V95" s="1"/>
      <c r="W95" s="1"/>
      <c r="X95" s="1"/>
      <c r="Y95" s="1" t="s">
        <v>992</v>
      </c>
      <c r="Z95" s="1"/>
      <c r="AA95" s="1"/>
      <c r="AB95" s="1"/>
      <c r="AC95" s="1" t="s">
        <v>385</v>
      </c>
      <c r="AD95" s="1" t="s">
        <v>396</v>
      </c>
      <c r="AE95" s="1"/>
      <c r="AF95" s="1"/>
      <c r="AG95" s="1" t="s">
        <v>1294</v>
      </c>
      <c r="AH95" s="1"/>
      <c r="AI95" s="1"/>
      <c r="AJ95" s="1"/>
      <c r="AK95" s="1"/>
      <c r="AL95" s="1"/>
      <c r="AM95" s="1"/>
      <c r="AN95" s="1" t="str">
        <f>_xlfn.XLOOKUP(A:A,'RELAÇÃO ANTIGA'!A:A,'RELAÇÃO ANTIGA'!AC:AC,X)</f>
        <v>220V</v>
      </c>
      <c r="AO95" s="1"/>
      <c r="AP95" s="1">
        <v>412957699</v>
      </c>
      <c r="AQ95" s="1">
        <v>5516825</v>
      </c>
      <c r="AR95" s="1">
        <v>0</v>
      </c>
      <c r="AS95" s="1" t="s">
        <v>1295</v>
      </c>
      <c r="AT95" s="1" t="s">
        <v>1296</v>
      </c>
      <c r="AU95" s="1" t="s">
        <v>489</v>
      </c>
      <c r="AV95" s="1" t="s">
        <v>489</v>
      </c>
      <c r="AW95" s="1">
        <v>0</v>
      </c>
      <c r="AX95" s="1">
        <v>0</v>
      </c>
      <c r="AY95" s="1">
        <v>0</v>
      </c>
      <c r="AZ95" s="1">
        <v>0</v>
      </c>
      <c r="BA95" s="1"/>
      <c r="BB95" s="1"/>
      <c r="BC95" s="1"/>
      <c r="BD95" s="1"/>
      <c r="BE95" s="1"/>
      <c r="BF95" s="1"/>
      <c r="BG95" s="1"/>
      <c r="BH95" s="1"/>
      <c r="BI95" s="1"/>
      <c r="BJ95" s="1"/>
      <c r="BK95" s="1" t="s">
        <v>391</v>
      </c>
      <c r="BL95" s="1"/>
      <c r="BM95" s="1"/>
      <c r="BN95" s="1"/>
      <c r="BO95" s="1"/>
      <c r="BP95" s="1" t="s">
        <v>386</v>
      </c>
      <c r="BQ95" s="1"/>
      <c r="BR95" s="1">
        <v>0</v>
      </c>
      <c r="BS95" s="1">
        <v>0</v>
      </c>
      <c r="BT95" s="1">
        <v>0</v>
      </c>
      <c r="BU95" s="1">
        <v>0</v>
      </c>
      <c r="BV95" s="1">
        <v>0</v>
      </c>
      <c r="BW95" s="1" t="s">
        <v>396</v>
      </c>
      <c r="BX95" s="1"/>
      <c r="BY95" s="1" t="s">
        <v>401</v>
      </c>
      <c r="BZ95" s="1">
        <v>0</v>
      </c>
      <c r="CA95" s="1">
        <v>0</v>
      </c>
      <c r="CB95" s="1">
        <v>0</v>
      </c>
      <c r="CC95" s="1">
        <v>0</v>
      </c>
      <c r="CD95" s="1" t="s">
        <v>1297</v>
      </c>
    </row>
    <row r="96" spans="1:82" hidden="1">
      <c r="A96" s="1" t="s">
        <v>1298</v>
      </c>
      <c r="B96" s="1" t="str">
        <f>_xlfn.XLOOKUP(A:A,'Dados Elevatórias'!D:D,'Dados Elevatórias'!B:B)</f>
        <v>PL-RJB-EAT0733</v>
      </c>
      <c r="C96" s="1" t="str">
        <f>_xlfn.XLOOKUP(B:B,'Dados Elevatórias'!B:B,'Dados Elevatórias'!C:C)</f>
        <v>EAT</v>
      </c>
      <c r="D96" s="1" t="s">
        <v>373</v>
      </c>
      <c r="E96" s="1" t="s">
        <v>1299</v>
      </c>
      <c r="F96" s="1" t="s">
        <v>1300</v>
      </c>
      <c r="G96" s="1" t="s">
        <v>421</v>
      </c>
      <c r="H96" s="1">
        <f>_xlfn.XLOOKUP(B:B,'Dados Elevatórias'!B:B,'Dados Elevatórias'!G:G)</f>
        <v>0</v>
      </c>
      <c r="I96" s="1">
        <f>_xlfn.XLOOKUP(B96,COORDENADAS!A:A,COORDENADAS!B:B)</f>
        <v>-22.733799999999999</v>
      </c>
      <c r="J96" s="1">
        <f>_xlfn.XLOOKUP(B96,COORDENADAS!A:A,COORDENADAS!C:C)</f>
        <v>-43.4664</v>
      </c>
      <c r="K96" s="1"/>
      <c r="L96" s="1" t="str">
        <f>_xlfn.XLOOKUP(A:A,'RELAÇÃO ANTIGA'!A:A,'RELAÇÃO ANTIGA'!J:J)</f>
        <v>INFORMAL</v>
      </c>
      <c r="M96" s="1">
        <v>1</v>
      </c>
      <c r="N96" s="1" t="s">
        <v>378</v>
      </c>
      <c r="O96" s="1" t="s">
        <v>892</v>
      </c>
      <c r="P96" s="1" t="s">
        <v>1301</v>
      </c>
      <c r="Q96" s="1" t="s">
        <v>404</v>
      </c>
      <c r="R96" s="1"/>
      <c r="S96" s="1" t="s">
        <v>993</v>
      </c>
      <c r="T96" s="1" t="s">
        <v>707</v>
      </c>
      <c r="U96" s="1"/>
      <c r="V96" s="1"/>
      <c r="W96" s="1"/>
      <c r="X96" s="1"/>
      <c r="Y96" s="1" t="s">
        <v>992</v>
      </c>
      <c r="Z96" s="1" t="s">
        <v>1302</v>
      </c>
      <c r="AA96" s="1"/>
      <c r="AB96" s="1" t="s">
        <v>1303</v>
      </c>
      <c r="AC96" s="1" t="s">
        <v>385</v>
      </c>
      <c r="AD96" s="1" t="s">
        <v>396</v>
      </c>
      <c r="AE96" s="1"/>
      <c r="AF96" s="1"/>
      <c r="AG96" s="1"/>
      <c r="AH96" s="1"/>
      <c r="AI96" s="1" t="s">
        <v>1304</v>
      </c>
      <c r="AJ96" s="1" t="s">
        <v>1305</v>
      </c>
      <c r="AK96" s="1"/>
      <c r="AL96" s="1"/>
      <c r="AM96" s="1"/>
      <c r="AN96" s="1" t="str">
        <f>_xlfn.XLOOKUP(A:A,'RELAÇÃO ANTIGA'!A:A,'RELAÇÃO ANTIGA'!AC:AC,X)</f>
        <v>220V</v>
      </c>
      <c r="AO96" s="1"/>
      <c r="AP96" s="1">
        <v>420398927</v>
      </c>
      <c r="AQ96" s="1">
        <v>8585236</v>
      </c>
      <c r="AR96" s="1">
        <v>0</v>
      </c>
      <c r="AS96" s="1" t="s">
        <v>1306</v>
      </c>
      <c r="AT96" s="1" t="s">
        <v>1307</v>
      </c>
      <c r="AU96" s="1">
        <v>0</v>
      </c>
      <c r="AV96" s="1">
        <v>0</v>
      </c>
      <c r="AW96" s="1">
        <v>0</v>
      </c>
      <c r="AX96" s="1">
        <v>0</v>
      </c>
      <c r="AY96" s="1">
        <v>0</v>
      </c>
      <c r="AZ96" s="1">
        <v>0</v>
      </c>
      <c r="BA96" s="1"/>
      <c r="BB96" s="1"/>
      <c r="BC96" s="1"/>
      <c r="BD96" s="1"/>
      <c r="BE96" s="1"/>
      <c r="BF96" s="1"/>
      <c r="BG96" s="1"/>
      <c r="BH96" s="1"/>
      <c r="BI96" s="1"/>
      <c r="BJ96" s="1"/>
      <c r="BK96" s="1" t="s">
        <v>437</v>
      </c>
      <c r="BL96" s="1"/>
      <c r="BM96" s="1"/>
      <c r="BN96" s="1"/>
      <c r="BO96" s="1"/>
      <c r="BP96" s="1" t="s">
        <v>386</v>
      </c>
      <c r="BQ96" s="1"/>
      <c r="BR96" s="1">
        <v>0</v>
      </c>
      <c r="BS96" s="1">
        <v>0</v>
      </c>
      <c r="BT96" s="1">
        <v>0</v>
      </c>
      <c r="BU96" s="1">
        <v>0</v>
      </c>
      <c r="BV96" s="1">
        <v>0</v>
      </c>
      <c r="BW96" s="1" t="s">
        <v>396</v>
      </c>
      <c r="BX96" s="1"/>
      <c r="BY96" s="1" t="s">
        <v>401</v>
      </c>
      <c r="BZ96" s="1">
        <v>0</v>
      </c>
      <c r="CA96" s="1">
        <v>0</v>
      </c>
      <c r="CB96" s="1">
        <v>0</v>
      </c>
      <c r="CC96" s="1">
        <v>0</v>
      </c>
      <c r="CD96" s="1">
        <v>0</v>
      </c>
    </row>
    <row r="97" spans="1:82" hidden="1">
      <c r="A97" s="1" t="s">
        <v>1308</v>
      </c>
      <c r="B97" s="1" t="str">
        <f>_xlfn.XLOOKUP(A:A,'Dados Elevatórias'!D:D,'Dados Elevatórias'!B:B)</f>
        <v>PL-RJB-EAT0823</v>
      </c>
      <c r="C97" s="1" t="str">
        <f>_xlfn.XLOOKUP(B:B,'Dados Elevatórias'!B:B,'Dados Elevatórias'!C:C)</f>
        <v>EAT</v>
      </c>
      <c r="D97" s="1" t="s">
        <v>373</v>
      </c>
      <c r="E97" s="1" t="s">
        <v>1309</v>
      </c>
      <c r="F97" s="1" t="s">
        <v>1180</v>
      </c>
      <c r="G97" s="1" t="s">
        <v>443</v>
      </c>
      <c r="H97" s="1" t="str">
        <f>_xlfn.XLOOKUP(B:B,'Dados Elevatórias'!B:B,'Dados Elevatórias'!G:G)</f>
        <v>26383-320</v>
      </c>
      <c r="I97" s="1">
        <f>_xlfn.XLOOKUP(B97,COORDENADAS!A:A,COORDENADAS!B:B)</f>
        <v>-22.712399999999999</v>
      </c>
      <c r="J97" s="1">
        <f>_xlfn.XLOOKUP(B97,COORDENADAS!A:A,COORDENADAS!C:C)</f>
        <v>-43.547800000000002</v>
      </c>
      <c r="K97" s="1"/>
      <c r="L97" s="1"/>
      <c r="M97" s="1">
        <v>1</v>
      </c>
      <c r="N97" s="1" t="s">
        <v>378</v>
      </c>
      <c r="O97" s="1" t="s">
        <v>1310</v>
      </c>
      <c r="P97" s="1" t="s">
        <v>1311</v>
      </c>
      <c r="Q97" s="1" t="s">
        <v>404</v>
      </c>
      <c r="R97" s="1" t="s">
        <v>1312</v>
      </c>
      <c r="S97" s="1" t="s">
        <v>1313</v>
      </c>
      <c r="T97" s="1" t="s">
        <v>407</v>
      </c>
      <c r="U97" s="1" t="s">
        <v>1314</v>
      </c>
      <c r="V97" s="1" t="s">
        <v>1315</v>
      </c>
      <c r="W97" s="1" t="s">
        <v>1315</v>
      </c>
      <c r="X97" s="1" t="s">
        <v>579</v>
      </c>
      <c r="Y97" s="1" t="s">
        <v>1316</v>
      </c>
      <c r="Z97" s="1" t="s">
        <v>1317</v>
      </c>
      <c r="AA97" s="1">
        <v>1.9</v>
      </c>
      <c r="AB97" s="1" t="s">
        <v>1318</v>
      </c>
      <c r="AC97" s="1" t="s">
        <v>455</v>
      </c>
      <c r="AD97" s="1"/>
      <c r="AE97" s="1"/>
      <c r="AF97" s="1"/>
      <c r="AG97" s="1"/>
      <c r="AH97" s="1" t="s">
        <v>412</v>
      </c>
      <c r="AI97" s="1" t="s">
        <v>1319</v>
      </c>
      <c r="AJ97" s="1" t="s">
        <v>1320</v>
      </c>
      <c r="AK97" s="1"/>
      <c r="AL97" s="1"/>
      <c r="AM97" s="1"/>
      <c r="AN97" s="1" t="str">
        <f>_xlfn.XLOOKUP('RELAÇÃO DE ELEVATÓRIAS'!A:A,'RELAÇÃO ANTIGA'!A:A,'RELAÇÃO ANTIGA'!AC:AC)</f>
        <v>220v</v>
      </c>
      <c r="AO97" s="1"/>
      <c r="AP97" s="1">
        <v>0</v>
      </c>
      <c r="AQ97" s="1">
        <v>0</v>
      </c>
      <c r="AR97" s="1">
        <v>0</v>
      </c>
      <c r="AS97" s="1">
        <v>0</v>
      </c>
      <c r="AT97" s="1">
        <v>0</v>
      </c>
      <c r="AU97" s="1">
        <v>0</v>
      </c>
      <c r="AV97" s="1">
        <v>0</v>
      </c>
      <c r="AW97" s="1">
        <v>0</v>
      </c>
      <c r="AX97" s="1">
        <v>0</v>
      </c>
      <c r="AY97" s="1">
        <v>0</v>
      </c>
      <c r="AZ97" s="1">
        <v>0</v>
      </c>
      <c r="BA97" s="1"/>
      <c r="BB97" s="1"/>
      <c r="BC97" s="1"/>
      <c r="BD97" s="1"/>
      <c r="BE97" s="1"/>
      <c r="BF97" s="1"/>
      <c r="BG97" s="1"/>
      <c r="BH97" s="1"/>
      <c r="BI97" s="1"/>
      <c r="BJ97" s="1"/>
      <c r="BK97" s="1" t="s">
        <v>391</v>
      </c>
      <c r="BL97" s="1" t="s">
        <v>392</v>
      </c>
      <c r="BM97" s="1" t="s">
        <v>1321</v>
      </c>
      <c r="BN97" s="1" t="s">
        <v>1322</v>
      </c>
      <c r="BO97" s="1"/>
      <c r="BP97" s="1" t="s">
        <v>396</v>
      </c>
      <c r="BQ97" s="1"/>
      <c r="BR97" s="1" t="s">
        <v>397</v>
      </c>
      <c r="BS97" s="1" t="s">
        <v>1061</v>
      </c>
      <c r="BT97" s="1">
        <v>0</v>
      </c>
      <c r="BU97" s="1">
        <v>0</v>
      </c>
      <c r="BV97" s="1">
        <v>0</v>
      </c>
      <c r="BW97" s="1"/>
      <c r="BX97" s="1"/>
      <c r="BY97" s="1">
        <v>0</v>
      </c>
      <c r="BZ97" s="1">
        <v>0</v>
      </c>
      <c r="CA97" s="1">
        <v>0</v>
      </c>
      <c r="CB97" s="1">
        <v>0</v>
      </c>
      <c r="CC97" s="1">
        <v>0</v>
      </c>
      <c r="CD97" s="1">
        <v>0</v>
      </c>
    </row>
    <row r="98" spans="1:82" hidden="1">
      <c r="A98" s="1" t="s">
        <v>1323</v>
      </c>
      <c r="B98" s="1" t="str">
        <f>_xlfn.XLOOKUP(A:A,'Dados Elevatórias'!D:D,'Dados Elevatórias'!B:B)</f>
        <v>PL-RJB-EAT0692</v>
      </c>
      <c r="C98" s="1" t="str">
        <f>_xlfn.XLOOKUP(B:B,'Dados Elevatórias'!B:B,'Dados Elevatórias'!C:C)</f>
        <v>EAT</v>
      </c>
      <c r="D98" s="1" t="s">
        <v>373</v>
      </c>
      <c r="E98" s="1" t="s">
        <v>1324</v>
      </c>
      <c r="F98" s="1" t="s">
        <v>1325</v>
      </c>
      <c r="G98" s="1" t="s">
        <v>443</v>
      </c>
      <c r="H98" s="1" t="str">
        <f>_xlfn.XLOOKUP(B:B,'Dados Elevatórias'!B:B,'Dados Elevatórias'!G:G)</f>
        <v>26330-260</v>
      </c>
      <c r="I98" s="1">
        <f>_xlfn.XLOOKUP(B98,COORDENADAS!A:A,COORDENADAS!B:B)</f>
        <v>-22.718</v>
      </c>
      <c r="J98" s="1">
        <f>_xlfn.XLOOKUP(B98,COORDENADAS!A:A,COORDENADAS!C:C)</f>
        <v>-43.5471</v>
      </c>
      <c r="K98" s="1"/>
      <c r="L98" s="1" t="s">
        <v>444</v>
      </c>
      <c r="M98" s="1">
        <v>1</v>
      </c>
      <c r="N98" s="1" t="s">
        <v>378</v>
      </c>
      <c r="O98" s="1" t="s">
        <v>1326</v>
      </c>
      <c r="P98" s="1" t="s">
        <v>788</v>
      </c>
      <c r="Q98" s="1" t="s">
        <v>404</v>
      </c>
      <c r="R98" s="1" t="s">
        <v>1327</v>
      </c>
      <c r="S98" s="1" t="s">
        <v>1328</v>
      </c>
      <c r="T98" s="1" t="s">
        <v>407</v>
      </c>
      <c r="U98" s="1" t="s">
        <v>1329</v>
      </c>
      <c r="V98" s="1"/>
      <c r="W98" s="1"/>
      <c r="X98" s="1" t="s">
        <v>1330</v>
      </c>
      <c r="Y98" s="1" t="s">
        <v>1331</v>
      </c>
      <c r="Z98" s="1" t="s">
        <v>665</v>
      </c>
      <c r="AA98" s="1">
        <v>2</v>
      </c>
      <c r="AB98" s="1"/>
      <c r="AC98" s="1" t="s">
        <v>432</v>
      </c>
      <c r="AD98" s="1" t="s">
        <v>386</v>
      </c>
      <c r="AE98" s="1"/>
      <c r="AF98" s="1" t="s">
        <v>411</v>
      </c>
      <c r="AG98" s="1"/>
      <c r="AH98" s="1" t="s">
        <v>412</v>
      </c>
      <c r="AI98" s="1"/>
      <c r="AJ98" s="1"/>
      <c r="AK98" s="1"/>
      <c r="AL98" s="1"/>
      <c r="AM98" s="1"/>
      <c r="AN98" s="1" t="s">
        <v>433</v>
      </c>
      <c r="AO98" s="1"/>
      <c r="AP98" s="1">
        <v>0</v>
      </c>
      <c r="AQ98" s="1">
        <v>0</v>
      </c>
      <c r="AR98" s="1">
        <v>0</v>
      </c>
      <c r="AS98" s="1">
        <v>0</v>
      </c>
      <c r="AT98" s="1">
        <v>0</v>
      </c>
      <c r="AU98" s="1" t="s">
        <v>669</v>
      </c>
      <c r="AV98" s="1" t="s">
        <v>669</v>
      </c>
      <c r="AW98" s="1">
        <v>0</v>
      </c>
      <c r="AX98" s="1">
        <v>0</v>
      </c>
      <c r="AY98" s="1">
        <v>0</v>
      </c>
      <c r="AZ98" s="1">
        <v>0</v>
      </c>
      <c r="BA98" s="1"/>
      <c r="BB98" s="1"/>
      <c r="BC98" s="1"/>
      <c r="BD98" s="1"/>
      <c r="BE98" s="1"/>
      <c r="BF98" s="1"/>
      <c r="BG98" s="1"/>
      <c r="BH98" s="1"/>
      <c r="BI98" s="1"/>
      <c r="BJ98" s="1" t="s">
        <v>1332</v>
      </c>
      <c r="BK98" s="1" t="s">
        <v>391</v>
      </c>
      <c r="BL98" s="1" t="s">
        <v>392</v>
      </c>
      <c r="BM98" s="1" t="s">
        <v>1333</v>
      </c>
      <c r="BN98" s="1"/>
      <c r="BO98" s="1" t="s">
        <v>1334</v>
      </c>
      <c r="BP98" s="1" t="s">
        <v>386</v>
      </c>
      <c r="BQ98" s="1"/>
      <c r="BR98" s="1">
        <v>0</v>
      </c>
      <c r="BS98" s="1">
        <v>0</v>
      </c>
      <c r="BT98" s="1">
        <v>0</v>
      </c>
      <c r="BU98" s="1">
        <v>0</v>
      </c>
      <c r="BV98" s="1">
        <v>0</v>
      </c>
      <c r="BW98" s="1" t="s">
        <v>396</v>
      </c>
      <c r="BX98" s="1"/>
      <c r="BY98" s="1" t="s">
        <v>401</v>
      </c>
      <c r="BZ98" s="1">
        <v>0</v>
      </c>
      <c r="CA98" s="1">
        <v>0</v>
      </c>
      <c r="CB98" s="1">
        <v>0</v>
      </c>
      <c r="CC98" s="1">
        <v>0</v>
      </c>
      <c r="CD98" s="1">
        <v>0</v>
      </c>
    </row>
    <row r="99" spans="1:82" hidden="1">
      <c r="A99" s="1" t="s">
        <v>443</v>
      </c>
      <c r="B99" s="1" t="str">
        <f>_xlfn.XLOOKUP(A:A,'Dados Elevatórias'!D:D,'Dados Elevatórias'!B:B)</f>
        <v>PL-RJB-EAT0697</v>
      </c>
      <c r="C99" s="1" t="str">
        <f>_xlfn.XLOOKUP(B:B,'Dados Elevatórias'!B:B,'Dados Elevatórias'!C:C)</f>
        <v>EAT</v>
      </c>
      <c r="D99" s="1" t="s">
        <v>373</v>
      </c>
      <c r="E99" s="1" t="s">
        <v>1335</v>
      </c>
      <c r="F99" s="1" t="s">
        <v>1336</v>
      </c>
      <c r="G99" s="1" t="s">
        <v>443</v>
      </c>
      <c r="H99" s="1" t="str">
        <f>_xlfn.XLOOKUP(B:B,'Dados Elevatórias'!B:B,'Dados Elevatórias'!G:G)</f>
        <v>26327-410</v>
      </c>
      <c r="I99" s="1">
        <f>_xlfn.XLOOKUP(B99,COORDENADAS!A:A,COORDENADAS!B:B)</f>
        <v>-22.711500000000001</v>
      </c>
      <c r="J99" s="1">
        <f>_xlfn.XLOOKUP(B99,COORDENADAS!A:A,COORDENADAS!C:C)</f>
        <v>-43.554000000000002</v>
      </c>
      <c r="K99" s="1"/>
      <c r="L99" s="1" t="str">
        <f>_xlfn.XLOOKUP(A:A,'RELAÇÃO ANTIGA'!A:A,'RELAÇÃO ANTIGA'!J:J)</f>
        <v>INFORMAL</v>
      </c>
      <c r="M99" s="1">
        <v>1</v>
      </c>
      <c r="N99" s="1" t="s">
        <v>378</v>
      </c>
      <c r="O99" s="1" t="s">
        <v>445</v>
      </c>
      <c r="P99" s="1" t="s">
        <v>1006</v>
      </c>
      <c r="Q99" s="1" t="s">
        <v>447</v>
      </c>
      <c r="R99" s="1" t="s">
        <v>832</v>
      </c>
      <c r="S99" s="1" t="s">
        <v>1055</v>
      </c>
      <c r="T99" s="1" t="s">
        <v>1337</v>
      </c>
      <c r="U99" s="1" t="s">
        <v>834</v>
      </c>
      <c r="V99" s="1"/>
      <c r="W99" s="1"/>
      <c r="X99" s="1" t="s">
        <v>677</v>
      </c>
      <c r="Y99" s="1" t="s">
        <v>1338</v>
      </c>
      <c r="Z99" s="1"/>
      <c r="AA99" s="1">
        <v>2</v>
      </c>
      <c r="AB99" s="1" t="s">
        <v>832</v>
      </c>
      <c r="AC99" s="1" t="s">
        <v>455</v>
      </c>
      <c r="AD99" s="1"/>
      <c r="AE99" s="1"/>
      <c r="AF99" s="1"/>
      <c r="AG99" s="1"/>
      <c r="AH99" s="1"/>
      <c r="AI99" s="1"/>
      <c r="AJ99" s="1"/>
      <c r="AK99" s="1"/>
      <c r="AL99" s="1"/>
      <c r="AM99" s="1"/>
      <c r="AN99" s="1" t="str">
        <f>_xlfn.XLOOKUP(A:A,'RELAÇÃO ANTIGA'!A:A,'RELAÇÃO ANTIGA'!AC:AC,X)</f>
        <v>220V</v>
      </c>
      <c r="AO99" s="1"/>
      <c r="AP99" s="1">
        <v>420227639</v>
      </c>
      <c r="AQ99" s="1">
        <v>6381594</v>
      </c>
      <c r="AR99" s="1">
        <v>0</v>
      </c>
      <c r="AS99" s="1" t="s">
        <v>1339</v>
      </c>
      <c r="AT99" s="1">
        <v>0</v>
      </c>
      <c r="AU99" s="1" t="s">
        <v>669</v>
      </c>
      <c r="AV99" s="1" t="s">
        <v>669</v>
      </c>
      <c r="AW99" s="1">
        <v>0</v>
      </c>
      <c r="AX99" s="1">
        <v>0</v>
      </c>
      <c r="AY99" s="1">
        <v>0</v>
      </c>
      <c r="AZ99" s="1">
        <v>0</v>
      </c>
      <c r="BA99" s="1"/>
      <c r="BB99" s="1"/>
      <c r="BC99" s="1"/>
      <c r="BD99" s="1"/>
      <c r="BE99" s="1"/>
      <c r="BF99" s="1"/>
      <c r="BG99" s="1"/>
      <c r="BH99" s="1"/>
      <c r="BI99" s="1"/>
      <c r="BJ99" s="1"/>
      <c r="BK99" s="1" t="s">
        <v>391</v>
      </c>
      <c r="BL99" s="1"/>
      <c r="BM99" s="1"/>
      <c r="BN99" s="1"/>
      <c r="BO99" s="1"/>
      <c r="BP99" s="1" t="s">
        <v>396</v>
      </c>
      <c r="BQ99" s="1"/>
      <c r="BR99" s="1" t="s">
        <v>491</v>
      </c>
      <c r="BS99" s="1" t="s">
        <v>1340</v>
      </c>
      <c r="BT99" s="1">
        <v>0</v>
      </c>
      <c r="BU99" s="1">
        <v>0</v>
      </c>
      <c r="BV99" s="1">
        <v>0</v>
      </c>
      <c r="BW99" s="1" t="s">
        <v>396</v>
      </c>
      <c r="BX99" s="1"/>
      <c r="BY99" s="1" t="s">
        <v>401</v>
      </c>
      <c r="BZ99" s="1">
        <v>0</v>
      </c>
      <c r="CA99" s="1">
        <v>0</v>
      </c>
      <c r="CB99" s="1">
        <v>0</v>
      </c>
      <c r="CC99" s="1" t="s">
        <v>1341</v>
      </c>
      <c r="CD99" s="1">
        <v>0</v>
      </c>
    </row>
    <row r="100" spans="1:82" hidden="1">
      <c r="A100" s="1" t="s">
        <v>1342</v>
      </c>
      <c r="B100" s="1" t="str">
        <f>_xlfn.XLOOKUP(A:A,'Dados Elevatórias'!D:D,'Dados Elevatórias'!B:B)</f>
        <v>PL-RJB-EAT0102</v>
      </c>
      <c r="C100" s="1" t="str">
        <f>_xlfn.XLOOKUP(B:B,'Dados Elevatórias'!B:B,'Dados Elevatórias'!C:C)</f>
        <v>EAT</v>
      </c>
      <c r="D100" s="1" t="s">
        <v>373</v>
      </c>
      <c r="E100" s="1" t="s">
        <v>1343</v>
      </c>
      <c r="F100" s="1" t="s">
        <v>1053</v>
      </c>
      <c r="G100" s="1" t="s">
        <v>443</v>
      </c>
      <c r="H100" s="1">
        <f>_xlfn.XLOOKUP(B:B,'Dados Elevatórias'!B:B,'Dados Elevatórias'!G:G)</f>
        <v>0</v>
      </c>
      <c r="I100" s="1">
        <f>_xlfn.XLOOKUP(B100,COORDENADAS!A:A,COORDENADAS!B:B)</f>
        <v>-22.693200000000001</v>
      </c>
      <c r="J100" s="1">
        <f>_xlfn.XLOOKUP(B100,COORDENADAS!A:A,COORDENADAS!C:C)</f>
        <v>-43.558100000000003</v>
      </c>
      <c r="K100" s="1"/>
      <c r="L100" s="1" t="str">
        <f>_xlfn.XLOOKUP(A:A,'RELAÇÃO ANTIGA'!A:A,'RELAÇÃO ANTIGA'!J:J)</f>
        <v>INFORMAL</v>
      </c>
      <c r="M100" s="1">
        <v>1</v>
      </c>
      <c r="N100" s="1" t="s">
        <v>378</v>
      </c>
      <c r="O100" s="1" t="s">
        <v>1344</v>
      </c>
      <c r="P100" s="1" t="s">
        <v>1345</v>
      </c>
      <c r="Q100" s="1" t="s">
        <v>404</v>
      </c>
      <c r="R100" s="1" t="s">
        <v>832</v>
      </c>
      <c r="S100" s="1" t="s">
        <v>1346</v>
      </c>
      <c r="T100" s="1" t="s">
        <v>407</v>
      </c>
      <c r="U100" s="1" t="s">
        <v>1347</v>
      </c>
      <c r="V100" s="1" t="s">
        <v>1207</v>
      </c>
      <c r="W100" s="1" t="s">
        <v>1348</v>
      </c>
      <c r="X100" s="1"/>
      <c r="Y100" s="1" t="s">
        <v>1349</v>
      </c>
      <c r="Z100" s="1"/>
      <c r="AA100" s="1"/>
      <c r="AB100" s="1"/>
      <c r="AC100" s="1" t="s">
        <v>385</v>
      </c>
      <c r="AD100" s="1" t="s">
        <v>396</v>
      </c>
      <c r="AE100" s="1"/>
      <c r="AF100" s="1"/>
      <c r="AG100" s="1"/>
      <c r="AH100" s="1"/>
      <c r="AI100" s="1"/>
      <c r="AJ100" s="1"/>
      <c r="AK100" s="1"/>
      <c r="AL100" s="1"/>
      <c r="AM100" s="1"/>
      <c r="AN100" s="1" t="str">
        <f>_xlfn.XLOOKUP(A:A,'RELAÇÃO ANTIGA'!A:A,'RELAÇÃO ANTIGA'!AC:AC,X)</f>
        <v>220V</v>
      </c>
      <c r="AO100" s="1"/>
      <c r="AP100" s="1">
        <v>420395552</v>
      </c>
      <c r="AQ100" s="1">
        <v>6748339</v>
      </c>
      <c r="AR100" s="1">
        <v>0</v>
      </c>
      <c r="AS100" s="1" t="s">
        <v>1350</v>
      </c>
      <c r="AT100" s="1" t="s">
        <v>1351</v>
      </c>
      <c r="AU100" s="1" t="s">
        <v>489</v>
      </c>
      <c r="AV100" s="1" t="s">
        <v>489</v>
      </c>
      <c r="AW100" s="1">
        <v>0</v>
      </c>
      <c r="AX100" s="1">
        <v>0</v>
      </c>
      <c r="AY100" s="1">
        <v>0</v>
      </c>
      <c r="AZ100" s="1">
        <v>0</v>
      </c>
      <c r="BA100" s="1"/>
      <c r="BB100" s="1"/>
      <c r="BC100" s="1"/>
      <c r="BD100" s="1"/>
      <c r="BE100" s="1"/>
      <c r="BF100" s="1"/>
      <c r="BG100" s="1"/>
      <c r="BH100" s="1"/>
      <c r="BI100" s="1"/>
      <c r="BJ100" s="1"/>
      <c r="BK100" s="1" t="s">
        <v>391</v>
      </c>
      <c r="BL100" s="1"/>
      <c r="BM100" s="1"/>
      <c r="BN100" s="1"/>
      <c r="BO100" s="1"/>
      <c r="BP100" s="1" t="s">
        <v>386</v>
      </c>
      <c r="BQ100" s="1"/>
      <c r="BR100" s="1" t="s">
        <v>491</v>
      </c>
      <c r="BS100" s="1" t="s">
        <v>1340</v>
      </c>
      <c r="BT100" s="1">
        <v>0</v>
      </c>
      <c r="BU100" s="1">
        <v>0</v>
      </c>
      <c r="BV100" s="1">
        <v>0</v>
      </c>
      <c r="BW100" s="1" t="s">
        <v>396</v>
      </c>
      <c r="BX100" s="1"/>
      <c r="BY100" s="1" t="s">
        <v>401</v>
      </c>
      <c r="BZ100" s="1">
        <v>0</v>
      </c>
      <c r="CA100" s="1">
        <v>0</v>
      </c>
      <c r="CB100" s="1">
        <v>0</v>
      </c>
      <c r="CC100" s="1" t="s">
        <v>1342</v>
      </c>
      <c r="CD100" s="1">
        <v>0</v>
      </c>
    </row>
    <row r="101" spans="1:82" hidden="1">
      <c r="A101" s="1" t="s">
        <v>1352</v>
      </c>
      <c r="B101" s="1" t="str">
        <f>_xlfn.XLOOKUP(A:A,'Dados Elevatórias'!D:D,'Dados Elevatórias'!B:B)</f>
        <v>PL-RJB-EAT0099</v>
      </c>
      <c r="C101" s="1" t="str">
        <f>_xlfn.XLOOKUP(B:B,'Dados Elevatórias'!B:B,'Dados Elevatórias'!C:C)</f>
        <v>EAT</v>
      </c>
      <c r="D101" s="1" t="s">
        <v>373</v>
      </c>
      <c r="E101" s="1" t="s">
        <v>1353</v>
      </c>
      <c r="F101" s="1" t="s">
        <v>1069</v>
      </c>
      <c r="G101" s="1" t="s">
        <v>605</v>
      </c>
      <c r="H101" s="1" t="str">
        <f>_xlfn.XLOOKUP(B:B,'Dados Elevatórias'!B:B,'Dados Elevatórias'!G:G)</f>
        <v>26570-250</v>
      </c>
      <c r="I101" s="1">
        <f>_xlfn.XLOOKUP(B101,COORDENADAS!A:A,COORDENADAS!B:B)</f>
        <v>-22.777699999999999</v>
      </c>
      <c r="J101" s="1">
        <f>_xlfn.XLOOKUP(B101,COORDENADAS!A:A,COORDENADAS!C:C)</f>
        <v>-43.414900000000003</v>
      </c>
      <c r="K101" s="1"/>
      <c r="L101" s="1" t="str">
        <f>_xlfn.XLOOKUP(A:A,'RELAÇÃO ANTIGA'!A:A,'RELAÇÃO ANTIGA'!J:J)</f>
        <v>FORMAL</v>
      </c>
      <c r="M101" s="1">
        <v>1</v>
      </c>
      <c r="N101" s="1" t="s">
        <v>378</v>
      </c>
      <c r="O101" s="1" t="s">
        <v>1029</v>
      </c>
      <c r="P101" s="1" t="s">
        <v>446</v>
      </c>
      <c r="Q101" s="1" t="s">
        <v>404</v>
      </c>
      <c r="R101" s="1" t="s">
        <v>1206</v>
      </c>
      <c r="S101" s="1" t="s">
        <v>1354</v>
      </c>
      <c r="T101" s="1" t="s">
        <v>1337</v>
      </c>
      <c r="U101" s="1" t="s">
        <v>1031</v>
      </c>
      <c r="V101" s="1"/>
      <c r="W101" s="1"/>
      <c r="X101" s="1" t="s">
        <v>1355</v>
      </c>
      <c r="Y101" s="1" t="s">
        <v>1356</v>
      </c>
      <c r="Z101" s="1" t="s">
        <v>1357</v>
      </c>
      <c r="AA101" s="1">
        <v>2</v>
      </c>
      <c r="AB101" s="1" t="s">
        <v>1358</v>
      </c>
      <c r="AC101" s="1" t="s">
        <v>385</v>
      </c>
      <c r="AD101" s="1" t="s">
        <v>396</v>
      </c>
      <c r="AE101" s="1"/>
      <c r="AF101" s="1"/>
      <c r="AG101" s="1" t="s">
        <v>1023</v>
      </c>
      <c r="AH101" s="1"/>
      <c r="AI101" s="1"/>
      <c r="AJ101" s="1"/>
      <c r="AK101" s="1"/>
      <c r="AL101" s="1"/>
      <c r="AM101" s="1"/>
      <c r="AN101" s="1" t="str">
        <f>_xlfn.XLOOKUP(A:A,'RELAÇÃO ANTIGA'!A:A,'RELAÇÃO ANTIGA'!AC:AC,X)</f>
        <v>220V</v>
      </c>
      <c r="AO101" s="1"/>
      <c r="AP101" s="1">
        <v>421230257</v>
      </c>
      <c r="AQ101" s="1">
        <v>9039847</v>
      </c>
      <c r="AR101" s="1">
        <v>0</v>
      </c>
      <c r="AS101" s="1" t="s">
        <v>1359</v>
      </c>
      <c r="AT101" s="1" t="s">
        <v>1360</v>
      </c>
      <c r="AU101" s="1" t="s">
        <v>489</v>
      </c>
      <c r="AV101" s="1" t="s">
        <v>489</v>
      </c>
      <c r="AW101" s="1">
        <v>0</v>
      </c>
      <c r="AX101" s="1">
        <v>0</v>
      </c>
      <c r="AY101" s="1">
        <v>0</v>
      </c>
      <c r="AZ101" s="1">
        <v>0</v>
      </c>
      <c r="BA101" s="1"/>
      <c r="BB101" s="1"/>
      <c r="BC101" s="1"/>
      <c r="BD101" s="1"/>
      <c r="BE101" s="1"/>
      <c r="BF101" s="1"/>
      <c r="BG101" s="1"/>
      <c r="BH101" s="1"/>
      <c r="BI101" s="1"/>
      <c r="BJ101" s="1" t="s">
        <v>1361</v>
      </c>
      <c r="BK101" s="1" t="s">
        <v>391</v>
      </c>
      <c r="BL101" s="1"/>
      <c r="BM101" s="1"/>
      <c r="BN101" s="1"/>
      <c r="BO101" s="1"/>
      <c r="BP101" s="1" t="s">
        <v>396</v>
      </c>
      <c r="BQ101" s="1"/>
      <c r="BR101" s="1" t="s">
        <v>491</v>
      </c>
      <c r="BS101" s="1" t="s">
        <v>1340</v>
      </c>
      <c r="BT101" s="1">
        <v>0</v>
      </c>
      <c r="BU101" s="1">
        <v>0</v>
      </c>
      <c r="BV101" s="1">
        <v>0</v>
      </c>
      <c r="BW101" s="1" t="s">
        <v>396</v>
      </c>
      <c r="BX101" s="1"/>
      <c r="BY101" s="1" t="s">
        <v>401</v>
      </c>
      <c r="BZ101" s="1">
        <v>0</v>
      </c>
      <c r="CA101" s="1">
        <v>0</v>
      </c>
      <c r="CB101" s="1">
        <v>0</v>
      </c>
      <c r="CC101" s="1">
        <v>0</v>
      </c>
      <c r="CD101" s="1" t="s">
        <v>1362</v>
      </c>
    </row>
    <row r="102" spans="1:82" hidden="1">
      <c r="A102" s="1" t="s">
        <v>1363</v>
      </c>
      <c r="B102" s="1" t="s">
        <v>82</v>
      </c>
      <c r="C102" s="1" t="s">
        <v>1364</v>
      </c>
      <c r="D102" s="1" t="s">
        <v>373</v>
      </c>
      <c r="E102" s="1" t="s">
        <v>1365</v>
      </c>
      <c r="F102" s="1" t="s">
        <v>1366</v>
      </c>
      <c r="G102" s="1" t="s">
        <v>421</v>
      </c>
      <c r="H102" s="1" t="s">
        <v>1367</v>
      </c>
      <c r="I102" s="1">
        <f>_xlfn.XLOOKUP(B102,COORDENADAS!A:A,COORDENADAS!B:B)</f>
        <v>-22.759499999999999</v>
      </c>
      <c r="J102" s="1">
        <f>_xlfn.XLOOKUP(B102,COORDENADAS!A:A,COORDENADAS!C:C)</f>
        <v>-43.5398</v>
      </c>
      <c r="K102" s="1"/>
      <c r="L102" s="1" t="s">
        <v>377</v>
      </c>
      <c r="M102" s="1">
        <v>1</v>
      </c>
      <c r="N102" s="1" t="s">
        <v>1368</v>
      </c>
      <c r="O102" s="1"/>
      <c r="P102" s="1"/>
      <c r="Q102" s="1"/>
      <c r="R102" s="1"/>
      <c r="S102" s="1" t="s">
        <v>993</v>
      </c>
      <c r="T102" s="1"/>
      <c r="U102" s="1"/>
      <c r="V102" s="1"/>
      <c r="W102" s="1"/>
      <c r="X102" s="1"/>
      <c r="Y102" s="1" t="s">
        <v>993</v>
      </c>
      <c r="Z102" s="1"/>
      <c r="AA102" s="1"/>
      <c r="AB102" s="1"/>
      <c r="AC102" s="1"/>
      <c r="AD102" s="1"/>
      <c r="AE102" s="1"/>
      <c r="AF102" s="1"/>
      <c r="AG102" s="1"/>
      <c r="AH102" s="1"/>
      <c r="AI102" s="1"/>
      <c r="AJ102" s="1"/>
      <c r="AK102" s="1"/>
      <c r="AL102" s="1"/>
      <c r="AM102" s="1"/>
      <c r="AN102" s="1" t="s">
        <v>433</v>
      </c>
      <c r="AO102" s="1"/>
      <c r="AP102" s="1"/>
      <c r="AQ102" s="1"/>
      <c r="AR102" s="1"/>
      <c r="AS102" s="1"/>
      <c r="AT102" s="1"/>
      <c r="AU102" s="1"/>
      <c r="AV102" s="1"/>
      <c r="AW102" s="1"/>
      <c r="AX102" s="1"/>
      <c r="AY102" s="1"/>
      <c r="AZ102" s="1"/>
      <c r="BA102" s="1"/>
      <c r="BB102" s="1"/>
      <c r="BC102" s="1"/>
      <c r="BD102" s="1"/>
      <c r="BE102" s="1"/>
      <c r="BF102" s="1"/>
      <c r="BG102" s="1"/>
      <c r="BH102" s="1"/>
      <c r="BI102" s="1"/>
      <c r="BJ102" s="1"/>
      <c r="BK102" s="1" t="s">
        <v>391</v>
      </c>
      <c r="BL102" s="1"/>
      <c r="BM102" s="1"/>
      <c r="BN102" s="1"/>
      <c r="BO102" s="1"/>
      <c r="BP102" s="1" t="s">
        <v>396</v>
      </c>
      <c r="BQ102" s="1"/>
      <c r="BR102" s="1"/>
      <c r="BS102" s="1"/>
      <c r="BT102" s="1"/>
      <c r="BU102" s="1"/>
      <c r="BV102" s="1"/>
      <c r="BW102" s="1"/>
      <c r="BX102" s="1"/>
      <c r="BY102" s="1"/>
      <c r="BZ102" s="1"/>
      <c r="CA102" s="1"/>
      <c r="CB102" s="1"/>
      <c r="CC102" s="1"/>
      <c r="CD102" s="1"/>
    </row>
    <row r="103" spans="1:82" hidden="1">
      <c r="A103" s="1" t="s">
        <v>1369</v>
      </c>
      <c r="B103" s="1" t="s">
        <v>77</v>
      </c>
      <c r="C103" s="1" t="s">
        <v>1364</v>
      </c>
      <c r="D103" s="1" t="s">
        <v>373</v>
      </c>
      <c r="E103" s="1" t="str">
        <f>_xlfn.XLOOKUP(B103,'Dados Elevatórias'!B:B,'Dados Elevatórias'!E:E)</f>
        <v xml:space="preserve"> Rua Antônio Pereira de Carvalho, Próximo ao n. 217</v>
      </c>
      <c r="F103" s="1" t="s">
        <v>1370</v>
      </c>
      <c r="G103" s="1" t="s">
        <v>376</v>
      </c>
      <c r="H103" s="1"/>
      <c r="I103" s="1">
        <f>_xlfn.XLOOKUP(B103,COORDENADAS!A:A,COORDENADAS!B:B)</f>
        <v>-22.812000000000001</v>
      </c>
      <c r="J103" s="1">
        <f>_xlfn.XLOOKUP(B103,COORDENADAS!A:A,COORDENADAS!C:C)</f>
        <v>-43.410299999999999</v>
      </c>
      <c r="K103" s="1"/>
      <c r="L103" s="1"/>
      <c r="M103" s="1">
        <v>1</v>
      </c>
      <c r="N103" s="1" t="s">
        <v>1368</v>
      </c>
      <c r="O103" s="1" t="s">
        <v>1371</v>
      </c>
      <c r="P103" s="1" t="s">
        <v>1372</v>
      </c>
      <c r="Q103" s="1" t="s">
        <v>404</v>
      </c>
      <c r="R103" s="1"/>
      <c r="S103" s="1" t="s">
        <v>1373</v>
      </c>
      <c r="T103" s="1" t="s">
        <v>707</v>
      </c>
      <c r="U103" s="1"/>
      <c r="V103" s="1"/>
      <c r="W103" s="1"/>
      <c r="X103" s="1"/>
      <c r="Y103" s="1" t="s">
        <v>1374</v>
      </c>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t="s">
        <v>437</v>
      </c>
      <c r="BL103" s="1"/>
      <c r="BM103" s="1"/>
      <c r="BN103" s="1"/>
      <c r="BO103" s="1"/>
      <c r="BP103" s="1" t="s">
        <v>396</v>
      </c>
      <c r="BQ103" s="1"/>
      <c r="BR103" s="1"/>
      <c r="BS103" s="1"/>
      <c r="BT103" s="1"/>
      <c r="BU103" s="1"/>
      <c r="BV103" s="1"/>
      <c r="BW103" s="1"/>
      <c r="BX103" s="1"/>
      <c r="BY103" s="1"/>
      <c r="BZ103" s="1"/>
      <c r="CA103" s="1"/>
      <c r="CB103" s="1"/>
      <c r="CC103" s="1"/>
      <c r="CD103" s="1"/>
    </row>
    <row r="104" spans="1:82" hidden="1">
      <c r="A104" s="1" t="s">
        <v>1375</v>
      </c>
      <c r="B104" s="1" t="str">
        <f>_xlfn.XLOOKUP(A:A,'Dados Elevatórias'!D:D,'Dados Elevatórias'!B:B)</f>
        <v>PL-RJB-EAT0059</v>
      </c>
      <c r="C104" s="1" t="str">
        <f>_xlfn.XLOOKUP(B:B,'Dados Elevatórias'!B:B,'Dados Elevatórias'!C:C)</f>
        <v>EAT</v>
      </c>
      <c r="D104" s="1" t="s">
        <v>373</v>
      </c>
      <c r="E104" s="1" t="s">
        <v>1376</v>
      </c>
      <c r="F104" s="1" t="s">
        <v>1377</v>
      </c>
      <c r="G104" s="1" t="s">
        <v>421</v>
      </c>
      <c r="H104" s="1">
        <f>_xlfn.XLOOKUP(B:B,'Dados Elevatórias'!B:B,'Dados Elevatórias'!G:G)</f>
        <v>0</v>
      </c>
      <c r="I104" s="1">
        <f>_xlfn.XLOOKUP(B104,COORDENADAS!A:A,COORDENADAS!B:B)</f>
        <v>-22.7392</v>
      </c>
      <c r="J104" s="1">
        <f>_xlfn.XLOOKUP(B104,COORDENADAS!A:A,COORDENADAS!C:C)</f>
        <v>-43.497500000000002</v>
      </c>
      <c r="K104" s="1"/>
      <c r="L104" s="1" t="s">
        <v>444</v>
      </c>
      <c r="M104" s="1">
        <v>1</v>
      </c>
      <c r="N104" s="1" t="s">
        <v>378</v>
      </c>
      <c r="O104" s="1" t="s">
        <v>1378</v>
      </c>
      <c r="P104" s="1"/>
      <c r="Q104" s="1"/>
      <c r="R104" s="1"/>
      <c r="S104" s="1" t="s">
        <v>1379</v>
      </c>
      <c r="T104" s="1" t="s">
        <v>675</v>
      </c>
      <c r="U104" s="1" t="s">
        <v>1380</v>
      </c>
      <c r="V104" s="1"/>
      <c r="W104" s="1"/>
      <c r="X104" s="1" t="s">
        <v>1381</v>
      </c>
      <c r="Y104" s="1" t="s">
        <v>1382</v>
      </c>
      <c r="Z104" s="1" t="s">
        <v>1383</v>
      </c>
      <c r="AA104" s="1"/>
      <c r="AB104" s="1" t="s">
        <v>1384</v>
      </c>
      <c r="AC104" s="1" t="s">
        <v>727</v>
      </c>
      <c r="AD104" s="1"/>
      <c r="AE104" s="1"/>
      <c r="AF104" s="1"/>
      <c r="AG104" s="1"/>
      <c r="AH104" s="1"/>
      <c r="AI104" s="1" t="s">
        <v>1385</v>
      </c>
      <c r="AJ104" s="1" t="s">
        <v>1386</v>
      </c>
      <c r="AK104" s="1"/>
      <c r="AL104" s="1"/>
      <c r="AM104" s="1"/>
      <c r="AN104" s="1" t="s">
        <v>638</v>
      </c>
      <c r="AO104" s="1" t="s">
        <v>638</v>
      </c>
      <c r="AP104" s="1">
        <v>421063277</v>
      </c>
      <c r="AQ104" s="1">
        <v>8708755</v>
      </c>
      <c r="AR104" s="1">
        <v>0</v>
      </c>
      <c r="AS104" s="1" t="s">
        <v>1387</v>
      </c>
      <c r="AT104" s="1" t="s">
        <v>1388</v>
      </c>
      <c r="AU104" s="1" t="s">
        <v>698</v>
      </c>
      <c r="AV104" s="1" t="s">
        <v>1389</v>
      </c>
      <c r="AW104" s="1">
        <v>0</v>
      </c>
      <c r="AX104" s="1">
        <v>0</v>
      </c>
      <c r="AY104" s="1">
        <v>0</v>
      </c>
      <c r="AZ104" s="1">
        <v>0</v>
      </c>
      <c r="BA104" s="1"/>
      <c r="BB104" s="1"/>
      <c r="BC104" s="1"/>
      <c r="BD104" s="1"/>
      <c r="BE104" s="1"/>
      <c r="BF104" s="1"/>
      <c r="BG104" s="1"/>
      <c r="BH104" s="1"/>
      <c r="BI104" s="1"/>
      <c r="BJ104" s="1"/>
      <c r="BK104" s="1" t="s">
        <v>427</v>
      </c>
      <c r="BL104" s="1" t="s">
        <v>404</v>
      </c>
      <c r="BM104" s="1" t="s">
        <v>734</v>
      </c>
      <c r="BN104" s="1"/>
      <c r="BO104" s="1"/>
      <c r="BP104" s="1" t="s">
        <v>396</v>
      </c>
      <c r="BQ104" s="1"/>
      <c r="BR104" s="1">
        <v>0</v>
      </c>
      <c r="BS104" s="1">
        <v>0</v>
      </c>
      <c r="BT104" s="1">
        <v>0</v>
      </c>
      <c r="BU104" s="1">
        <v>0</v>
      </c>
      <c r="BV104" s="1">
        <v>0</v>
      </c>
      <c r="BW104" s="1" t="s">
        <v>396</v>
      </c>
      <c r="BX104" s="1"/>
      <c r="BY104" s="1" t="s">
        <v>401</v>
      </c>
      <c r="BZ104" s="1">
        <v>0</v>
      </c>
      <c r="CA104" s="1">
        <v>0</v>
      </c>
      <c r="CB104" s="1">
        <v>0</v>
      </c>
      <c r="CC104" s="1" t="s">
        <v>1390</v>
      </c>
      <c r="CD104" s="1">
        <v>0</v>
      </c>
    </row>
    <row r="105" spans="1:82" hidden="1">
      <c r="A105" s="1" t="s">
        <v>1391</v>
      </c>
      <c r="B105" s="1" t="str">
        <f>_xlfn.XLOOKUP(A:A,'Dados Elevatórias'!D:D,'Dados Elevatórias'!B:B)</f>
        <v>PL-RJB-EAT0017</v>
      </c>
      <c r="C105" s="1" t="str">
        <f>_xlfn.XLOOKUP(B:B,'Dados Elevatórias'!B:B,'Dados Elevatórias'!C:C)</f>
        <v>EAT</v>
      </c>
      <c r="D105" s="1" t="s">
        <v>373</v>
      </c>
      <c r="E105" s="1" t="s">
        <v>1392</v>
      </c>
      <c r="F105" s="1" t="s">
        <v>1124</v>
      </c>
      <c r="G105" s="1" t="s">
        <v>376</v>
      </c>
      <c r="H105" s="1" t="str">
        <f>_xlfn.XLOOKUP(B:B,'Dados Elevatórias'!B:B,'Dados Elevatórias'!G:G)</f>
        <v>26510-049</v>
      </c>
      <c r="I105" s="1">
        <f>_xlfn.XLOOKUP(B105,COORDENADAS!A:A,COORDENADAS!B:B)</f>
        <v>-22.822600000000001</v>
      </c>
      <c r="J105" s="1">
        <f>_xlfn.XLOOKUP(B105,COORDENADAS!A:A,COORDENADAS!C:C)</f>
        <v>-43.420200000000001</v>
      </c>
      <c r="K105" s="1"/>
      <c r="L105" s="1"/>
      <c r="M105" s="1">
        <v>1</v>
      </c>
      <c r="N105" s="1" t="s">
        <v>378</v>
      </c>
      <c r="O105" s="1" t="s">
        <v>861</v>
      </c>
      <c r="P105" s="1"/>
      <c r="Q105" s="1"/>
      <c r="R105" s="1"/>
      <c r="S105" s="1" t="s">
        <v>1393</v>
      </c>
      <c r="T105" s="1" t="s">
        <v>713</v>
      </c>
      <c r="U105" s="1"/>
      <c r="V105" s="1"/>
      <c r="W105" s="1"/>
      <c r="X105" s="1"/>
      <c r="Y105" s="1" t="s">
        <v>993</v>
      </c>
      <c r="Z105" s="1"/>
      <c r="AA105" s="1"/>
      <c r="AB105" s="1"/>
      <c r="AC105" s="1" t="s">
        <v>385</v>
      </c>
      <c r="AD105" s="1"/>
      <c r="AE105" s="1"/>
      <c r="AF105" s="1"/>
      <c r="AG105" s="1"/>
      <c r="AH105" s="1"/>
      <c r="AI105" s="1"/>
      <c r="AJ105" s="1"/>
      <c r="AK105" s="1"/>
      <c r="AL105" s="1"/>
      <c r="AM105" s="1"/>
      <c r="AN105" s="1" t="s">
        <v>638</v>
      </c>
      <c r="AO105" s="1" t="s">
        <v>638</v>
      </c>
      <c r="AP105" s="1">
        <v>420150243</v>
      </c>
      <c r="AQ105" s="1">
        <v>4896132</v>
      </c>
      <c r="AR105" s="1">
        <v>0</v>
      </c>
      <c r="AS105" s="1" t="s">
        <v>1394</v>
      </c>
      <c r="AT105" s="1" t="s">
        <v>1395</v>
      </c>
      <c r="AU105" s="1" t="s">
        <v>489</v>
      </c>
      <c r="AV105" s="1" t="s">
        <v>489</v>
      </c>
      <c r="AW105" s="1">
        <v>0</v>
      </c>
      <c r="AX105" s="1">
        <v>0</v>
      </c>
      <c r="AY105" s="1">
        <v>0</v>
      </c>
      <c r="AZ105" s="1">
        <v>0</v>
      </c>
      <c r="BA105" s="1"/>
      <c r="BB105" s="1"/>
      <c r="BC105" s="1"/>
      <c r="BD105" s="1"/>
      <c r="BE105" s="1"/>
      <c r="BF105" s="1"/>
      <c r="BG105" s="1"/>
      <c r="BH105" s="1"/>
      <c r="BI105" s="1"/>
      <c r="BJ105" s="1"/>
      <c r="BK105" s="1" t="s">
        <v>391</v>
      </c>
      <c r="BL105" s="1"/>
      <c r="BM105" s="1"/>
      <c r="BN105" s="1"/>
      <c r="BO105" s="1"/>
      <c r="BP105" s="1" t="s">
        <v>386</v>
      </c>
      <c r="BQ105" s="1"/>
      <c r="BR105" s="1">
        <v>0</v>
      </c>
      <c r="BS105" s="1">
        <v>0</v>
      </c>
      <c r="BT105" s="1">
        <v>0</v>
      </c>
      <c r="BU105" s="1">
        <v>0</v>
      </c>
      <c r="BV105" s="1">
        <v>0</v>
      </c>
      <c r="BW105" s="1" t="s">
        <v>396</v>
      </c>
      <c r="BX105" s="1"/>
      <c r="BY105" s="1" t="s">
        <v>401</v>
      </c>
      <c r="BZ105" s="1">
        <v>0</v>
      </c>
      <c r="CA105" s="1">
        <v>0</v>
      </c>
      <c r="CB105" s="1">
        <v>0</v>
      </c>
      <c r="CC105" s="1">
        <v>0</v>
      </c>
      <c r="CD105" s="1" t="s">
        <v>1396</v>
      </c>
    </row>
    <row r="106" spans="1:82" hidden="1">
      <c r="A106" s="1" t="s">
        <v>1397</v>
      </c>
      <c r="B106" s="1" t="str">
        <f>_xlfn.XLOOKUP(A:A,'Dados Elevatórias'!D:D,'Dados Elevatórias'!B:B)</f>
        <v>PL-RJB-EEE1006</v>
      </c>
      <c r="C106" s="1" t="str">
        <f>_xlfn.XLOOKUP(B:B,'Dados Elevatórias'!B:B,'Dados Elevatórias'!C:C)</f>
        <v>EEE</v>
      </c>
      <c r="D106" s="1" t="s">
        <v>373</v>
      </c>
      <c r="E106" s="1" t="s">
        <v>1398</v>
      </c>
      <c r="F106" s="1" t="s">
        <v>1399</v>
      </c>
      <c r="G106" s="1" t="s">
        <v>605</v>
      </c>
      <c r="H106" s="1" t="str">
        <f>_xlfn.XLOOKUP(B:B,'Dados Elevatórias'!B:B,'Dados Elevatórias'!G:G)</f>
        <v>24064-240</v>
      </c>
      <c r="I106" s="1">
        <f>_xlfn.XLOOKUP(B106,COORDENADAS!A:A,COORDENADAS!B:B)</f>
        <v>-22.768899999999999</v>
      </c>
      <c r="J106" s="1">
        <f>_xlfn.XLOOKUP(B106,COORDENADAS!A:A,COORDENADAS!C:C)</f>
        <v>-43.416400000000003</v>
      </c>
      <c r="K106" s="1"/>
      <c r="L106" s="1"/>
      <c r="M106" s="1">
        <v>1</v>
      </c>
      <c r="N106" s="1" t="s">
        <v>378</v>
      </c>
      <c r="O106" s="1" t="s">
        <v>1400</v>
      </c>
      <c r="P106" s="1" t="s">
        <v>1401</v>
      </c>
      <c r="Q106" s="1" t="s">
        <v>404</v>
      </c>
      <c r="R106" s="1" t="s">
        <v>1261</v>
      </c>
      <c r="S106" s="1" t="s">
        <v>1402</v>
      </c>
      <c r="T106" s="1" t="s">
        <v>1337</v>
      </c>
      <c r="U106" s="1" t="s">
        <v>1403</v>
      </c>
      <c r="V106" s="1"/>
      <c r="W106" s="1"/>
      <c r="X106" s="1" t="s">
        <v>1404</v>
      </c>
      <c r="Y106" s="1" t="s">
        <v>1405</v>
      </c>
      <c r="Z106" s="1" t="s">
        <v>1406</v>
      </c>
      <c r="AA106" s="1">
        <v>2</v>
      </c>
      <c r="AB106" s="1" t="s">
        <v>1407</v>
      </c>
      <c r="AC106" s="1" t="s">
        <v>455</v>
      </c>
      <c r="AD106" s="1"/>
      <c r="AE106" s="1"/>
      <c r="AF106" s="1"/>
      <c r="AG106" s="1" t="s">
        <v>1408</v>
      </c>
      <c r="AH106" s="1" t="s">
        <v>1409</v>
      </c>
      <c r="AI106" s="1" t="s">
        <v>1410</v>
      </c>
      <c r="AJ106" s="1" t="s">
        <v>1411</v>
      </c>
      <c r="AK106" s="1"/>
      <c r="AL106" s="1"/>
      <c r="AM106" s="1"/>
      <c r="AN106" s="1" t="s">
        <v>638</v>
      </c>
      <c r="AO106" s="1" t="s">
        <v>638</v>
      </c>
      <c r="AP106" s="1">
        <v>0</v>
      </c>
      <c r="AQ106" s="1">
        <v>0</v>
      </c>
      <c r="AR106" s="1">
        <v>0</v>
      </c>
      <c r="AS106" s="1">
        <v>0</v>
      </c>
      <c r="AT106" s="1">
        <v>0</v>
      </c>
      <c r="AU106" s="1" t="s">
        <v>1412</v>
      </c>
      <c r="AV106" s="1" t="s">
        <v>1412</v>
      </c>
      <c r="AW106" s="1">
        <v>0</v>
      </c>
      <c r="AX106" s="1">
        <v>0</v>
      </c>
      <c r="AY106" s="1">
        <v>0</v>
      </c>
      <c r="AZ106" s="1">
        <v>0</v>
      </c>
      <c r="BA106" s="1"/>
      <c r="BB106" s="1"/>
      <c r="BC106" s="1"/>
      <c r="BD106" s="1"/>
      <c r="BE106" s="1"/>
      <c r="BF106" s="1"/>
      <c r="BG106" s="1"/>
      <c r="BH106" s="1"/>
      <c r="BI106" s="1"/>
      <c r="BJ106" s="1" t="s">
        <v>1413</v>
      </c>
      <c r="BK106" s="1" t="s">
        <v>391</v>
      </c>
      <c r="BL106" s="1" t="s">
        <v>404</v>
      </c>
      <c r="BM106" s="1" t="s">
        <v>1414</v>
      </c>
      <c r="BN106" s="1"/>
      <c r="BO106" s="1" t="s">
        <v>1415</v>
      </c>
      <c r="BP106" s="1" t="s">
        <v>396</v>
      </c>
      <c r="BQ106" s="1"/>
      <c r="BR106" s="1" t="s">
        <v>1416</v>
      </c>
      <c r="BS106" s="1" t="s">
        <v>1417</v>
      </c>
      <c r="BT106" s="1">
        <v>0</v>
      </c>
      <c r="BU106" s="1">
        <v>0</v>
      </c>
      <c r="BV106" s="1">
        <v>0</v>
      </c>
      <c r="BW106" s="1"/>
      <c r="BX106" s="1"/>
      <c r="BY106" s="1">
        <v>0</v>
      </c>
      <c r="BZ106" s="1">
        <v>0</v>
      </c>
      <c r="CA106" s="1">
        <v>0</v>
      </c>
      <c r="CB106" s="1">
        <v>0</v>
      </c>
      <c r="CC106" s="1">
        <v>0</v>
      </c>
      <c r="CD106" s="1">
        <v>0</v>
      </c>
    </row>
    <row r="107" spans="1:82" hidden="1">
      <c r="A107" s="1" t="s">
        <v>1397</v>
      </c>
      <c r="B107" s="1" t="str">
        <f>_xlfn.XLOOKUP(A:A,'Dados Elevatórias'!D:D,'Dados Elevatórias'!B:B)</f>
        <v>PL-RJB-EEE1006</v>
      </c>
      <c r="C107" s="1" t="str">
        <f>_xlfn.XLOOKUP(B:B,'Dados Elevatórias'!B:B,'Dados Elevatórias'!C:C)</f>
        <v>EEE</v>
      </c>
      <c r="D107" s="1" t="s">
        <v>373</v>
      </c>
      <c r="E107" s="1" t="s">
        <v>1398</v>
      </c>
      <c r="F107" s="1" t="s">
        <v>1399</v>
      </c>
      <c r="G107" s="1" t="s">
        <v>605</v>
      </c>
      <c r="H107" s="1" t="str">
        <f>_xlfn.XLOOKUP(B:B,'Dados Elevatórias'!B:B,'Dados Elevatórias'!G:G)</f>
        <v>24064-240</v>
      </c>
      <c r="I107" s="1">
        <f>_xlfn.XLOOKUP(B107,COORDENADAS!A:A,COORDENADAS!B:B)</f>
        <v>-22.768899999999999</v>
      </c>
      <c r="J107" s="1">
        <f>_xlfn.XLOOKUP(B107,COORDENADAS!A:A,COORDENADAS!C:C)</f>
        <v>-43.416400000000003</v>
      </c>
      <c r="K107" s="1"/>
      <c r="L107" s="1"/>
      <c r="M107" s="1">
        <v>2</v>
      </c>
      <c r="N107" s="1" t="s">
        <v>378</v>
      </c>
      <c r="O107" s="1" t="s">
        <v>1400</v>
      </c>
      <c r="P107" s="1" t="s">
        <v>999</v>
      </c>
      <c r="Q107" s="1" t="s">
        <v>404</v>
      </c>
      <c r="R107" s="1" t="s">
        <v>1261</v>
      </c>
      <c r="S107" s="1" t="s">
        <v>1418</v>
      </c>
      <c r="T107" s="1" t="s">
        <v>407</v>
      </c>
      <c r="U107" s="1" t="s">
        <v>1419</v>
      </c>
      <c r="V107" s="1"/>
      <c r="W107" s="1"/>
      <c r="X107" s="1" t="s">
        <v>1420</v>
      </c>
      <c r="Y107" s="1" t="s">
        <v>1421</v>
      </c>
      <c r="Z107" s="1" t="s">
        <v>1422</v>
      </c>
      <c r="AA107" s="1">
        <v>4</v>
      </c>
      <c r="AB107" s="1" t="s">
        <v>1423</v>
      </c>
      <c r="AC107" s="1" t="s">
        <v>455</v>
      </c>
      <c r="AD107" s="1"/>
      <c r="AE107" s="1"/>
      <c r="AF107" s="1"/>
      <c r="AG107" s="1" t="s">
        <v>1424</v>
      </c>
      <c r="AH107" s="1" t="s">
        <v>1409</v>
      </c>
      <c r="AI107" s="1"/>
      <c r="AJ107" s="1"/>
      <c r="AK107" s="1"/>
      <c r="AL107" s="1"/>
      <c r="AM107" s="1"/>
      <c r="AN107" s="1" t="s">
        <v>638</v>
      </c>
      <c r="AO107" s="1" t="s">
        <v>638</v>
      </c>
      <c r="AP107" s="1">
        <v>0</v>
      </c>
      <c r="AQ107" s="1">
        <v>0</v>
      </c>
      <c r="AR107" s="1">
        <v>0</v>
      </c>
      <c r="AS107" s="1">
        <v>0</v>
      </c>
      <c r="AT107" s="1">
        <v>0</v>
      </c>
      <c r="AU107" s="1" t="s">
        <v>1412</v>
      </c>
      <c r="AV107" s="1" t="s">
        <v>1412</v>
      </c>
      <c r="AW107" s="1">
        <v>0</v>
      </c>
      <c r="AX107" s="1">
        <v>0</v>
      </c>
      <c r="AY107" s="1">
        <v>0</v>
      </c>
      <c r="AZ107" s="1">
        <v>0</v>
      </c>
      <c r="BA107" s="1"/>
      <c r="BB107" s="1"/>
      <c r="BC107" s="1"/>
      <c r="BD107" s="1"/>
      <c r="BE107" s="1"/>
      <c r="BF107" s="1"/>
      <c r="BG107" s="1"/>
      <c r="BH107" s="1"/>
      <c r="BI107" s="1"/>
      <c r="BJ107" s="1" t="s">
        <v>1425</v>
      </c>
      <c r="BK107" s="1" t="s">
        <v>391</v>
      </c>
      <c r="BL107" s="1" t="s">
        <v>404</v>
      </c>
      <c r="BM107" s="1" t="s">
        <v>1414</v>
      </c>
      <c r="BN107" s="1"/>
      <c r="BO107" s="1" t="s">
        <v>1426</v>
      </c>
      <c r="BP107" s="1" t="s">
        <v>396</v>
      </c>
      <c r="BQ107" s="1"/>
      <c r="BR107" s="1" t="s">
        <v>1416</v>
      </c>
      <c r="BS107" s="1" t="s">
        <v>1417</v>
      </c>
      <c r="BT107" s="1">
        <v>0</v>
      </c>
      <c r="BU107" s="1">
        <v>0</v>
      </c>
      <c r="BV107" s="1">
        <v>0</v>
      </c>
      <c r="BW107" s="1"/>
      <c r="BX107" s="1"/>
      <c r="BY107" s="1">
        <v>0</v>
      </c>
      <c r="BZ107" s="1">
        <v>0</v>
      </c>
      <c r="CA107" s="1">
        <v>0</v>
      </c>
      <c r="CB107" s="1">
        <v>0</v>
      </c>
      <c r="CC107" s="1">
        <v>0</v>
      </c>
      <c r="CD107" s="1">
        <v>0</v>
      </c>
    </row>
    <row r="108" spans="1:82" hidden="1">
      <c r="A108" s="1" t="s">
        <v>1427</v>
      </c>
      <c r="B108" s="1" t="str">
        <f>_xlfn.XLOOKUP(A:A,'Dados Elevatórias'!D:D,'Dados Elevatórias'!B:B)</f>
        <v>PL-RJB-EAT0014</v>
      </c>
      <c r="C108" s="1" t="str">
        <f>_xlfn.XLOOKUP(B:B,'Dados Elevatórias'!B:B,'Dados Elevatórias'!C:C)</f>
        <v>EAT</v>
      </c>
      <c r="D108" s="1" t="s">
        <v>373</v>
      </c>
      <c r="E108" s="1" t="s">
        <v>1428</v>
      </c>
      <c r="F108" s="1" t="s">
        <v>1429</v>
      </c>
      <c r="G108" s="1" t="s">
        <v>421</v>
      </c>
      <c r="H108" s="1" t="s">
        <v>1430</v>
      </c>
      <c r="I108" s="1">
        <f>_xlfn.XLOOKUP(B108,COORDENADAS!A:A,COORDENADAS!B:B)</f>
        <v>-22.760100000000001</v>
      </c>
      <c r="J108" s="1">
        <f>_xlfn.XLOOKUP(B108,COORDENADAS!A:A,COORDENADAS!C:C)</f>
        <v>-43.436700000000002</v>
      </c>
      <c r="K108" s="1"/>
      <c r="L108" s="1"/>
      <c r="M108" s="1">
        <v>1</v>
      </c>
      <c r="N108" s="1" t="s">
        <v>378</v>
      </c>
      <c r="O108" s="1" t="s">
        <v>1431</v>
      </c>
      <c r="P108" s="1"/>
      <c r="Q108" s="1" t="s">
        <v>1432</v>
      </c>
      <c r="R108" s="1"/>
      <c r="S108" s="1" t="s">
        <v>1433</v>
      </c>
      <c r="T108" s="1" t="s">
        <v>407</v>
      </c>
      <c r="U108" s="1"/>
      <c r="V108" s="1"/>
      <c r="W108" s="1"/>
      <c r="X108" s="1"/>
      <c r="Y108" s="1" t="s">
        <v>992</v>
      </c>
      <c r="Z108" s="1"/>
      <c r="AA108" s="1"/>
      <c r="AB108" s="1"/>
      <c r="AC108" s="1" t="s">
        <v>727</v>
      </c>
      <c r="AD108" s="1"/>
      <c r="AE108" s="1"/>
      <c r="AF108" s="1"/>
      <c r="AG108" s="1"/>
      <c r="AH108" s="1"/>
      <c r="AI108" s="1"/>
      <c r="AJ108" s="1"/>
      <c r="AK108" s="1"/>
      <c r="AL108" s="1"/>
      <c r="AM108" s="1"/>
      <c r="AN108" s="1" t="str">
        <f>_xlfn.XLOOKUP('RELAÇÃO DE ELEVATÓRIAS'!A:A,'RELAÇÃO ANTIGA'!A:A,'RELAÇÃO ANTIGA'!AC:AC)</f>
        <v>220V</v>
      </c>
      <c r="AO108" s="1"/>
      <c r="AP108" s="1">
        <v>420400932</v>
      </c>
      <c r="AQ108" s="1">
        <v>6748009</v>
      </c>
      <c r="AR108" s="1">
        <v>0</v>
      </c>
      <c r="AS108" s="1" t="s">
        <v>1434</v>
      </c>
      <c r="AT108" s="1" t="s">
        <v>1435</v>
      </c>
      <c r="AU108" s="1" t="s">
        <v>698</v>
      </c>
      <c r="AV108" s="1" t="s">
        <v>489</v>
      </c>
      <c r="AW108" s="1">
        <v>0</v>
      </c>
      <c r="AX108" s="1">
        <v>0</v>
      </c>
      <c r="AY108" s="1">
        <v>0</v>
      </c>
      <c r="AZ108" s="1">
        <v>0</v>
      </c>
      <c r="BA108" s="1"/>
      <c r="BB108" s="1"/>
      <c r="BC108" s="1"/>
      <c r="BD108" s="1"/>
      <c r="BE108" s="1"/>
      <c r="BF108" s="1"/>
      <c r="BG108" s="1"/>
      <c r="BH108" s="1"/>
      <c r="BI108" s="1"/>
      <c r="BJ108" s="1"/>
      <c r="BK108" s="1" t="s">
        <v>437</v>
      </c>
      <c r="BL108" s="1"/>
      <c r="BM108" s="1"/>
      <c r="BN108" s="1"/>
      <c r="BO108" s="1"/>
      <c r="BP108" s="1" t="s">
        <v>386</v>
      </c>
      <c r="BQ108" s="1"/>
      <c r="BR108" s="1">
        <v>0</v>
      </c>
      <c r="BS108" s="1">
        <v>0</v>
      </c>
      <c r="BT108" s="1">
        <v>0</v>
      </c>
      <c r="BU108" s="1">
        <v>0</v>
      </c>
      <c r="BV108" s="1">
        <v>0</v>
      </c>
      <c r="BW108" s="1" t="s">
        <v>396</v>
      </c>
      <c r="BX108" s="1"/>
      <c r="BY108" s="1" t="s">
        <v>401</v>
      </c>
      <c r="BZ108" s="1">
        <v>0</v>
      </c>
      <c r="CA108" s="1">
        <v>0</v>
      </c>
      <c r="CB108" s="1">
        <v>0</v>
      </c>
      <c r="CC108" s="1" t="s">
        <v>1436</v>
      </c>
      <c r="CD108" s="1">
        <v>0</v>
      </c>
    </row>
    <row r="109" spans="1:82" hidden="1">
      <c r="A109" s="1" t="s">
        <v>1437</v>
      </c>
      <c r="B109" s="1" t="str">
        <f>_xlfn.XLOOKUP(A:A,'Dados Elevatórias'!D:D,'Dados Elevatórias'!B:B)</f>
        <v>PL-RJB-EAT0824</v>
      </c>
      <c r="C109" s="1" t="str">
        <f>_xlfn.XLOOKUP(B:B,'Dados Elevatórias'!B:B,'Dados Elevatórias'!C:C)</f>
        <v>EAT</v>
      </c>
      <c r="D109" s="1" t="s">
        <v>373</v>
      </c>
      <c r="E109" s="1" t="s">
        <v>1438</v>
      </c>
      <c r="F109" s="1" t="s">
        <v>1439</v>
      </c>
      <c r="G109" s="1" t="s">
        <v>421</v>
      </c>
      <c r="H109" s="1" t="str">
        <f>_xlfn.XLOOKUP(B:B,'Dados Elevatórias'!B:B,'Dados Elevatórias'!G:G)</f>
        <v>26083-530</v>
      </c>
      <c r="I109" s="1">
        <f>_xlfn.XLOOKUP(B109,COORDENADAS!A:A,COORDENADAS!B:B)</f>
        <v>-22.730499999999999</v>
      </c>
      <c r="J109" s="1">
        <f>_xlfn.XLOOKUP(B109,COORDENADAS!A:A,COORDENADAS!C:C)</f>
        <v>-43.520499999999998</v>
      </c>
      <c r="K109" s="1"/>
      <c r="L109" s="1"/>
      <c r="M109" s="1">
        <v>1</v>
      </c>
      <c r="N109" s="1" t="s">
        <v>378</v>
      </c>
      <c r="O109" s="1"/>
      <c r="P109" s="1"/>
      <c r="Q109" s="1"/>
      <c r="R109" s="1"/>
      <c r="S109" s="1" t="s">
        <v>993</v>
      </c>
      <c r="T109" s="1"/>
      <c r="U109" s="1"/>
      <c r="V109" s="1"/>
      <c r="W109" s="1"/>
      <c r="X109" s="1"/>
      <c r="Y109" s="1" t="s">
        <v>993</v>
      </c>
      <c r="Z109" s="1"/>
      <c r="AA109" s="1"/>
      <c r="AB109" s="1"/>
      <c r="AC109" s="1" t="s">
        <v>455</v>
      </c>
      <c r="AD109" s="1"/>
      <c r="AE109" s="1"/>
      <c r="AF109" s="1"/>
      <c r="AG109" s="1"/>
      <c r="AH109" s="1"/>
      <c r="AI109" s="1"/>
      <c r="AJ109" s="1"/>
      <c r="AK109" s="1"/>
      <c r="AL109" s="1"/>
      <c r="AM109" s="1"/>
      <c r="AN109" s="1" t="str">
        <f>_xlfn.XLOOKUP(A:A,'RELAÇÃO ANTIGA'!A:A,'RELAÇÃO ANTIGA'!AC:AC,X)</f>
        <v>220v</v>
      </c>
      <c r="AO109" s="1"/>
      <c r="AP109" s="1">
        <v>0</v>
      </c>
      <c r="AQ109" s="1">
        <v>0</v>
      </c>
      <c r="AR109" s="1">
        <v>0</v>
      </c>
      <c r="AS109" s="1">
        <v>0</v>
      </c>
      <c r="AT109" s="1">
        <v>0</v>
      </c>
      <c r="AU109" s="1">
        <v>0</v>
      </c>
      <c r="AV109" s="1">
        <v>0</v>
      </c>
      <c r="AW109" s="1">
        <v>0</v>
      </c>
      <c r="AX109" s="1">
        <v>0</v>
      </c>
      <c r="AY109" s="1">
        <v>0</v>
      </c>
      <c r="AZ109" s="1">
        <v>0</v>
      </c>
      <c r="BA109" s="1"/>
      <c r="BB109" s="1"/>
      <c r="BC109" s="1"/>
      <c r="BD109" s="1"/>
      <c r="BE109" s="1"/>
      <c r="BF109" s="1"/>
      <c r="BG109" s="1"/>
      <c r="BH109" s="1"/>
      <c r="BI109" s="1"/>
      <c r="BJ109" s="1"/>
      <c r="BK109" s="1" t="s">
        <v>437</v>
      </c>
      <c r="BL109" s="1"/>
      <c r="BM109" s="1"/>
      <c r="BN109" s="1"/>
      <c r="BO109" s="1"/>
      <c r="BP109" s="1" t="s">
        <v>396</v>
      </c>
      <c r="BQ109" s="1"/>
      <c r="BR109" s="1">
        <v>0</v>
      </c>
      <c r="BS109" s="1">
        <v>0</v>
      </c>
      <c r="BT109" s="1">
        <v>0</v>
      </c>
      <c r="BU109" s="1">
        <v>0</v>
      </c>
      <c r="BV109" s="1">
        <v>0</v>
      </c>
      <c r="BW109" s="1"/>
      <c r="BX109" s="1"/>
      <c r="BY109" s="1">
        <v>0</v>
      </c>
      <c r="BZ109" s="1">
        <v>0</v>
      </c>
      <c r="CA109" s="1">
        <v>0</v>
      </c>
      <c r="CB109" s="1">
        <v>0</v>
      </c>
      <c r="CC109" s="1">
        <v>0</v>
      </c>
      <c r="CD109" s="1">
        <v>0</v>
      </c>
    </row>
    <row r="110" spans="1:82" hidden="1">
      <c r="A110" s="1" t="s">
        <v>1440</v>
      </c>
      <c r="B110" s="1" t="s">
        <v>93</v>
      </c>
      <c r="C110" s="1" t="s">
        <v>1441</v>
      </c>
      <c r="D110" s="1" t="s">
        <v>373</v>
      </c>
      <c r="E110" s="1" t="s">
        <v>1442</v>
      </c>
      <c r="F110" s="1" t="s">
        <v>1443</v>
      </c>
      <c r="G110" s="1" t="s">
        <v>443</v>
      </c>
      <c r="H110" s="1" t="s">
        <v>1444</v>
      </c>
      <c r="I110" s="1">
        <f>_xlfn.XLOOKUP(B110,COORDENADAS!A:A,COORDENADAS!B:B)</f>
        <v>-22.690899999999999</v>
      </c>
      <c r="J110" s="1">
        <f>_xlfn.XLOOKUP(B110,COORDENADAS!A:A,COORDENADAS!C:C)</f>
        <v>-43.559399999999997</v>
      </c>
      <c r="K110" s="1"/>
      <c r="L110" s="1"/>
      <c r="M110" s="1">
        <v>1</v>
      </c>
      <c r="N110" s="1" t="s">
        <v>378</v>
      </c>
      <c r="O110" s="1" t="s">
        <v>1344</v>
      </c>
      <c r="P110" s="1">
        <v>1745</v>
      </c>
      <c r="Q110" s="1" t="s">
        <v>404</v>
      </c>
      <c r="R110" s="1"/>
      <c r="S110" s="1" t="s">
        <v>1445</v>
      </c>
      <c r="T110" s="1" t="s">
        <v>1446</v>
      </c>
      <c r="U110" s="1" t="s">
        <v>1447</v>
      </c>
      <c r="V110" s="1"/>
      <c r="W110" s="1"/>
      <c r="X110" s="1"/>
      <c r="Y110" s="1"/>
      <c r="Z110" s="1"/>
      <c r="AA110" s="1">
        <v>2</v>
      </c>
      <c r="AB110" s="1"/>
      <c r="AC110" s="1" t="s">
        <v>455</v>
      </c>
      <c r="AD110" s="1"/>
      <c r="AE110" s="1"/>
      <c r="AF110" s="1"/>
      <c r="AG110" s="1"/>
      <c r="AH110" s="1" t="s">
        <v>424</v>
      </c>
      <c r="AI110" s="1"/>
      <c r="AJ110" s="1"/>
      <c r="AK110" s="1" t="s">
        <v>1448</v>
      </c>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t="s">
        <v>427</v>
      </c>
      <c r="BL110" s="1"/>
      <c r="BM110" s="1"/>
      <c r="BN110" s="1"/>
      <c r="BO110" s="1"/>
      <c r="BP110" s="1" t="s">
        <v>396</v>
      </c>
      <c r="BQ110" s="1"/>
      <c r="BR110" s="1"/>
      <c r="BS110" s="1"/>
      <c r="BT110" s="1"/>
      <c r="BU110" s="1"/>
      <c r="BV110" s="1"/>
      <c r="BW110" s="1"/>
      <c r="BX110" s="1"/>
      <c r="BY110" s="1"/>
      <c r="BZ110" s="1"/>
      <c r="CA110" s="1"/>
      <c r="CB110" s="1"/>
      <c r="CC110" s="1"/>
      <c r="CD110" s="1"/>
    </row>
    <row r="111" spans="1:82" hidden="1">
      <c r="A111" s="1" t="s">
        <v>1440</v>
      </c>
      <c r="B111" s="1" t="str">
        <f>_xlfn.XLOOKUP(A:A,'Dados Elevatórias'!D:D,'Dados Elevatórias'!B:B)</f>
        <v>PL-RJB-ETE1007</v>
      </c>
      <c r="C111" s="1" t="str">
        <f>_xlfn.XLOOKUP(B:B,'Dados Elevatórias'!B:B,'Dados Elevatórias'!C:C)</f>
        <v>ETE</v>
      </c>
      <c r="D111" s="1" t="s">
        <v>373</v>
      </c>
      <c r="E111" s="1" t="s">
        <v>1442</v>
      </c>
      <c r="F111" s="1" t="s">
        <v>1443</v>
      </c>
      <c r="G111" s="1" t="s">
        <v>443</v>
      </c>
      <c r="H111" s="1" t="str">
        <f>_xlfn.XLOOKUP(B:B,'Dados Elevatórias'!B:B,'Dados Elevatórias'!G:G)</f>
        <v>26381-324</v>
      </c>
      <c r="I111" s="1">
        <f>_xlfn.XLOOKUP(B111,COORDENADAS!A:A,COORDENADAS!B:B)</f>
        <v>-22.690899999999999</v>
      </c>
      <c r="J111" s="1">
        <f>_xlfn.XLOOKUP(B111,COORDENADAS!A:A,COORDENADAS!C:C)</f>
        <v>-43.559399999999997</v>
      </c>
      <c r="K111" s="1"/>
      <c r="L111" s="1"/>
      <c r="M111" s="1">
        <v>2</v>
      </c>
      <c r="N111" s="1" t="s">
        <v>378</v>
      </c>
      <c r="O111" s="1" t="s">
        <v>1344</v>
      </c>
      <c r="P111" s="1"/>
      <c r="Q111" s="1"/>
      <c r="R111" s="1"/>
      <c r="S111" s="1"/>
      <c r="T111" s="1"/>
      <c r="U111" s="1"/>
      <c r="V111" s="1"/>
      <c r="W111" s="1"/>
      <c r="X111" s="1"/>
      <c r="Y111" s="1"/>
      <c r="Z111" s="1"/>
      <c r="AA111" s="1"/>
      <c r="AB111" s="1"/>
      <c r="AC111" s="1" t="s">
        <v>455</v>
      </c>
      <c r="AD111" s="1"/>
      <c r="AE111" s="1"/>
      <c r="AF111" s="1"/>
      <c r="AG111" s="1"/>
      <c r="AH111" s="1" t="s">
        <v>424</v>
      </c>
      <c r="AI111" s="1"/>
      <c r="AJ111" s="1"/>
      <c r="AK111" s="1"/>
      <c r="AL111" s="1"/>
      <c r="AM111" s="1"/>
      <c r="AN111" s="1" t="s">
        <v>638</v>
      </c>
      <c r="AO111" s="1" t="s">
        <v>638</v>
      </c>
      <c r="AP111" s="1">
        <v>0</v>
      </c>
      <c r="AQ111" s="1">
        <v>0</v>
      </c>
      <c r="AR111" s="1">
        <v>0</v>
      </c>
      <c r="AS111" s="1">
        <v>0</v>
      </c>
      <c r="AT111" s="1">
        <v>0</v>
      </c>
      <c r="AU111" s="1">
        <v>0</v>
      </c>
      <c r="AV111" s="1">
        <v>0</v>
      </c>
      <c r="AW111" s="1">
        <v>0</v>
      </c>
      <c r="AX111" s="1">
        <v>0</v>
      </c>
      <c r="AY111" s="1">
        <v>0</v>
      </c>
      <c r="AZ111" s="1">
        <v>0</v>
      </c>
      <c r="BA111" s="1"/>
      <c r="BB111" s="1"/>
      <c r="BC111" s="1"/>
      <c r="BD111" s="1"/>
      <c r="BE111" s="1"/>
      <c r="BF111" s="1"/>
      <c r="BG111" s="1"/>
      <c r="BH111" s="1"/>
      <c r="BI111" s="1"/>
      <c r="BJ111" s="1"/>
      <c r="BK111" s="1" t="s">
        <v>427</v>
      </c>
      <c r="BL111" s="1"/>
      <c r="BM111" s="1"/>
      <c r="BN111" s="1"/>
      <c r="BO111" s="1"/>
      <c r="BP111" s="1" t="s">
        <v>396</v>
      </c>
      <c r="BQ111" s="1"/>
      <c r="BR111" s="1">
        <v>0</v>
      </c>
      <c r="BS111" s="1">
        <v>0</v>
      </c>
      <c r="BT111" s="1">
        <v>0</v>
      </c>
      <c r="BU111" s="1">
        <v>0</v>
      </c>
      <c r="BV111" s="1">
        <v>0</v>
      </c>
      <c r="BW111" s="1"/>
      <c r="BX111" s="1"/>
      <c r="BY111" s="1">
        <v>0</v>
      </c>
      <c r="BZ111" s="1">
        <v>0</v>
      </c>
      <c r="CA111" s="1">
        <v>0</v>
      </c>
      <c r="CB111" s="1">
        <v>0</v>
      </c>
      <c r="CC111" s="1">
        <v>0</v>
      </c>
      <c r="CD111" s="1">
        <v>0</v>
      </c>
    </row>
    <row r="112" spans="1:82" hidden="1">
      <c r="A112" s="1" t="s">
        <v>1449</v>
      </c>
      <c r="B112" s="1" t="str">
        <f>_xlfn.XLOOKUP(A:A,'Dados Elevatórias'!D:D,'Dados Elevatórias'!B:B)</f>
        <v>PL-RJB-EAT0831</v>
      </c>
      <c r="C112" s="1" t="str">
        <f>_xlfn.XLOOKUP(B:B,'Dados Elevatórias'!B:B,'Dados Elevatórias'!C:C)</f>
        <v>EAT</v>
      </c>
      <c r="D112" s="1" t="s">
        <v>373</v>
      </c>
      <c r="E112" s="1" t="s">
        <v>1450</v>
      </c>
      <c r="F112" s="1" t="s">
        <v>1443</v>
      </c>
      <c r="G112" s="1" t="s">
        <v>576</v>
      </c>
      <c r="H112" s="1" t="str">
        <f>_xlfn.XLOOKUP(B:B,'Dados Elevatórias'!B:B,'Dados Elevatórias'!G:G)</f>
        <v>26435-270</v>
      </c>
      <c r="I112" s="1">
        <f>_xlfn.XLOOKUP(B112,COORDENADAS!A:A,COORDENADAS!B:B)</f>
        <v>-22.6447</v>
      </c>
      <c r="J112" s="1">
        <f>_xlfn.XLOOKUP(B112,COORDENADAS!A:A,COORDENADAS!C:C)</f>
        <v>-43.657699999999998</v>
      </c>
      <c r="K112" s="1"/>
      <c r="L112" s="1" t="str">
        <f>_xlfn.XLOOKUP(A:A,'RELAÇÃO ANTIGA'!A:A,'RELAÇÃO ANTIGA'!J:J)</f>
        <v>FORMAL</v>
      </c>
      <c r="M112" s="1">
        <v>1</v>
      </c>
      <c r="N112" s="1" t="s">
        <v>378</v>
      </c>
      <c r="O112" s="1" t="s">
        <v>552</v>
      </c>
      <c r="P112" s="1" t="s">
        <v>1451</v>
      </c>
      <c r="Q112" s="1" t="s">
        <v>404</v>
      </c>
      <c r="R112" s="1" t="s">
        <v>894</v>
      </c>
      <c r="S112" s="1" t="s">
        <v>1452</v>
      </c>
      <c r="T112" s="1" t="s">
        <v>407</v>
      </c>
      <c r="U112" s="1" t="s">
        <v>896</v>
      </c>
      <c r="V112" s="1"/>
      <c r="W112" s="1"/>
      <c r="X112" s="1" t="s">
        <v>1453</v>
      </c>
      <c r="Y112" s="1" t="s">
        <v>1454</v>
      </c>
      <c r="Z112" s="1" t="s">
        <v>1455</v>
      </c>
      <c r="AA112" s="1">
        <v>2</v>
      </c>
      <c r="AB112" s="1" t="s">
        <v>1456</v>
      </c>
      <c r="AC112" s="1" t="s">
        <v>455</v>
      </c>
      <c r="AD112" s="1"/>
      <c r="AE112" s="1"/>
      <c r="AF112" s="1"/>
      <c r="AG112" s="1"/>
      <c r="AH112" s="1"/>
      <c r="AI112" s="1" t="s">
        <v>1457</v>
      </c>
      <c r="AJ112" s="1"/>
      <c r="AK112" s="1"/>
      <c r="AL112" s="1"/>
      <c r="AM112" s="1"/>
      <c r="AN112" s="1" t="str">
        <f>_xlfn.XLOOKUP(A:A,'RELAÇÃO ANTIGA'!A:A,'RELAÇÃO ANTIGA'!AC:AC,X)</f>
        <v>220V</v>
      </c>
      <c r="AO112" s="1"/>
      <c r="AP112" s="1">
        <v>420160761</v>
      </c>
      <c r="AQ112" s="1">
        <v>6098959</v>
      </c>
      <c r="AR112" s="1">
        <v>0</v>
      </c>
      <c r="AS112" s="1" t="s">
        <v>1458</v>
      </c>
      <c r="AT112" s="1" t="s">
        <v>1459</v>
      </c>
      <c r="AU112" s="1" t="s">
        <v>669</v>
      </c>
      <c r="AV112" s="1" t="s">
        <v>669</v>
      </c>
      <c r="AW112" s="1">
        <v>0</v>
      </c>
      <c r="AX112" s="1">
        <v>0</v>
      </c>
      <c r="AY112" s="1">
        <v>600</v>
      </c>
      <c r="AZ112" s="1">
        <v>0</v>
      </c>
      <c r="BA112" s="1"/>
      <c r="BB112" s="1"/>
      <c r="BC112" s="1"/>
      <c r="BD112" s="1"/>
      <c r="BE112" s="1"/>
      <c r="BF112" s="1"/>
      <c r="BG112" s="1"/>
      <c r="BH112" s="1"/>
      <c r="BI112" s="1"/>
      <c r="BJ112" s="1" t="s">
        <v>1460</v>
      </c>
      <c r="BK112" s="1" t="s">
        <v>391</v>
      </c>
      <c r="BL112" s="1" t="s">
        <v>462</v>
      </c>
      <c r="BM112" s="1" t="s">
        <v>1461</v>
      </c>
      <c r="BN112" s="1" t="s">
        <v>1462</v>
      </c>
      <c r="BO112" s="1" t="s">
        <v>1463</v>
      </c>
      <c r="BP112" s="1" t="s">
        <v>396</v>
      </c>
      <c r="BQ112" s="1"/>
      <c r="BR112" s="1">
        <v>0</v>
      </c>
      <c r="BS112" s="1">
        <v>0</v>
      </c>
      <c r="BT112" s="1">
        <v>0</v>
      </c>
      <c r="BU112" s="1">
        <v>0</v>
      </c>
      <c r="BV112" s="1">
        <v>0</v>
      </c>
      <c r="BW112" s="1" t="s">
        <v>396</v>
      </c>
      <c r="BX112" s="1"/>
      <c r="BY112" s="1" t="s">
        <v>401</v>
      </c>
      <c r="BZ112" s="1">
        <v>0</v>
      </c>
      <c r="CA112" s="1">
        <v>0</v>
      </c>
      <c r="CB112" s="1">
        <v>0</v>
      </c>
      <c r="CC112" s="1">
        <v>0</v>
      </c>
      <c r="CD112" s="1">
        <v>0</v>
      </c>
    </row>
    <row r="113" spans="1:82" hidden="1">
      <c r="A113" s="1" t="s">
        <v>1464</v>
      </c>
      <c r="B113" s="1" t="str">
        <f>_xlfn.XLOOKUP(A:A,'Dados Elevatórias'!D:D,'Dados Elevatórias'!B:B)</f>
        <v>PL-RJB-EAT0751</v>
      </c>
      <c r="C113" s="1" t="str">
        <f>_xlfn.XLOOKUP(B:B,'Dados Elevatórias'!B:B,'Dados Elevatórias'!C:C)</f>
        <v>EAT</v>
      </c>
      <c r="D113" s="1" t="s">
        <v>373</v>
      </c>
      <c r="E113" s="1" t="s">
        <v>1465</v>
      </c>
      <c r="F113" s="1" t="s">
        <v>528</v>
      </c>
      <c r="G113" s="1" t="s">
        <v>421</v>
      </c>
      <c r="H113" s="1" t="str">
        <f>_xlfn.XLOOKUP(B:B,'Dados Elevatórias'!B:B,'Dados Elevatórias'!G:G)</f>
        <v>26255-150</v>
      </c>
      <c r="I113" s="1">
        <f>_xlfn.XLOOKUP(B113,COORDENADAS!A:A,COORDENADAS!B:B)</f>
        <v>-22.761700000000001</v>
      </c>
      <c r="J113" s="1">
        <f>_xlfn.XLOOKUP(B113,COORDENADAS!A:A,COORDENADAS!C:C)</f>
        <v>-43.4529</v>
      </c>
      <c r="K113" s="1"/>
      <c r="L113" s="1"/>
      <c r="M113" s="1">
        <v>1</v>
      </c>
      <c r="N113" s="1" t="s">
        <v>378</v>
      </c>
      <c r="O113" s="1" t="s">
        <v>1466</v>
      </c>
      <c r="P113" s="1" t="s">
        <v>939</v>
      </c>
      <c r="Q113" s="1" t="s">
        <v>722</v>
      </c>
      <c r="R113" s="1"/>
      <c r="S113" s="1" t="s">
        <v>1467</v>
      </c>
      <c r="T113" s="1" t="s">
        <v>675</v>
      </c>
      <c r="U113" s="1" t="s">
        <v>1468</v>
      </c>
      <c r="V113" s="1"/>
      <c r="W113" s="1"/>
      <c r="X113" s="1"/>
      <c r="Y113" s="1" t="s">
        <v>1469</v>
      </c>
      <c r="Z113" s="1" t="s">
        <v>722</v>
      </c>
      <c r="AA113" s="1">
        <v>2</v>
      </c>
      <c r="AB113" s="1"/>
      <c r="AC113" s="1" t="s">
        <v>727</v>
      </c>
      <c r="AD113" s="1"/>
      <c r="AE113" s="1"/>
      <c r="AF113" s="1"/>
      <c r="AG113" s="1"/>
      <c r="AH113" s="1"/>
      <c r="AI113" s="1" t="s">
        <v>1470</v>
      </c>
      <c r="AJ113" s="1" t="s">
        <v>1471</v>
      </c>
      <c r="AK113" s="1"/>
      <c r="AL113" s="1"/>
      <c r="AM113" s="1"/>
      <c r="AN113" s="1" t="str">
        <f>_xlfn.XLOOKUP('RELAÇÃO DE ELEVATÓRIAS'!A:A,'RELAÇÃO ANTIGA'!A:A,'RELAÇÃO ANTIGA'!AC:AC)</f>
        <v>220V</v>
      </c>
      <c r="AO113" s="1"/>
      <c r="AP113" s="1">
        <v>0</v>
      </c>
      <c r="AQ113" s="1">
        <v>0</v>
      </c>
      <c r="AR113" s="1">
        <v>0</v>
      </c>
      <c r="AS113" s="1">
        <v>0</v>
      </c>
      <c r="AT113" s="1">
        <v>0</v>
      </c>
      <c r="AU113" s="1" t="s">
        <v>489</v>
      </c>
      <c r="AV113" s="1" t="s">
        <v>489</v>
      </c>
      <c r="AW113" s="1">
        <v>0</v>
      </c>
      <c r="AX113" s="1">
        <v>0</v>
      </c>
      <c r="AY113" s="1">
        <v>0</v>
      </c>
      <c r="AZ113" s="1">
        <v>0</v>
      </c>
      <c r="BA113" s="1"/>
      <c r="BB113" s="1"/>
      <c r="BC113" s="1"/>
      <c r="BD113" s="1"/>
      <c r="BE113" s="1"/>
      <c r="BF113" s="1"/>
      <c r="BG113" s="1"/>
      <c r="BH113" s="1"/>
      <c r="BI113" s="1"/>
      <c r="BJ113" s="1"/>
      <c r="BK113" s="1" t="s">
        <v>437</v>
      </c>
      <c r="BL113" s="1"/>
      <c r="BM113" s="1"/>
      <c r="BN113" s="1"/>
      <c r="BO113" s="1"/>
      <c r="BP113" s="1" t="s">
        <v>396</v>
      </c>
      <c r="BQ113" s="1"/>
      <c r="BR113" s="1">
        <v>0</v>
      </c>
      <c r="BS113" s="1">
        <v>0</v>
      </c>
      <c r="BT113" s="1">
        <v>0</v>
      </c>
      <c r="BU113" s="1">
        <v>0</v>
      </c>
      <c r="BV113" s="1">
        <v>0</v>
      </c>
      <c r="BW113" s="1" t="s">
        <v>396</v>
      </c>
      <c r="BX113" s="1"/>
      <c r="BY113" s="1" t="s">
        <v>401</v>
      </c>
      <c r="BZ113" s="1">
        <v>0</v>
      </c>
      <c r="CA113" s="1">
        <v>0</v>
      </c>
      <c r="CB113" s="1">
        <v>0</v>
      </c>
      <c r="CC113" s="1">
        <v>0</v>
      </c>
      <c r="CD113" s="1">
        <v>0</v>
      </c>
    </row>
    <row r="114" spans="1:82" hidden="1">
      <c r="A114" s="1" t="s">
        <v>1472</v>
      </c>
      <c r="B114" s="1" t="str">
        <f>_xlfn.XLOOKUP(A:A,'Dados Elevatórias'!D:D,'Dados Elevatórias'!B:B)</f>
        <v>PL-RJB-EAT0829</v>
      </c>
      <c r="C114" s="1" t="str">
        <f>_xlfn.XLOOKUP(B:B,'Dados Elevatórias'!B:B,'Dados Elevatórias'!C:C)</f>
        <v>EAT</v>
      </c>
      <c r="D114" s="1" t="s">
        <v>373</v>
      </c>
      <c r="E114" s="1" t="s">
        <v>1473</v>
      </c>
      <c r="F114" s="1" t="s">
        <v>1474</v>
      </c>
      <c r="G114" s="1" t="s">
        <v>443</v>
      </c>
      <c r="H114" s="1">
        <f>_xlfn.XLOOKUP(B:B,'Dados Elevatórias'!B:B,'Dados Elevatórias'!G:G)</f>
        <v>0</v>
      </c>
      <c r="I114" s="1">
        <f>_xlfn.XLOOKUP(B114,COORDENADAS!A:A,COORDENADAS!B:B)</f>
        <v>-22.696899999999999</v>
      </c>
      <c r="J114" s="1">
        <f>_xlfn.XLOOKUP(B114,COORDENADAS!A:A,COORDENADAS!C:C)</f>
        <v>-43.558199999999999</v>
      </c>
      <c r="K114" s="1"/>
      <c r="L114" s="1"/>
      <c r="M114" s="1">
        <v>1</v>
      </c>
      <c r="N114" s="1" t="s">
        <v>378</v>
      </c>
      <c r="O114" s="1" t="s">
        <v>984</v>
      </c>
      <c r="P114" s="1" t="s">
        <v>788</v>
      </c>
      <c r="Q114" s="1" t="s">
        <v>447</v>
      </c>
      <c r="R114" s="1" t="s">
        <v>832</v>
      </c>
      <c r="S114" s="1" t="s">
        <v>1475</v>
      </c>
      <c r="T114" s="1" t="s">
        <v>1337</v>
      </c>
      <c r="U114" s="1" t="s">
        <v>834</v>
      </c>
      <c r="V114" s="1"/>
      <c r="W114" s="1"/>
      <c r="X114" s="1" t="s">
        <v>1057</v>
      </c>
      <c r="Y114" s="1" t="s">
        <v>1476</v>
      </c>
      <c r="Z114" s="1" t="s">
        <v>1477</v>
      </c>
      <c r="AA114" s="1">
        <v>2</v>
      </c>
      <c r="AB114" s="1" t="s">
        <v>1059</v>
      </c>
      <c r="AC114" s="1" t="s">
        <v>455</v>
      </c>
      <c r="AD114" s="1"/>
      <c r="AE114" s="1"/>
      <c r="AF114" s="1"/>
      <c r="AG114" s="1"/>
      <c r="AH114" s="1"/>
      <c r="AI114" s="1"/>
      <c r="AJ114" s="1"/>
      <c r="AK114" s="1"/>
      <c r="AL114" s="1"/>
      <c r="AM114" s="1"/>
      <c r="AN114" s="1" t="str">
        <f>_xlfn.XLOOKUP('RELAÇÃO DE ELEVATÓRIAS'!A:A,'RELAÇÃO ANTIGA'!A:A,'RELAÇÃO ANTIGA'!AC:AC)</f>
        <v>220v</v>
      </c>
      <c r="AO114" s="1"/>
      <c r="AP114" s="1">
        <v>0</v>
      </c>
      <c r="AQ114" s="1">
        <v>0</v>
      </c>
      <c r="AR114" s="1">
        <v>0</v>
      </c>
      <c r="AS114" s="1">
        <v>0</v>
      </c>
      <c r="AT114" s="1">
        <v>0</v>
      </c>
      <c r="AU114" s="1">
        <v>0</v>
      </c>
      <c r="AV114" s="1">
        <v>0</v>
      </c>
      <c r="AW114" s="1">
        <v>0</v>
      </c>
      <c r="AX114" s="1">
        <v>0</v>
      </c>
      <c r="AY114" s="1">
        <v>0</v>
      </c>
      <c r="AZ114" s="1">
        <v>0</v>
      </c>
      <c r="BA114" s="1"/>
      <c r="BB114" s="1"/>
      <c r="BC114" s="1"/>
      <c r="BD114" s="1"/>
      <c r="BE114" s="1"/>
      <c r="BF114" s="1"/>
      <c r="BG114" s="1"/>
      <c r="BH114" s="1"/>
      <c r="BI114" s="1"/>
      <c r="BJ114" s="1"/>
      <c r="BK114" s="1" t="s">
        <v>391</v>
      </c>
      <c r="BL114" s="1"/>
      <c r="BM114" s="1"/>
      <c r="BN114" s="1"/>
      <c r="BO114" s="1"/>
      <c r="BP114" s="1" t="s">
        <v>396</v>
      </c>
      <c r="BQ114" s="1"/>
      <c r="BR114" s="1" t="s">
        <v>397</v>
      </c>
      <c r="BS114" s="1" t="s">
        <v>398</v>
      </c>
      <c r="BT114" s="1">
        <v>0</v>
      </c>
      <c r="BU114" s="1">
        <v>0</v>
      </c>
      <c r="BV114" s="1">
        <v>0</v>
      </c>
      <c r="BW114" s="1"/>
      <c r="BX114" s="1"/>
      <c r="BY114" s="1">
        <v>0</v>
      </c>
      <c r="BZ114" s="1">
        <v>0</v>
      </c>
      <c r="CA114" s="1">
        <v>0</v>
      </c>
      <c r="CB114" s="1">
        <v>0</v>
      </c>
      <c r="CC114" s="1">
        <v>0</v>
      </c>
      <c r="CD114" s="1">
        <v>0</v>
      </c>
    </row>
    <row r="115" spans="1:82" hidden="1">
      <c r="A115" s="1" t="s">
        <v>1478</v>
      </c>
      <c r="B115" s="1" t="str">
        <f>_xlfn.XLOOKUP(A:A,'Dados Elevatórias'!D:D,'Dados Elevatórias'!B:B)</f>
        <v>PL-RJB-EAT0739</v>
      </c>
      <c r="C115" s="1" t="str">
        <f>_xlfn.XLOOKUP(B:B,'Dados Elevatórias'!B:B,'Dados Elevatórias'!C:C)</f>
        <v>EAT</v>
      </c>
      <c r="D115" s="1" t="s">
        <v>373</v>
      </c>
      <c r="E115" s="1" t="s">
        <v>1479</v>
      </c>
      <c r="F115" s="1" t="s">
        <v>1480</v>
      </c>
      <c r="G115" s="1" t="s">
        <v>443</v>
      </c>
      <c r="H115" s="1" t="str">
        <f>_xlfn.XLOOKUP(B:B,'Dados Elevatórias'!B:B,'Dados Elevatórias'!G:G)</f>
        <v>26385-396</v>
      </c>
      <c r="I115" s="1">
        <f>_xlfn.XLOOKUP(B115,COORDENADAS!A:A,COORDENADAS!B:B)</f>
        <v>-22.708500000000001</v>
      </c>
      <c r="J115" s="1">
        <f>_xlfn.XLOOKUP(B115,COORDENADAS!A:A,COORDENADAS!C:C)</f>
        <v>-43.555</v>
      </c>
      <c r="K115" s="1"/>
      <c r="L115" s="1" t="str">
        <f>_xlfn.XLOOKUP(A:A,'RELAÇÃO ANTIGA'!A:A,'RELAÇÃO ANTIGA'!J:J)</f>
        <v>FORMAL</v>
      </c>
      <c r="M115" s="1">
        <v>1</v>
      </c>
      <c r="N115" s="1" t="s">
        <v>378</v>
      </c>
      <c r="O115" s="1" t="s">
        <v>1481</v>
      </c>
      <c r="P115" s="1" t="s">
        <v>915</v>
      </c>
      <c r="Q115" s="1" t="s">
        <v>902</v>
      </c>
      <c r="R115" s="1" t="s">
        <v>1482</v>
      </c>
      <c r="S115" s="1" t="s">
        <v>1483</v>
      </c>
      <c r="T115" s="1" t="s">
        <v>1337</v>
      </c>
      <c r="U115" s="1" t="s">
        <v>1484</v>
      </c>
      <c r="V115" s="1"/>
      <c r="W115" s="1"/>
      <c r="X115" s="1" t="s">
        <v>1485</v>
      </c>
      <c r="Y115" s="1" t="s">
        <v>1486</v>
      </c>
      <c r="Z115" s="1" t="s">
        <v>898</v>
      </c>
      <c r="AA115" s="1">
        <v>2</v>
      </c>
      <c r="AB115" s="1" t="s">
        <v>746</v>
      </c>
      <c r="AC115" s="1" t="s">
        <v>455</v>
      </c>
      <c r="AD115" s="1"/>
      <c r="AE115" s="1"/>
      <c r="AF115" s="1"/>
      <c r="AG115" s="1"/>
      <c r="AH115" s="1"/>
      <c r="AI115" s="1"/>
      <c r="AJ115" s="1"/>
      <c r="AK115" s="1"/>
      <c r="AL115" s="1"/>
      <c r="AM115" s="1"/>
      <c r="AN115" s="1" t="str">
        <f>_xlfn.XLOOKUP(A:A,'RELAÇÃO ANTIGA'!A:A,'RELAÇÃO ANTIGA'!AC:AC,X)</f>
        <v>220V</v>
      </c>
      <c r="AO115" s="1"/>
      <c r="AP115" s="1">
        <v>430097043</v>
      </c>
      <c r="AQ115" s="1">
        <v>9434570</v>
      </c>
      <c r="AR115" s="1">
        <v>0</v>
      </c>
      <c r="AS115" s="1" t="s">
        <v>1487</v>
      </c>
      <c r="AT115" s="1" t="s">
        <v>1488</v>
      </c>
      <c r="AU115" s="1" t="s">
        <v>669</v>
      </c>
      <c r="AV115" s="1" t="s">
        <v>669</v>
      </c>
      <c r="AW115" s="1">
        <v>0</v>
      </c>
      <c r="AX115" s="1">
        <v>0</v>
      </c>
      <c r="AY115" s="1">
        <v>0</v>
      </c>
      <c r="AZ115" s="1">
        <v>0</v>
      </c>
      <c r="BA115" s="1"/>
      <c r="BB115" s="1"/>
      <c r="BC115" s="1"/>
      <c r="BD115" s="1"/>
      <c r="BE115" s="1"/>
      <c r="BF115" s="1"/>
      <c r="BG115" s="1"/>
      <c r="BH115" s="1"/>
      <c r="BI115" s="1"/>
      <c r="BJ115" s="1"/>
      <c r="BK115" s="1" t="s">
        <v>391</v>
      </c>
      <c r="BL115" s="1"/>
      <c r="BM115" s="1"/>
      <c r="BN115" s="1"/>
      <c r="BO115" s="1"/>
      <c r="BP115" s="1" t="s">
        <v>386</v>
      </c>
      <c r="BQ115" s="1"/>
      <c r="BR115" s="1">
        <v>0</v>
      </c>
      <c r="BS115" s="1">
        <v>0</v>
      </c>
      <c r="BT115" s="1">
        <v>0</v>
      </c>
      <c r="BU115" s="1">
        <v>0</v>
      </c>
      <c r="BV115" s="1">
        <v>0</v>
      </c>
      <c r="BW115" s="1"/>
      <c r="BX115" s="1"/>
      <c r="BY115" s="1" t="s">
        <v>401</v>
      </c>
      <c r="BZ115" s="1">
        <v>0</v>
      </c>
      <c r="CA115" s="1">
        <v>0</v>
      </c>
      <c r="CB115" s="1">
        <v>0</v>
      </c>
      <c r="CC115" s="1">
        <v>0</v>
      </c>
      <c r="CD115" s="1">
        <v>0</v>
      </c>
    </row>
    <row r="116" spans="1:82" hidden="1">
      <c r="A116" s="1" t="s">
        <v>1489</v>
      </c>
      <c r="B116" s="1" t="str">
        <f>_xlfn.XLOOKUP(A:A,'Dados Elevatórias'!D:D,'Dados Elevatórias'!B:B)</f>
        <v>PL-RJB-EAT0828</v>
      </c>
      <c r="C116" s="1" t="str">
        <f>_xlfn.XLOOKUP(B:B,'Dados Elevatórias'!B:B,'Dados Elevatórias'!C:C)</f>
        <v>EAT</v>
      </c>
      <c r="D116" s="1" t="s">
        <v>373</v>
      </c>
      <c r="E116" s="1" t="s">
        <v>1490</v>
      </c>
      <c r="F116" s="1" t="s">
        <v>1474</v>
      </c>
      <c r="G116" s="1" t="s">
        <v>443</v>
      </c>
      <c r="H116" s="1" t="str">
        <f>_xlfn.XLOOKUP(B:B,'Dados Elevatórias'!B:B,'Dados Elevatórias'!G:G)</f>
        <v>26381-348</v>
      </c>
      <c r="I116" s="1">
        <f>_xlfn.XLOOKUP(B116,COORDENADAS!A:A,COORDENADAS!B:B)</f>
        <v>-22.691800000000001</v>
      </c>
      <c r="J116" s="1">
        <f>_xlfn.XLOOKUP(B116,COORDENADAS!A:A,COORDENADAS!C:C)</f>
        <v>-43.563099999999999</v>
      </c>
      <c r="K116" s="1"/>
      <c r="L116" s="1"/>
      <c r="M116" s="1">
        <v>1</v>
      </c>
      <c r="N116" s="1" t="s">
        <v>378</v>
      </c>
      <c r="O116" s="1" t="s">
        <v>813</v>
      </c>
      <c r="P116" s="1" t="s">
        <v>446</v>
      </c>
      <c r="Q116" s="1" t="s">
        <v>447</v>
      </c>
      <c r="R116" s="1" t="s">
        <v>815</v>
      </c>
      <c r="S116" s="1" t="s">
        <v>1491</v>
      </c>
      <c r="T116" s="1" t="s">
        <v>407</v>
      </c>
      <c r="U116" s="1" t="s">
        <v>1492</v>
      </c>
      <c r="V116" s="1"/>
      <c r="W116" s="1"/>
      <c r="X116" s="1"/>
      <c r="Y116" s="1" t="s">
        <v>1493</v>
      </c>
      <c r="Z116" s="1" t="s">
        <v>1494</v>
      </c>
      <c r="AA116" s="1">
        <v>2</v>
      </c>
      <c r="AB116" s="1"/>
      <c r="AC116" s="1" t="s">
        <v>455</v>
      </c>
      <c r="AD116" s="1"/>
      <c r="AE116" s="1"/>
      <c r="AF116" s="1" t="s">
        <v>411</v>
      </c>
      <c r="AG116" s="1" t="s">
        <v>506</v>
      </c>
      <c r="AH116" s="1" t="s">
        <v>412</v>
      </c>
      <c r="AI116" s="1"/>
      <c r="AJ116" s="1"/>
      <c r="AK116" s="1"/>
      <c r="AL116" s="1"/>
      <c r="AM116" s="1"/>
      <c r="AN116" s="1" t="str">
        <f>_xlfn.XLOOKUP(A:A,'RELAÇÃO ANTIGA'!A:A,'RELAÇÃO ANTIGA'!AC:AC,X)</f>
        <v>220v</v>
      </c>
      <c r="AO116" s="1"/>
      <c r="AP116" s="1">
        <v>0</v>
      </c>
      <c r="AQ116" s="1">
        <v>0</v>
      </c>
      <c r="AR116" s="1">
        <v>0</v>
      </c>
      <c r="AS116" s="1">
        <v>0</v>
      </c>
      <c r="AT116" s="1">
        <v>0</v>
      </c>
      <c r="AU116" s="1">
        <v>0</v>
      </c>
      <c r="AV116" s="1">
        <v>0</v>
      </c>
      <c r="AW116" s="1">
        <v>75</v>
      </c>
      <c r="AX116" s="1">
        <v>665</v>
      </c>
      <c r="AY116" s="1">
        <v>0</v>
      </c>
      <c r="AZ116" s="1">
        <v>0</v>
      </c>
      <c r="BA116" s="1"/>
      <c r="BB116" s="1"/>
      <c r="BC116" s="1"/>
      <c r="BD116" s="1"/>
      <c r="BE116" s="1"/>
      <c r="BF116" s="1"/>
      <c r="BG116" s="1"/>
      <c r="BH116" s="1"/>
      <c r="BI116" s="1"/>
      <c r="BJ116" s="1" t="s">
        <v>1495</v>
      </c>
      <c r="BK116" s="1" t="s">
        <v>391</v>
      </c>
      <c r="BL116" s="1" t="s">
        <v>462</v>
      </c>
      <c r="BM116" s="1" t="s">
        <v>1496</v>
      </c>
      <c r="BN116" s="1"/>
      <c r="BO116" s="1" t="s">
        <v>1497</v>
      </c>
      <c r="BP116" s="1" t="s">
        <v>396</v>
      </c>
      <c r="BQ116" s="1"/>
      <c r="BR116" s="1" t="s">
        <v>491</v>
      </c>
      <c r="BS116" s="1" t="s">
        <v>1340</v>
      </c>
      <c r="BT116" s="1">
        <v>0</v>
      </c>
      <c r="BU116" s="1">
        <v>0</v>
      </c>
      <c r="BV116" s="1">
        <v>0</v>
      </c>
      <c r="BW116" s="1"/>
      <c r="BX116" s="1"/>
      <c r="BY116" s="1">
        <v>0</v>
      </c>
      <c r="BZ116" s="1">
        <v>0</v>
      </c>
      <c r="CA116" s="1">
        <v>0</v>
      </c>
      <c r="CB116" s="1">
        <v>0</v>
      </c>
      <c r="CC116" s="1">
        <v>0</v>
      </c>
      <c r="CD116" s="1">
        <v>0</v>
      </c>
    </row>
    <row r="117" spans="1:82" hidden="1">
      <c r="A117" s="1" t="s">
        <v>1498</v>
      </c>
      <c r="B117" s="1" t="str">
        <f>_xlfn.XLOOKUP(A:A,'Dados Elevatórias'!D:D,'Dados Elevatórias'!B:B)</f>
        <v>PL-RJB-EAT0061</v>
      </c>
      <c r="C117" s="1" t="str">
        <f>_xlfn.XLOOKUP(B:B,'Dados Elevatórias'!B:B,'Dados Elevatórias'!C:C)</f>
        <v>EAT</v>
      </c>
      <c r="D117" s="1" t="s">
        <v>373</v>
      </c>
      <c r="E117" s="1" t="s">
        <v>1499</v>
      </c>
      <c r="F117" s="1" t="s">
        <v>937</v>
      </c>
      <c r="G117" s="1" t="s">
        <v>421</v>
      </c>
      <c r="H117" s="1" t="str">
        <f>_xlfn.XLOOKUP(B:B,'Dados Elevatórias'!B:B,'Dados Elevatórias'!G:G)</f>
        <v>26022-550</v>
      </c>
      <c r="I117" s="1">
        <f>_xlfn.XLOOKUP(B117,COORDENADAS!A:A,COORDENADAS!B:B)</f>
        <v>-22.7287</v>
      </c>
      <c r="J117" s="1">
        <f>_xlfn.XLOOKUP(B117,COORDENADAS!A:A,COORDENADAS!C:C)</f>
        <v>-43.461300000000001</v>
      </c>
      <c r="K117" s="1"/>
      <c r="L117" s="1"/>
      <c r="M117" s="1">
        <v>1</v>
      </c>
      <c r="N117" s="1" t="s">
        <v>378</v>
      </c>
      <c r="O117" s="1" t="s">
        <v>813</v>
      </c>
      <c r="P117" s="1" t="s">
        <v>446</v>
      </c>
      <c r="Q117" s="1" t="s">
        <v>404</v>
      </c>
      <c r="R117" s="1" t="s">
        <v>1500</v>
      </c>
      <c r="S117" s="1" t="s">
        <v>1501</v>
      </c>
      <c r="T117" s="1" t="s">
        <v>1337</v>
      </c>
      <c r="U117" s="1" t="s">
        <v>817</v>
      </c>
      <c r="V117" s="1"/>
      <c r="W117" s="1"/>
      <c r="X117" s="1"/>
      <c r="Y117" s="1" t="s">
        <v>1502</v>
      </c>
      <c r="Z117" s="1" t="s">
        <v>1503</v>
      </c>
      <c r="AA117" s="1">
        <v>2</v>
      </c>
      <c r="AB117" s="1" t="s">
        <v>1504</v>
      </c>
      <c r="AC117" s="1" t="s">
        <v>455</v>
      </c>
      <c r="AD117" s="1"/>
      <c r="AE117" s="1"/>
      <c r="AF117" s="1"/>
      <c r="AG117" s="1"/>
      <c r="AH117" s="1"/>
      <c r="AI117" s="1"/>
      <c r="AJ117" s="1"/>
      <c r="AK117" s="1"/>
      <c r="AL117" s="1"/>
      <c r="AM117" s="1"/>
      <c r="AN117" s="1" t="str">
        <f>_xlfn.XLOOKUP('RELAÇÃO DE ELEVATÓRIAS'!A:A,'RELAÇÃO ANTIGA'!A:A,'RELAÇÃO ANTIGA'!AC:AC)</f>
        <v>220V</v>
      </c>
      <c r="AO117" s="1"/>
      <c r="AP117" s="1">
        <v>413142699</v>
      </c>
      <c r="AQ117" s="1">
        <v>5694464</v>
      </c>
      <c r="AR117" s="1">
        <v>0</v>
      </c>
      <c r="AS117" s="1" t="s">
        <v>1505</v>
      </c>
      <c r="AT117" s="1" t="s">
        <v>1506</v>
      </c>
      <c r="AU117" s="1" t="s">
        <v>988</v>
      </c>
      <c r="AV117" s="1" t="s">
        <v>988</v>
      </c>
      <c r="AW117" s="1">
        <v>0</v>
      </c>
      <c r="AX117" s="1">
        <v>0</v>
      </c>
      <c r="AY117" s="1">
        <v>0</v>
      </c>
      <c r="AZ117" s="1">
        <v>0</v>
      </c>
      <c r="BA117" s="1"/>
      <c r="BB117" s="1"/>
      <c r="BC117" s="1"/>
      <c r="BD117" s="1"/>
      <c r="BE117" s="1"/>
      <c r="BF117" s="1"/>
      <c r="BG117" s="1"/>
      <c r="BH117" s="1"/>
      <c r="BI117" s="1"/>
      <c r="BJ117" s="1"/>
      <c r="BK117" s="1" t="s">
        <v>391</v>
      </c>
      <c r="BL117" s="1"/>
      <c r="BM117" s="1"/>
      <c r="BN117" s="1"/>
      <c r="BO117" s="1"/>
      <c r="BP117" s="1" t="s">
        <v>386</v>
      </c>
      <c r="BQ117" s="1"/>
      <c r="BR117" s="1" t="s">
        <v>397</v>
      </c>
      <c r="BS117" s="1" t="s">
        <v>398</v>
      </c>
      <c r="BT117" s="1">
        <v>0</v>
      </c>
      <c r="BU117" s="1" t="s">
        <v>400</v>
      </c>
      <c r="BV117" s="1" t="s">
        <v>400</v>
      </c>
      <c r="BW117" s="1" t="s">
        <v>396</v>
      </c>
      <c r="BX117" s="1"/>
      <c r="BY117" s="1" t="s">
        <v>401</v>
      </c>
      <c r="BZ117" s="1">
        <v>0</v>
      </c>
      <c r="CA117" s="1">
        <v>0</v>
      </c>
      <c r="CB117" s="1">
        <v>0</v>
      </c>
      <c r="CC117" s="1">
        <v>0</v>
      </c>
      <c r="CD117" s="1" t="s">
        <v>1507</v>
      </c>
    </row>
    <row r="118" spans="1:82" hidden="1">
      <c r="A118" s="1" t="s">
        <v>1508</v>
      </c>
      <c r="B118" s="1" t="str">
        <f>_xlfn.XLOOKUP(A:A,'Dados Elevatórias'!D:D,'Dados Elevatórias'!B:B)</f>
        <v>PL-RJB-EAT0817</v>
      </c>
      <c r="C118" s="1" t="str">
        <f>_xlfn.XLOOKUP(B:B,'Dados Elevatórias'!B:B,'Dados Elevatórias'!C:C)</f>
        <v>EAT</v>
      </c>
      <c r="D118" s="1" t="s">
        <v>373</v>
      </c>
      <c r="E118" s="1" t="s">
        <v>1509</v>
      </c>
      <c r="F118" s="1" t="s">
        <v>1510</v>
      </c>
      <c r="G118" s="1" t="s">
        <v>421</v>
      </c>
      <c r="H118" s="1" t="str">
        <f>_xlfn.XLOOKUP(B:B,'Dados Elevatórias'!B:B,'Dados Elevatórias'!G:G)</f>
        <v>26277-425</v>
      </c>
      <c r="I118" s="1">
        <f>_xlfn.XLOOKUP(B118,COORDENADAS!A:A,COORDENADAS!B:B)</f>
        <v>-22.772300000000001</v>
      </c>
      <c r="J118" s="1">
        <f>_xlfn.XLOOKUP(B118,COORDENADAS!A:A,COORDENADAS!C:C)</f>
        <v>-43.514499999999998</v>
      </c>
      <c r="K118" s="1"/>
      <c r="L118" s="1" t="str">
        <f>_xlfn.XLOOKUP(A:A,'RELAÇÃO ANTIGA'!A:A,'RELAÇÃO ANTIGA'!J:J)</f>
        <v>Nova</v>
      </c>
      <c r="M118" s="1">
        <v>1</v>
      </c>
      <c r="N118" s="1" t="s">
        <v>378</v>
      </c>
      <c r="O118" s="1" t="s">
        <v>445</v>
      </c>
      <c r="P118" s="1" t="s">
        <v>884</v>
      </c>
      <c r="Q118" s="1" t="s">
        <v>404</v>
      </c>
      <c r="R118" s="1" t="s">
        <v>405</v>
      </c>
      <c r="S118" s="1" t="s">
        <v>1511</v>
      </c>
      <c r="T118" s="1" t="s">
        <v>407</v>
      </c>
      <c r="U118" s="1" t="s">
        <v>450</v>
      </c>
      <c r="V118" s="1"/>
      <c r="W118" s="1"/>
      <c r="X118" s="1" t="s">
        <v>1512</v>
      </c>
      <c r="Y118" s="1" t="s">
        <v>1513</v>
      </c>
      <c r="Z118" s="1" t="s">
        <v>760</v>
      </c>
      <c r="AA118" s="1">
        <v>2</v>
      </c>
      <c r="AB118" s="1" t="s">
        <v>1514</v>
      </c>
      <c r="AC118" s="1" t="s">
        <v>455</v>
      </c>
      <c r="AD118" s="1" t="s">
        <v>386</v>
      </c>
      <c r="AE118" s="1" t="s">
        <v>1515</v>
      </c>
      <c r="AF118" s="1" t="s">
        <v>411</v>
      </c>
      <c r="AG118" s="1" t="s">
        <v>506</v>
      </c>
      <c r="AH118" s="1" t="s">
        <v>486</v>
      </c>
      <c r="AI118" s="1" t="s">
        <v>1516</v>
      </c>
      <c r="AJ118" s="1" t="s">
        <v>1517</v>
      </c>
      <c r="AK118" s="1"/>
      <c r="AL118" s="1"/>
      <c r="AM118" s="1"/>
      <c r="AN118" s="1" t="s">
        <v>433</v>
      </c>
      <c r="AO118" s="1"/>
      <c r="AP118" s="1">
        <v>0</v>
      </c>
      <c r="AQ118" s="1">
        <v>0</v>
      </c>
      <c r="AR118" s="1">
        <v>0</v>
      </c>
      <c r="AS118" s="1">
        <v>0</v>
      </c>
      <c r="AT118" s="1">
        <v>0</v>
      </c>
      <c r="AU118" s="1">
        <v>2</v>
      </c>
      <c r="AV118" s="1" t="s">
        <v>460</v>
      </c>
      <c r="AW118" s="1">
        <v>0</v>
      </c>
      <c r="AX118" s="1">
        <v>0</v>
      </c>
      <c r="AY118" s="1">
        <v>0</v>
      </c>
      <c r="AZ118" s="1">
        <v>0</v>
      </c>
      <c r="BA118" s="1"/>
      <c r="BB118" s="1"/>
      <c r="BC118" s="1"/>
      <c r="BD118" s="1"/>
      <c r="BE118" s="1"/>
      <c r="BF118" s="1"/>
      <c r="BG118" s="1"/>
      <c r="BH118" s="1"/>
      <c r="BI118" s="1"/>
      <c r="BJ118" s="1" t="s">
        <v>1518</v>
      </c>
      <c r="BK118" s="1" t="s">
        <v>391</v>
      </c>
      <c r="BL118" s="1" t="s">
        <v>462</v>
      </c>
      <c r="BM118" s="1" t="s">
        <v>1519</v>
      </c>
      <c r="BN118" s="1" t="s">
        <v>1520</v>
      </c>
      <c r="BO118" s="1" t="s">
        <v>1521</v>
      </c>
      <c r="BP118" s="1" t="s">
        <v>396</v>
      </c>
      <c r="BQ118" s="1"/>
      <c r="BR118" s="1" t="s">
        <v>1522</v>
      </c>
      <c r="BS118" s="1" t="s">
        <v>1523</v>
      </c>
      <c r="BT118" s="1">
        <v>0</v>
      </c>
      <c r="BU118" s="1">
        <v>0</v>
      </c>
      <c r="BV118" s="1">
        <v>0</v>
      </c>
      <c r="BW118" s="1"/>
      <c r="BX118" s="1"/>
      <c r="BY118" s="1">
        <v>0</v>
      </c>
      <c r="BZ118" s="1">
        <v>0</v>
      </c>
      <c r="CA118" s="1">
        <v>0</v>
      </c>
      <c r="CB118" s="1">
        <v>0</v>
      </c>
      <c r="CC118" s="1">
        <v>0</v>
      </c>
      <c r="CD118" s="1">
        <v>0</v>
      </c>
    </row>
    <row r="119" spans="1:82" hidden="1">
      <c r="A119" s="1" t="s">
        <v>1524</v>
      </c>
      <c r="B119" s="1" t="str">
        <f>_xlfn.XLOOKUP(A:A,'Dados Elevatórias'!D:D,'Dados Elevatórias'!B:B)</f>
        <v>PL-RJB-EAT0098</v>
      </c>
      <c r="C119" s="1" t="str">
        <f>_xlfn.XLOOKUP(B:B,'Dados Elevatórias'!B:B,'Dados Elevatórias'!C:C)</f>
        <v>EAT</v>
      </c>
      <c r="D119" s="1" t="s">
        <v>373</v>
      </c>
      <c r="E119" s="1" t="s">
        <v>1525</v>
      </c>
      <c r="F119" s="1" t="s">
        <v>1124</v>
      </c>
      <c r="G119" s="1" t="s">
        <v>376</v>
      </c>
      <c r="H119" s="1" t="str">
        <f>_xlfn.XLOOKUP(B:B,'Dados Elevatórias'!B:B,'Dados Elevatórias'!G:G)</f>
        <v>26510-044</v>
      </c>
      <c r="I119" s="1">
        <f>_xlfn.XLOOKUP(B119,COORDENADAS!A:A,COORDENADAS!B:B)</f>
        <v>-22.8171</v>
      </c>
      <c r="J119" s="1">
        <f>_xlfn.XLOOKUP(B119,COORDENADAS!A:A,COORDENADAS!C:C)</f>
        <v>-43.416800000000002</v>
      </c>
      <c r="K119" s="1"/>
      <c r="L119" s="1" t="str">
        <f>_xlfn.XLOOKUP(A:A,'RELAÇÃO ANTIGA'!A:A,'RELAÇÃO ANTIGA'!J:J)</f>
        <v>FORMAL</v>
      </c>
      <c r="M119" s="1">
        <v>1</v>
      </c>
      <c r="N119" s="1" t="s">
        <v>378</v>
      </c>
      <c r="O119" s="1"/>
      <c r="P119" s="1"/>
      <c r="Q119" s="1"/>
      <c r="R119" s="1"/>
      <c r="S119" s="1"/>
      <c r="T119" s="1"/>
      <c r="U119" s="1"/>
      <c r="V119" s="1"/>
      <c r="W119" s="1"/>
      <c r="X119" s="1"/>
      <c r="Y119" s="1"/>
      <c r="Z119" s="1"/>
      <c r="AA119" s="1"/>
      <c r="AB119" s="1"/>
      <c r="AC119" s="1" t="s">
        <v>727</v>
      </c>
      <c r="AD119" s="1"/>
      <c r="AE119" s="1"/>
      <c r="AF119" s="1"/>
      <c r="AG119" s="1"/>
      <c r="AH119" s="1"/>
      <c r="AI119" s="1"/>
      <c r="AJ119" s="1"/>
      <c r="AK119" s="1"/>
      <c r="AL119" s="1"/>
      <c r="AM119" s="1"/>
      <c r="AN119" s="1" t="str">
        <f>_xlfn.XLOOKUP(A:A,'RELAÇÃO ANTIGA'!A:A,'RELAÇÃO ANTIGA'!AC:AC,X)</f>
        <v>220V</v>
      </c>
      <c r="AO119" s="1"/>
      <c r="AP119" s="1">
        <v>0</v>
      </c>
      <c r="AQ119" s="1">
        <v>0</v>
      </c>
      <c r="AR119" s="1">
        <v>0</v>
      </c>
      <c r="AS119" s="1">
        <v>0</v>
      </c>
      <c r="AT119" s="1">
        <v>0</v>
      </c>
      <c r="AU119" s="1">
        <v>0</v>
      </c>
      <c r="AV119" s="1">
        <v>0</v>
      </c>
      <c r="AW119" s="1">
        <v>0</v>
      </c>
      <c r="AX119" s="1">
        <v>0</v>
      </c>
      <c r="AY119" s="1">
        <v>0</v>
      </c>
      <c r="AZ119" s="1">
        <v>0</v>
      </c>
      <c r="BA119" s="1"/>
      <c r="BB119" s="1"/>
      <c r="BC119" s="1"/>
      <c r="BD119" s="1"/>
      <c r="BE119" s="1"/>
      <c r="BF119" s="1"/>
      <c r="BG119" s="1"/>
      <c r="BH119" s="1"/>
      <c r="BI119" s="1"/>
      <c r="BJ119" s="1"/>
      <c r="BK119" s="1" t="s">
        <v>427</v>
      </c>
      <c r="BL119" s="1" t="s">
        <v>404</v>
      </c>
      <c r="BM119" s="1" t="s">
        <v>734</v>
      </c>
      <c r="BN119" s="1"/>
      <c r="BO119" s="1"/>
      <c r="BP119" s="1" t="s">
        <v>386</v>
      </c>
      <c r="BQ119" s="1"/>
      <c r="BR119" s="1">
        <v>0</v>
      </c>
      <c r="BS119" s="1">
        <v>0</v>
      </c>
      <c r="BT119" s="1">
        <v>0</v>
      </c>
      <c r="BU119" s="1">
        <v>0</v>
      </c>
      <c r="BV119" s="1">
        <v>0</v>
      </c>
      <c r="BW119" s="1" t="s">
        <v>396</v>
      </c>
      <c r="BX119" s="1"/>
      <c r="BY119" s="1" t="s">
        <v>401</v>
      </c>
      <c r="BZ119" s="1">
        <v>0</v>
      </c>
      <c r="CA119" s="1">
        <v>0</v>
      </c>
      <c r="CB119" s="1">
        <v>0</v>
      </c>
      <c r="CC119" s="1">
        <v>0</v>
      </c>
      <c r="CD119" s="1">
        <v>0</v>
      </c>
    </row>
    <row r="120" spans="1:82" hidden="1">
      <c r="A120" s="1" t="s">
        <v>1526</v>
      </c>
      <c r="B120" s="1" t="s">
        <v>130</v>
      </c>
      <c r="C120" s="1" t="str">
        <f>_xlfn.XLOOKUP(B:B,'Dados Elevatórias'!B:B,'Dados Elevatórias'!C:C)</f>
        <v>EAT</v>
      </c>
      <c r="D120" s="1" t="s">
        <v>373</v>
      </c>
      <c r="E120" s="1" t="s">
        <v>1527</v>
      </c>
      <c r="F120" s="1" t="s">
        <v>1528</v>
      </c>
      <c r="G120" s="1" t="s">
        <v>1529</v>
      </c>
      <c r="H120" s="1" t="s">
        <v>1530</v>
      </c>
      <c r="I120" s="1">
        <f>_xlfn.XLOOKUP(B120,COORDENADAS!A:A,COORDENADAS!B:B)</f>
        <v>-22.7348</v>
      </c>
      <c r="J120" s="1">
        <f>_xlfn.XLOOKUP(B120,COORDENADAS!A:A,COORDENADAS!C:C)</f>
        <v>-43.418900000000001</v>
      </c>
      <c r="K120" s="1"/>
      <c r="L120" s="1"/>
      <c r="M120" s="1">
        <v>1</v>
      </c>
      <c r="N120" s="1" t="s">
        <v>378</v>
      </c>
      <c r="O120" s="1" t="s">
        <v>1531</v>
      </c>
      <c r="P120" s="1" t="s">
        <v>1081</v>
      </c>
      <c r="Q120" s="1" t="s">
        <v>706</v>
      </c>
      <c r="R120" s="1"/>
      <c r="S120" s="1" t="s">
        <v>993</v>
      </c>
      <c r="T120" s="1" t="s">
        <v>1532</v>
      </c>
      <c r="U120" s="1" t="s">
        <v>1533</v>
      </c>
      <c r="V120" s="1"/>
      <c r="W120" s="1"/>
      <c r="X120" s="1" t="s">
        <v>1534</v>
      </c>
      <c r="Y120" s="1" t="s">
        <v>1535</v>
      </c>
      <c r="Z120" s="1"/>
      <c r="AA120" s="1">
        <v>4</v>
      </c>
      <c r="AB120" s="1" t="s">
        <v>1536</v>
      </c>
      <c r="AC120" s="1" t="s">
        <v>455</v>
      </c>
      <c r="AD120" s="1"/>
      <c r="AE120" s="1"/>
      <c r="AF120" s="1"/>
      <c r="AG120" s="1"/>
      <c r="AH120" s="1"/>
      <c r="AI120" s="1" t="s">
        <v>1537</v>
      </c>
      <c r="AJ120" s="1" t="s">
        <v>1538</v>
      </c>
      <c r="AK120" s="1"/>
      <c r="AL120" s="1" t="s">
        <v>763</v>
      </c>
      <c r="AM120" s="1"/>
      <c r="AN120" s="1"/>
      <c r="AO120" s="1"/>
      <c r="AP120" s="1"/>
      <c r="AQ120" s="1"/>
      <c r="AR120" s="1"/>
      <c r="AS120" s="1"/>
      <c r="AT120" s="1"/>
      <c r="AU120" s="1"/>
      <c r="AV120" s="1"/>
      <c r="AW120" s="1"/>
      <c r="AX120" s="1"/>
      <c r="AY120" s="1">
        <v>35368</v>
      </c>
      <c r="AZ120" s="1"/>
      <c r="BA120" s="1"/>
      <c r="BB120" s="1"/>
      <c r="BC120" s="1"/>
      <c r="BD120" s="1"/>
      <c r="BE120" s="1"/>
      <c r="BF120" s="1"/>
      <c r="BG120" s="1"/>
      <c r="BH120" s="1"/>
      <c r="BI120" s="1"/>
      <c r="BJ120" s="1"/>
      <c r="BK120" s="1" t="s">
        <v>391</v>
      </c>
      <c r="BL120" s="1" t="s">
        <v>462</v>
      </c>
      <c r="BM120" s="1" t="s">
        <v>1539</v>
      </c>
      <c r="BN120" s="1" t="s">
        <v>1540</v>
      </c>
      <c r="BO120" s="1" t="s">
        <v>1541</v>
      </c>
      <c r="BP120" s="1" t="s">
        <v>396</v>
      </c>
      <c r="BQ120" s="1"/>
      <c r="BR120" s="1"/>
      <c r="BS120" s="1"/>
      <c r="BT120" s="1"/>
      <c r="BU120" s="1"/>
      <c r="BV120" s="1"/>
      <c r="BW120" s="1"/>
      <c r="BX120" s="1"/>
      <c r="BY120" s="1"/>
      <c r="BZ120" s="1"/>
      <c r="CA120" s="1"/>
      <c r="CB120" s="1"/>
      <c r="CC120" s="1"/>
      <c r="CD120" s="1"/>
    </row>
    <row r="121" spans="1:82" hidden="1">
      <c r="A121" s="1" t="s">
        <v>1542</v>
      </c>
      <c r="B121" s="1" t="s">
        <v>210</v>
      </c>
      <c r="C121" s="1" t="s">
        <v>784</v>
      </c>
      <c r="D121" s="1" t="s">
        <v>373</v>
      </c>
      <c r="E121" s="1" t="s">
        <v>1543</v>
      </c>
      <c r="F121" s="1" t="s">
        <v>1544</v>
      </c>
      <c r="G121" s="1" t="s">
        <v>421</v>
      </c>
      <c r="H121" s="1" t="s">
        <v>1545</v>
      </c>
      <c r="I121" s="1">
        <f>_xlfn.XLOOKUP(B121,COORDENADAS!A:A,COORDENADAS!B:B)</f>
        <v>-22.831199999999999</v>
      </c>
      <c r="J121" s="1">
        <f>_xlfn.XLOOKUP(B121,COORDENADAS!A:A,COORDENADAS!C:C)</f>
        <v>-43.600900000000003</v>
      </c>
      <c r="K121" s="1"/>
      <c r="L121" s="1"/>
      <c r="M121" s="1">
        <v>1</v>
      </c>
      <c r="N121" s="1" t="s">
        <v>378</v>
      </c>
      <c r="O121" s="1" t="s">
        <v>1546</v>
      </c>
      <c r="P121" s="1" t="s">
        <v>1175</v>
      </c>
      <c r="Q121" s="1" t="s">
        <v>404</v>
      </c>
      <c r="R121" s="1" t="s">
        <v>832</v>
      </c>
      <c r="S121" s="1" t="s">
        <v>1547</v>
      </c>
      <c r="T121" s="1" t="s">
        <v>407</v>
      </c>
      <c r="U121" s="1" t="s">
        <v>1548</v>
      </c>
      <c r="V121" s="1" t="s">
        <v>1207</v>
      </c>
      <c r="W121" s="1" t="s">
        <v>1549</v>
      </c>
      <c r="X121" s="1" t="s">
        <v>1550</v>
      </c>
      <c r="Y121" s="1" t="s">
        <v>993</v>
      </c>
      <c r="Z121" s="1" t="s">
        <v>760</v>
      </c>
      <c r="AA121" s="1"/>
      <c r="AB121" s="1" t="s">
        <v>1551</v>
      </c>
      <c r="AC121" s="1" t="s">
        <v>455</v>
      </c>
      <c r="AD121" s="1" t="s">
        <v>386</v>
      </c>
      <c r="AE121" s="1"/>
      <c r="AF121" s="1"/>
      <c r="AG121" s="1"/>
      <c r="AH121" s="1"/>
      <c r="AI121" s="1" t="s">
        <v>1552</v>
      </c>
      <c r="AJ121" s="1" t="s">
        <v>1553</v>
      </c>
      <c r="AK121" s="1"/>
      <c r="AL121" s="1"/>
      <c r="AM121" s="1"/>
      <c r="AN121" s="1"/>
      <c r="AO121" s="1"/>
      <c r="AP121" s="1"/>
      <c r="AQ121" s="1"/>
      <c r="AR121" s="1"/>
      <c r="AS121" s="1"/>
      <c r="AT121" s="1"/>
      <c r="AU121" s="1"/>
      <c r="AV121" s="1"/>
      <c r="AW121" s="1"/>
      <c r="AX121" s="1"/>
      <c r="AY121" s="1">
        <v>146</v>
      </c>
      <c r="AZ121" s="1"/>
      <c r="BA121" s="1"/>
      <c r="BB121" s="1"/>
      <c r="BC121" s="1"/>
      <c r="BD121" s="1"/>
      <c r="BE121" s="1"/>
      <c r="BF121" s="1"/>
      <c r="BG121" s="1"/>
      <c r="BH121" s="1"/>
      <c r="BI121" s="1"/>
      <c r="BJ121" s="1"/>
      <c r="BK121" s="1" t="s">
        <v>427</v>
      </c>
      <c r="BL121" s="1"/>
      <c r="BM121" s="1"/>
      <c r="BN121" s="1"/>
      <c r="BO121" s="1"/>
      <c r="BP121" s="1" t="s">
        <v>386</v>
      </c>
      <c r="BQ121" s="1"/>
      <c r="BR121" s="1"/>
      <c r="BS121" s="1"/>
      <c r="BT121" s="1"/>
      <c r="BU121" s="1"/>
      <c r="BV121" s="1"/>
      <c r="BW121" s="1"/>
      <c r="BX121" s="1"/>
      <c r="BY121" s="1"/>
      <c r="BZ121" s="1"/>
      <c r="CA121" s="1"/>
      <c r="CB121" s="1"/>
      <c r="CC121" s="1"/>
      <c r="CD121" s="1"/>
    </row>
    <row r="122" spans="1:82" hidden="1">
      <c r="A122" s="1" t="s">
        <v>1554</v>
      </c>
      <c r="B122" s="1" t="s">
        <v>113</v>
      </c>
      <c r="C122" s="1" t="s">
        <v>784</v>
      </c>
      <c r="D122" s="1" t="s">
        <v>373</v>
      </c>
      <c r="E122" s="1" t="s">
        <v>1555</v>
      </c>
      <c r="F122" s="1" t="s">
        <v>1370</v>
      </c>
      <c r="G122" s="1" t="s">
        <v>421</v>
      </c>
      <c r="H122" s="1" t="s">
        <v>1556</v>
      </c>
      <c r="I122" s="1">
        <f>_xlfn.XLOOKUP(B122,COORDENADAS!A:A,COORDENADAS!B:B)</f>
        <v>-22.7515</v>
      </c>
      <c r="J122" s="1">
        <f>_xlfn.XLOOKUP(B122,COORDENADAS!A:A,COORDENADAS!C:C)</f>
        <v>-43.430599999999998</v>
      </c>
      <c r="K122" s="1"/>
      <c r="L122" s="1"/>
      <c r="M122" s="1">
        <v>1</v>
      </c>
      <c r="N122" s="1" t="s">
        <v>378</v>
      </c>
      <c r="O122" s="1" t="s">
        <v>1557</v>
      </c>
      <c r="P122" s="1" t="s">
        <v>884</v>
      </c>
      <c r="Q122" s="1" t="s">
        <v>404</v>
      </c>
      <c r="R122" s="1" t="s">
        <v>405</v>
      </c>
      <c r="S122" s="1" t="s">
        <v>1558</v>
      </c>
      <c r="T122" s="1" t="s">
        <v>1559</v>
      </c>
      <c r="U122" s="1" t="s">
        <v>450</v>
      </c>
      <c r="V122" s="1"/>
      <c r="W122" s="1"/>
      <c r="X122" s="1"/>
      <c r="Y122" s="1" t="s">
        <v>1560</v>
      </c>
      <c r="Z122" s="1"/>
      <c r="AA122" s="1">
        <v>2</v>
      </c>
      <c r="AB122" s="1"/>
      <c r="AC122" s="1" t="s">
        <v>410</v>
      </c>
      <c r="AD122" s="1"/>
      <c r="AE122" s="1" t="s">
        <v>1561</v>
      </c>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t="s">
        <v>391</v>
      </c>
      <c r="BL122" s="1"/>
      <c r="BM122" s="1"/>
      <c r="BN122" s="1"/>
      <c r="BO122" s="1"/>
      <c r="BP122" s="1" t="s">
        <v>396</v>
      </c>
      <c r="BQ122" s="1"/>
      <c r="BR122" s="1"/>
      <c r="BS122" s="1"/>
      <c r="BT122" s="1"/>
      <c r="BU122" s="1"/>
      <c r="BV122" s="1"/>
      <c r="BW122" s="1"/>
      <c r="BX122" s="1"/>
      <c r="BY122" s="1"/>
      <c r="BZ122" s="1"/>
      <c r="CA122" s="1"/>
      <c r="CB122" s="1"/>
      <c r="CC122" s="1"/>
      <c r="CD122" s="1"/>
    </row>
    <row r="123" spans="1:82" hidden="1">
      <c r="A123" s="1" t="s">
        <v>792</v>
      </c>
      <c r="B123" s="1" t="s">
        <v>1562</v>
      </c>
      <c r="C123" s="1" t="s">
        <v>1563</v>
      </c>
      <c r="D123" s="1" t="s">
        <v>373</v>
      </c>
      <c r="E123" s="1" t="s">
        <v>1564</v>
      </c>
      <c r="F123" s="1" t="s">
        <v>1565</v>
      </c>
      <c r="G123" s="1" t="s">
        <v>605</v>
      </c>
      <c r="H123" s="1" t="s">
        <v>1566</v>
      </c>
      <c r="I123" s="1">
        <v>-22.8003</v>
      </c>
      <c r="J123" s="1">
        <v>-43.427300000000002</v>
      </c>
      <c r="K123" s="1"/>
      <c r="L123" s="1"/>
      <c r="M123" s="1">
        <v>1</v>
      </c>
      <c r="N123" s="1" t="s">
        <v>378</v>
      </c>
      <c r="O123" s="1"/>
      <c r="P123" s="1"/>
      <c r="Q123" s="1" t="s">
        <v>1567</v>
      </c>
      <c r="R123" s="1"/>
      <c r="S123" s="1"/>
      <c r="T123" s="1" t="s">
        <v>707</v>
      </c>
      <c r="U123" s="1"/>
      <c r="V123" s="1"/>
      <c r="W123" s="1"/>
      <c r="X123" s="1"/>
      <c r="Y123" s="1"/>
      <c r="Z123" s="1"/>
      <c r="AA123" s="1"/>
      <c r="AB123" s="1"/>
      <c r="AC123" s="1" t="s">
        <v>455</v>
      </c>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t="s">
        <v>391</v>
      </c>
      <c r="BL123" s="1"/>
      <c r="BM123" s="1"/>
      <c r="BN123" s="1"/>
      <c r="BO123" s="1"/>
      <c r="BP123" s="1" t="s">
        <v>396</v>
      </c>
      <c r="BQ123" s="1"/>
      <c r="BR123" s="1"/>
      <c r="BS123" s="1"/>
      <c r="BT123" s="1"/>
      <c r="BU123" s="1"/>
      <c r="BV123" s="1"/>
      <c r="BW123" s="1"/>
      <c r="BX123" s="1"/>
      <c r="BY123" s="1"/>
      <c r="BZ123" s="1"/>
      <c r="CA123" s="1"/>
      <c r="CB123" s="1"/>
      <c r="CC123" s="1"/>
      <c r="CD123" s="1"/>
    </row>
    <row r="124" spans="1:82" hidden="1">
      <c r="A124" s="1" t="s">
        <v>1568</v>
      </c>
      <c r="B124" s="1" t="s">
        <v>226</v>
      </c>
      <c r="C124" s="1" t="s">
        <v>1563</v>
      </c>
      <c r="D124" s="1" t="s">
        <v>373</v>
      </c>
      <c r="E124" s="1" t="s">
        <v>1569</v>
      </c>
      <c r="F124" s="1" t="s">
        <v>1570</v>
      </c>
      <c r="G124" s="1" t="s">
        <v>605</v>
      </c>
      <c r="H124" s="1" t="s">
        <v>1571</v>
      </c>
      <c r="I124" s="1">
        <f>_xlfn.XLOOKUP(B124,COORDENADAS!A:A,COORDENADAS!B:B)</f>
        <v>-22.789200000000001</v>
      </c>
      <c r="J124" s="1">
        <f>_xlfn.XLOOKUP(B124,COORDENADAS!A:A,COORDENADAS!C:C)</f>
        <v>-43.4099</v>
      </c>
      <c r="K124" s="1"/>
      <c r="L124" s="1"/>
      <c r="M124" s="1">
        <v>1</v>
      </c>
      <c r="N124" s="1" t="s">
        <v>378</v>
      </c>
      <c r="O124" s="1"/>
      <c r="P124" s="1"/>
      <c r="Q124" s="1"/>
      <c r="R124" s="1"/>
      <c r="S124" s="1"/>
      <c r="T124" s="1"/>
      <c r="U124" s="1"/>
      <c r="V124" s="1"/>
      <c r="W124" s="1"/>
      <c r="X124" s="1"/>
      <c r="Y124" s="1"/>
      <c r="Z124" s="1"/>
      <c r="AA124" s="1"/>
      <c r="AB124" s="1"/>
      <c r="AC124" s="1" t="s">
        <v>455</v>
      </c>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t="s">
        <v>391</v>
      </c>
      <c r="BL124" s="1" t="s">
        <v>462</v>
      </c>
      <c r="BM124" s="1"/>
      <c r="BN124" s="1"/>
      <c r="BO124" s="1"/>
      <c r="BP124" s="1" t="s">
        <v>396</v>
      </c>
      <c r="BQ124" s="1"/>
      <c r="BR124" s="1"/>
      <c r="BS124" s="1"/>
      <c r="BT124" s="1"/>
      <c r="BU124" s="1"/>
      <c r="BV124" s="1"/>
      <c r="BW124" s="1"/>
      <c r="BX124" s="1"/>
      <c r="BY124" s="1"/>
      <c r="BZ124" s="1"/>
      <c r="CA124" s="1"/>
      <c r="CB124" s="1"/>
      <c r="CC124" s="1"/>
      <c r="CD124" s="1"/>
    </row>
    <row r="125" spans="1:82" hidden="1">
      <c r="A125" s="1" t="s">
        <v>1572</v>
      </c>
      <c r="B125" s="1" t="s">
        <v>217</v>
      </c>
      <c r="C125" s="1" t="s">
        <v>1563</v>
      </c>
      <c r="D125" s="1" t="s">
        <v>373</v>
      </c>
      <c r="E125" s="1" t="s">
        <v>1573</v>
      </c>
      <c r="F125" s="1" t="s">
        <v>1069</v>
      </c>
      <c r="G125" s="1" t="s">
        <v>605</v>
      </c>
      <c r="H125" s="1" t="s">
        <v>1574</v>
      </c>
      <c r="I125" s="1">
        <f>_xlfn.XLOOKUP(B125,COORDENADAS!A:A,COORDENADAS!B:B)</f>
        <v>-22.781300000000002</v>
      </c>
      <c r="J125" s="1">
        <f>_xlfn.XLOOKUP(B125,COORDENADAS!A:A,COORDENADAS!C:C)</f>
        <v>-43.416699999999999</v>
      </c>
      <c r="K125" s="1"/>
      <c r="L125" s="1"/>
      <c r="M125" s="1">
        <v>1</v>
      </c>
      <c r="N125" s="1" t="s">
        <v>1575</v>
      </c>
      <c r="O125" s="1"/>
      <c r="P125" s="1"/>
      <c r="Q125" s="1"/>
      <c r="R125" s="1"/>
      <c r="S125" s="1"/>
      <c r="T125" s="1"/>
      <c r="U125" s="1"/>
      <c r="V125" s="1"/>
      <c r="W125" s="1"/>
      <c r="X125" s="1"/>
      <c r="Y125" s="1"/>
      <c r="Z125" s="1"/>
      <c r="AA125" s="1"/>
      <c r="AB125" s="1"/>
      <c r="AC125" s="1" t="s">
        <v>455</v>
      </c>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t="s">
        <v>386</v>
      </c>
      <c r="BQ125" s="1"/>
      <c r="BR125" s="1"/>
      <c r="BS125" s="1"/>
      <c r="BT125" s="1"/>
      <c r="BU125" s="1"/>
      <c r="BV125" s="1"/>
      <c r="BW125" s="1"/>
      <c r="BX125" s="1"/>
      <c r="BY125" s="1"/>
      <c r="BZ125" s="1"/>
      <c r="CA125" s="1"/>
      <c r="CB125" s="1"/>
      <c r="CC125" s="1"/>
      <c r="CD125" s="1"/>
    </row>
    <row r="126" spans="1:82" hidden="1">
      <c r="A126" s="1" t="s">
        <v>1576</v>
      </c>
      <c r="B126" s="1" t="s">
        <v>111</v>
      </c>
      <c r="C126" s="1" t="s">
        <v>784</v>
      </c>
      <c r="D126" s="1" t="s">
        <v>373</v>
      </c>
      <c r="E126" s="1" t="s">
        <v>1577</v>
      </c>
      <c r="F126" s="1" t="s">
        <v>1578</v>
      </c>
      <c r="G126" s="1" t="s">
        <v>421</v>
      </c>
      <c r="H126" s="1"/>
      <c r="I126" s="1">
        <f>_xlfn.XLOOKUP(B126,COORDENADAS!A:A,COORDENADAS!B:B)</f>
        <v>-22.758700000000001</v>
      </c>
      <c r="J126" s="1">
        <f>_xlfn.XLOOKUP(B126,COORDENADAS!A:A,COORDENADAS!C:C)</f>
        <v>-43.533099999999997</v>
      </c>
      <c r="K126" s="1"/>
      <c r="L126" s="1"/>
      <c r="M126" s="1">
        <v>1</v>
      </c>
      <c r="N126" s="1" t="s">
        <v>378</v>
      </c>
      <c r="O126" s="1"/>
      <c r="P126" s="1"/>
      <c r="Q126" s="1"/>
      <c r="R126" s="1"/>
      <c r="S126" s="1" t="s">
        <v>1579</v>
      </c>
      <c r="T126" s="1"/>
      <c r="U126" s="1"/>
      <c r="V126" s="1"/>
      <c r="W126" s="1"/>
      <c r="X126" s="1"/>
      <c r="Y126" s="1" t="s">
        <v>1580</v>
      </c>
      <c r="Z126" s="1"/>
      <c r="AA126" s="1"/>
      <c r="AB126" s="1"/>
      <c r="AC126" s="1" t="s">
        <v>455</v>
      </c>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t="s">
        <v>437</v>
      </c>
      <c r="BL126" s="1"/>
      <c r="BM126" s="1"/>
      <c r="BN126" s="1"/>
      <c r="BO126" s="1"/>
      <c r="BP126" s="1" t="s">
        <v>386</v>
      </c>
      <c r="BQ126" s="1"/>
      <c r="BR126" s="1"/>
      <c r="BS126" s="1"/>
      <c r="BT126" s="1"/>
      <c r="BU126" s="1"/>
      <c r="BV126" s="1"/>
      <c r="BW126" s="1"/>
      <c r="BX126" s="1"/>
      <c r="BY126" s="1"/>
      <c r="BZ126" s="1"/>
      <c r="CA126" s="1"/>
      <c r="CB126" s="1"/>
      <c r="CC126" s="1"/>
      <c r="CD126" s="1"/>
    </row>
    <row r="127" spans="1:82" hidden="1">
      <c r="A127" s="1" t="s">
        <v>1581</v>
      </c>
      <c r="B127" s="1" t="s">
        <v>1582</v>
      </c>
      <c r="C127" s="1" t="s">
        <v>410</v>
      </c>
      <c r="D127" s="1" t="s">
        <v>373</v>
      </c>
      <c r="E127" s="1"/>
      <c r="F127" s="1"/>
      <c r="G127" s="1" t="s">
        <v>421</v>
      </c>
      <c r="H127" s="1"/>
      <c r="I127" s="1"/>
      <c r="J127" s="1"/>
      <c r="K127" s="1"/>
      <c r="L127" s="1"/>
      <c r="M127" s="1">
        <v>1</v>
      </c>
      <c r="N127" s="1" t="s">
        <v>378</v>
      </c>
      <c r="O127" s="1"/>
      <c r="P127" s="1"/>
      <c r="Q127" s="1"/>
      <c r="R127" s="1"/>
      <c r="S127" s="1"/>
      <c r="T127" s="1"/>
      <c r="U127" s="1"/>
      <c r="V127" s="1"/>
      <c r="W127" s="1"/>
      <c r="X127" s="1"/>
      <c r="Y127" s="1"/>
      <c r="Z127" s="1"/>
      <c r="AA127" s="1"/>
      <c r="AB127" s="1"/>
      <c r="AC127" s="1" t="s">
        <v>410</v>
      </c>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t="s">
        <v>391</v>
      </c>
      <c r="BL127" s="1"/>
      <c r="BM127" s="1"/>
      <c r="BN127" s="1"/>
      <c r="BO127" s="1"/>
      <c r="BP127" s="1" t="s">
        <v>396</v>
      </c>
      <c r="BQ127" s="1"/>
      <c r="BR127" s="1"/>
      <c r="BS127" s="1"/>
      <c r="BT127" s="1"/>
      <c r="BU127" s="1"/>
      <c r="BV127" s="1"/>
      <c r="BW127" s="1"/>
      <c r="BX127" s="1"/>
      <c r="BY127" s="1"/>
      <c r="BZ127" s="1"/>
      <c r="CA127" s="1"/>
      <c r="CB127" s="1"/>
      <c r="CC127" s="1"/>
      <c r="CD127" s="1"/>
    </row>
    <row r="128" spans="1:82" hidden="1">
      <c r="A128" s="1" t="s">
        <v>964</v>
      </c>
      <c r="B128" s="1" t="str">
        <f>_xlfn.XLOOKUP(A:A,'Dados Elevatórias'!D:D,'Dados Elevatórias'!B:B)</f>
        <v>PL-RJB-ETE0040</v>
      </c>
      <c r="C128" s="1" t="str">
        <f>_xlfn.XLOOKUP(B:B,'Dados Elevatórias'!B:B,'Dados Elevatórias'!C:C)</f>
        <v>ETE</v>
      </c>
      <c r="D128" s="1" t="s">
        <v>373</v>
      </c>
      <c r="E128" s="1" t="s">
        <v>1583</v>
      </c>
      <c r="F128" s="1" t="s">
        <v>966</v>
      </c>
      <c r="G128" s="1" t="s">
        <v>421</v>
      </c>
      <c r="H128" s="1" t="str">
        <f>_xlfn.XLOOKUP(B:B,'Dados Elevatórias'!B:B,'Dados Elevatórias'!G:G)</f>
        <v>26296-069</v>
      </c>
      <c r="I128" s="1">
        <f>_xlfn.XLOOKUP(B128,COORDENADAS!A:A,COORDENADAS!B:B)</f>
        <v>-22.798500000000001</v>
      </c>
      <c r="J128" s="1">
        <f>_xlfn.XLOOKUP(B128,COORDENADAS!A:A,COORDENADAS!C:C)</f>
        <v>-43.589199999999998</v>
      </c>
      <c r="K128" s="1"/>
      <c r="L128" s="1" t="str">
        <f>_xlfn.XLOOKUP(A:A,'RELAÇÃO ANTIGA'!A:A,'RELAÇÃO ANTIGA'!J:J)</f>
        <v>FORMAL</v>
      </c>
      <c r="M128" s="1">
        <v>2</v>
      </c>
      <c r="N128" s="1" t="s">
        <v>378</v>
      </c>
      <c r="O128" s="1" t="s">
        <v>379</v>
      </c>
      <c r="P128" s="1" t="s">
        <v>1584</v>
      </c>
      <c r="Q128" s="1" t="s">
        <v>404</v>
      </c>
      <c r="R128" s="1" t="s">
        <v>894</v>
      </c>
      <c r="S128" s="1" t="s">
        <v>1585</v>
      </c>
      <c r="T128" s="1" t="s">
        <v>407</v>
      </c>
      <c r="U128" s="1" t="s">
        <v>1586</v>
      </c>
      <c r="V128" s="1"/>
      <c r="W128" s="1"/>
      <c r="X128" s="1" t="s">
        <v>1587</v>
      </c>
      <c r="Y128" s="1"/>
      <c r="Z128" s="1"/>
      <c r="AA128" s="1">
        <v>4</v>
      </c>
      <c r="AB128" s="1"/>
      <c r="AC128" s="1" t="s">
        <v>455</v>
      </c>
      <c r="AD128" s="1"/>
      <c r="AE128" s="1" t="s">
        <v>1588</v>
      </c>
      <c r="AF128" s="1" t="s">
        <v>485</v>
      </c>
      <c r="AG128" s="1" t="s">
        <v>506</v>
      </c>
      <c r="AH128" s="1" t="s">
        <v>727</v>
      </c>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t="s">
        <v>427</v>
      </c>
      <c r="BL128" s="1"/>
      <c r="BM128" s="1"/>
      <c r="BN128" s="1"/>
      <c r="BO128" s="1"/>
      <c r="BP128" s="1" t="s">
        <v>396</v>
      </c>
      <c r="BQ128" s="1"/>
      <c r="BR128" s="1"/>
      <c r="BS128" s="1"/>
      <c r="BT128" s="1"/>
      <c r="BU128" s="1"/>
      <c r="BV128" s="1"/>
      <c r="BW128" s="1"/>
      <c r="BX128" s="1"/>
      <c r="BY128" s="1"/>
      <c r="BZ128" s="1"/>
      <c r="CA128" s="1"/>
      <c r="CB128" s="1"/>
      <c r="CC128" s="1"/>
      <c r="CD128" s="1"/>
    </row>
    <row r="129" spans="1:82" hidden="1">
      <c r="A129" s="1" t="s">
        <v>858</v>
      </c>
      <c r="B129" s="1" t="s">
        <v>129</v>
      </c>
      <c r="C129" s="1" t="s">
        <v>784</v>
      </c>
      <c r="D129" s="1" t="s">
        <v>373</v>
      </c>
      <c r="E129" s="1" t="s">
        <v>859</v>
      </c>
      <c r="F129" s="1" t="s">
        <v>1589</v>
      </c>
      <c r="G129" s="1" t="s">
        <v>605</v>
      </c>
      <c r="H129" s="1" t="s">
        <v>1590</v>
      </c>
      <c r="I129" s="1">
        <f>_xlfn.XLOOKUP(B129,COORDENADAS!A:A,COORDENADAS!B:B)</f>
        <v>-22.7896</v>
      </c>
      <c r="J129" s="1">
        <f>_xlfn.XLOOKUP(B129,COORDENADAS!A:A,COORDENADAS!C:C)</f>
        <v>-43.438299999999998</v>
      </c>
      <c r="K129" s="1"/>
      <c r="L129" s="1"/>
      <c r="M129" s="1">
        <v>1</v>
      </c>
      <c r="N129" s="1" t="s">
        <v>378</v>
      </c>
      <c r="O129" s="1"/>
      <c r="P129" s="1" t="s">
        <v>1591</v>
      </c>
      <c r="Q129" s="1"/>
      <c r="R129" s="1"/>
      <c r="S129" s="1"/>
      <c r="T129" s="1"/>
      <c r="U129" s="1"/>
      <c r="V129" s="1"/>
      <c r="W129" s="1"/>
      <c r="X129" s="1"/>
      <c r="Y129" s="1"/>
      <c r="Z129" s="1"/>
      <c r="AA129" s="1"/>
      <c r="AB129" s="1"/>
      <c r="AC129" s="1" t="s">
        <v>455</v>
      </c>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t="s">
        <v>391</v>
      </c>
      <c r="BL129" s="1" t="s">
        <v>665</v>
      </c>
      <c r="BM129" s="1"/>
      <c r="BN129" s="1"/>
      <c r="BO129" s="1"/>
      <c r="BP129" s="1" t="s">
        <v>396</v>
      </c>
      <c r="BQ129" s="1"/>
      <c r="BR129" s="1"/>
      <c r="BS129" s="1"/>
      <c r="BT129" s="1"/>
      <c r="BU129" s="1"/>
      <c r="BV129" s="1"/>
      <c r="BW129" s="1"/>
      <c r="BX129" s="1"/>
      <c r="BY129" s="1"/>
      <c r="BZ129" s="1"/>
      <c r="CA129" s="1"/>
      <c r="CB129" s="1"/>
      <c r="CC129" s="1"/>
      <c r="CD129" s="1"/>
    </row>
    <row r="130" spans="1:82" hidden="1">
      <c r="A130" s="1" t="s">
        <v>1592</v>
      </c>
      <c r="B130" s="1" t="s">
        <v>194</v>
      </c>
      <c r="C130" s="1" t="s">
        <v>784</v>
      </c>
      <c r="D130" s="1" t="s">
        <v>373</v>
      </c>
      <c r="E130" s="1" t="s">
        <v>1593</v>
      </c>
      <c r="F130" s="1" t="s">
        <v>1594</v>
      </c>
      <c r="G130" s="1" t="s">
        <v>421</v>
      </c>
      <c r="H130" s="1" t="s">
        <v>1595</v>
      </c>
      <c r="I130" s="1">
        <f>_xlfn.XLOOKUP(B130,COORDENADAS!A:A,COORDENADAS!B:B)</f>
        <v>-22.685500000000001</v>
      </c>
      <c r="J130" s="1">
        <f>_xlfn.XLOOKUP(B130,COORDENADAS!A:A,COORDENADAS!C:C)</f>
        <v>-43.446899999999999</v>
      </c>
      <c r="K130" s="1"/>
      <c r="L130" s="1"/>
      <c r="M130" s="1">
        <v>1</v>
      </c>
      <c r="N130" s="1" t="s">
        <v>378</v>
      </c>
      <c r="O130" s="1" t="s">
        <v>1596</v>
      </c>
      <c r="P130" s="1" t="s">
        <v>1081</v>
      </c>
      <c r="Q130" s="1"/>
      <c r="R130" s="1"/>
      <c r="S130" s="1"/>
      <c r="T130" s="1" t="s">
        <v>1532</v>
      </c>
      <c r="U130" s="1" t="s">
        <v>1597</v>
      </c>
      <c r="V130" s="1"/>
      <c r="W130" s="1"/>
      <c r="X130" s="1"/>
      <c r="Y130" s="1"/>
      <c r="Z130" s="1"/>
      <c r="AA130" s="1">
        <v>4</v>
      </c>
      <c r="AB130" s="1" t="s">
        <v>1536</v>
      </c>
      <c r="AC130" s="1" t="s">
        <v>410</v>
      </c>
      <c r="AD130" s="1"/>
      <c r="AE130" s="1"/>
      <c r="AF130" s="1"/>
      <c r="AG130" s="1"/>
      <c r="AH130" s="1"/>
      <c r="AI130" s="1" t="s">
        <v>1598</v>
      </c>
      <c r="AJ130" s="1"/>
      <c r="AK130" s="1"/>
      <c r="AL130" s="1" t="s">
        <v>763</v>
      </c>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t="s">
        <v>391</v>
      </c>
      <c r="BL130" s="1" t="s">
        <v>665</v>
      </c>
      <c r="BM130" s="1"/>
      <c r="BN130" s="1"/>
      <c r="BO130" s="1"/>
      <c r="BP130" s="1" t="s">
        <v>396</v>
      </c>
      <c r="BQ130" s="1"/>
      <c r="BR130" s="1"/>
      <c r="BS130" s="1"/>
      <c r="BT130" s="1"/>
      <c r="BU130" s="1"/>
      <c r="BV130" s="1"/>
      <c r="BW130" s="1"/>
      <c r="BX130" s="1"/>
      <c r="BY130" s="1"/>
      <c r="BZ130" s="1"/>
      <c r="CA130" s="1"/>
      <c r="CB130" s="1"/>
      <c r="CC130" s="1"/>
      <c r="CD130" s="1"/>
    </row>
    <row r="131" spans="1:82" hidden="1">
      <c r="A131" s="1" t="s">
        <v>1599</v>
      </c>
      <c r="B131" s="1" t="s">
        <v>114</v>
      </c>
      <c r="C131" s="1" t="s">
        <v>410</v>
      </c>
      <c r="D131" s="1" t="s">
        <v>373</v>
      </c>
      <c r="E131" s="1" t="s">
        <v>1600</v>
      </c>
      <c r="F131" s="1" t="s">
        <v>1601</v>
      </c>
      <c r="G131" s="1" t="s">
        <v>605</v>
      </c>
      <c r="H131" s="1" t="s">
        <v>1602</v>
      </c>
      <c r="I131" s="1">
        <f>_xlfn.XLOOKUP(B131,COORDENADAS!A:A,COORDENADAS!B:B)</f>
        <v>-22.777799999999999</v>
      </c>
      <c r="J131" s="1">
        <f>_xlfn.XLOOKUP(B131,COORDENADAS!A:A,COORDENADAS!C:C)</f>
        <v>-43.397799999999997</v>
      </c>
      <c r="K131" s="1"/>
      <c r="L131" s="1" t="s">
        <v>1603</v>
      </c>
      <c r="M131" s="1">
        <v>1</v>
      </c>
      <c r="N131" s="1" t="s">
        <v>378</v>
      </c>
      <c r="O131" s="1" t="s">
        <v>1400</v>
      </c>
      <c r="P131" s="1" t="s">
        <v>403</v>
      </c>
      <c r="Q131" s="1" t="s">
        <v>404</v>
      </c>
      <c r="R131" s="1" t="s">
        <v>1604</v>
      </c>
      <c r="S131" s="1" t="s">
        <v>1605</v>
      </c>
      <c r="T131" s="1" t="s">
        <v>407</v>
      </c>
      <c r="U131" s="1" t="s">
        <v>1606</v>
      </c>
      <c r="V131" s="1" t="s">
        <v>873</v>
      </c>
      <c r="W131" s="1" t="s">
        <v>476</v>
      </c>
      <c r="X131" s="1" t="s">
        <v>1607</v>
      </c>
      <c r="Y131" s="1" t="s">
        <v>1608</v>
      </c>
      <c r="Z131" s="1" t="s">
        <v>760</v>
      </c>
      <c r="AA131" s="1">
        <v>2</v>
      </c>
      <c r="AB131" s="1">
        <v>150</v>
      </c>
      <c r="AC131" s="1" t="s">
        <v>410</v>
      </c>
      <c r="AD131" s="1" t="s">
        <v>386</v>
      </c>
      <c r="AE131" s="1"/>
      <c r="AF131" s="1" t="s">
        <v>411</v>
      </c>
      <c r="AG131" s="1" t="s">
        <v>1609</v>
      </c>
      <c r="AH131" s="1" t="s">
        <v>412</v>
      </c>
      <c r="AI131" s="1">
        <v>265.56</v>
      </c>
      <c r="AJ131" s="1">
        <v>49.29</v>
      </c>
      <c r="AK131" s="1"/>
      <c r="AL131" s="1" t="s">
        <v>763</v>
      </c>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t="s">
        <v>1610</v>
      </c>
      <c r="BK131" s="1" t="s">
        <v>391</v>
      </c>
      <c r="BL131" s="1" t="s">
        <v>414</v>
      </c>
      <c r="BM131" s="1" t="s">
        <v>415</v>
      </c>
      <c r="BN131" s="1" t="s">
        <v>1611</v>
      </c>
      <c r="BO131" s="1" t="s">
        <v>1612</v>
      </c>
      <c r="BP131" s="1" t="s">
        <v>396</v>
      </c>
      <c r="BQ131" s="1"/>
      <c r="BR131" s="1"/>
      <c r="BS131" s="1"/>
      <c r="BT131" s="1"/>
      <c r="BU131" s="1"/>
      <c r="BV131" s="1"/>
      <c r="BW131" s="1"/>
      <c r="BX131" s="1"/>
      <c r="BY131" s="1"/>
      <c r="BZ131" s="1"/>
      <c r="CA131" s="1"/>
      <c r="CB131" s="1"/>
      <c r="CC131" s="1"/>
      <c r="CD131" s="1"/>
    </row>
    <row r="132" spans="1:82" hidden="1">
      <c r="A132" s="1" t="s">
        <v>1613</v>
      </c>
      <c r="B132" s="1" t="s">
        <v>112</v>
      </c>
      <c r="C132" s="1" t="s">
        <v>784</v>
      </c>
      <c r="D132" s="1" t="s">
        <v>373</v>
      </c>
      <c r="E132" s="1" t="s">
        <v>1614</v>
      </c>
      <c r="F132" s="1" t="s">
        <v>1615</v>
      </c>
      <c r="G132" s="1" t="s">
        <v>421</v>
      </c>
      <c r="H132" s="1" t="s">
        <v>1616</v>
      </c>
      <c r="I132" s="1"/>
      <c r="J132" s="1"/>
      <c r="K132" s="1"/>
      <c r="L132" s="1" t="s">
        <v>1603</v>
      </c>
      <c r="M132" s="1">
        <v>1</v>
      </c>
      <c r="N132" s="1" t="s">
        <v>378</v>
      </c>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t="s">
        <v>427</v>
      </c>
      <c r="BL132" s="1"/>
      <c r="BM132" s="1"/>
      <c r="BN132" s="1"/>
      <c r="BO132" s="1"/>
      <c r="BP132" s="1"/>
      <c r="BQ132" s="1"/>
      <c r="BR132" s="1"/>
      <c r="BS132" s="1"/>
      <c r="BT132" s="1"/>
      <c r="BU132" s="1"/>
      <c r="BV132" s="1"/>
      <c r="BW132" s="1"/>
      <c r="BX132" s="1"/>
      <c r="BY132" s="1"/>
      <c r="BZ132" s="1"/>
      <c r="CA132" s="1"/>
      <c r="CB132" s="1"/>
      <c r="CC132" s="1"/>
      <c r="CD132" s="1"/>
    </row>
    <row r="133" spans="1:82" hidden="1">
      <c r="A133" s="1" t="s">
        <v>1617</v>
      </c>
      <c r="B133" s="1" t="s">
        <v>1618</v>
      </c>
      <c r="C133" s="1" t="s">
        <v>784</v>
      </c>
      <c r="D133" s="1" t="s">
        <v>373</v>
      </c>
      <c r="E133" s="1" t="s">
        <v>1619</v>
      </c>
      <c r="F133" s="1" t="s">
        <v>1620</v>
      </c>
      <c r="G133" s="1" t="s">
        <v>421</v>
      </c>
      <c r="H133" s="1"/>
      <c r="I133" s="1"/>
      <c r="J133" s="1"/>
      <c r="K133" s="1"/>
      <c r="L133" s="1" t="s">
        <v>1603</v>
      </c>
      <c r="M133" s="1">
        <v>1</v>
      </c>
      <c r="N133" s="1" t="s">
        <v>378</v>
      </c>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t="s">
        <v>427</v>
      </c>
      <c r="BL133" s="1"/>
      <c r="BM133" s="1"/>
      <c r="BN133" s="1"/>
      <c r="BO133" s="1"/>
      <c r="BP133" s="1"/>
      <c r="BQ133" s="1"/>
      <c r="BR133" s="1"/>
      <c r="BS133" s="1"/>
      <c r="BT133" s="1"/>
      <c r="BU133" s="1"/>
      <c r="BV133" s="1"/>
      <c r="BW133" s="1"/>
      <c r="BX133" s="1"/>
      <c r="BY133" s="1"/>
      <c r="BZ133" s="1"/>
      <c r="CA133" s="1"/>
      <c r="CB133" s="1"/>
      <c r="CC133" s="1"/>
      <c r="CD133" s="1"/>
    </row>
    <row r="134" spans="1:82" hidden="1">
      <c r="A134" s="1" t="s">
        <v>1621</v>
      </c>
      <c r="B134" s="1" t="s">
        <v>1622</v>
      </c>
      <c r="C134" s="1" t="s">
        <v>784</v>
      </c>
      <c r="D134" s="1" t="s">
        <v>373</v>
      </c>
      <c r="E134" s="111" t="s">
        <v>1623</v>
      </c>
      <c r="F134" s="1"/>
      <c r="G134" s="1" t="s">
        <v>421</v>
      </c>
      <c r="H134" s="1"/>
      <c r="I134" s="1"/>
      <c r="J134" s="1"/>
      <c r="K134" s="1"/>
      <c r="L134" s="1" t="s">
        <v>1603</v>
      </c>
      <c r="M134" s="1">
        <v>1</v>
      </c>
      <c r="N134" s="1" t="s">
        <v>378</v>
      </c>
      <c r="O134" s="1" t="s">
        <v>1624</v>
      </c>
      <c r="P134" s="1" t="s">
        <v>1625</v>
      </c>
      <c r="Q134" s="1" t="s">
        <v>1626</v>
      </c>
      <c r="R134" s="1" t="s">
        <v>1627</v>
      </c>
      <c r="S134" s="1"/>
      <c r="T134" s="1" t="s">
        <v>754</v>
      </c>
      <c r="U134" s="1" t="s">
        <v>1628</v>
      </c>
      <c r="V134" s="1"/>
      <c r="W134" s="1"/>
      <c r="X134" s="1"/>
      <c r="Y134" s="1"/>
      <c r="Z134" s="1"/>
      <c r="AA134" s="1"/>
      <c r="AB134" s="1"/>
      <c r="AC134" s="1"/>
      <c r="AD134" s="1"/>
      <c r="AE134" s="1"/>
      <c r="AF134" s="1"/>
      <c r="AG134" s="1"/>
      <c r="AH134" s="1" t="s">
        <v>412</v>
      </c>
      <c r="AI134" s="111">
        <v>309.60000000000002</v>
      </c>
      <c r="AJ134" s="112">
        <v>40.5</v>
      </c>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t="s">
        <v>391</v>
      </c>
      <c r="BL134" s="1"/>
      <c r="BM134" s="1"/>
      <c r="BN134" s="1"/>
      <c r="BO134" s="1"/>
      <c r="BP134" s="1" t="s">
        <v>396</v>
      </c>
      <c r="BQ134" s="1"/>
      <c r="BR134" s="1"/>
      <c r="BS134" s="1"/>
      <c r="BT134" s="1"/>
      <c r="BU134" s="1"/>
      <c r="BV134" s="1"/>
      <c r="BW134" s="1"/>
      <c r="BX134" s="1"/>
      <c r="BY134" s="1"/>
      <c r="BZ134" s="1"/>
      <c r="CA134" s="1"/>
      <c r="CB134" s="1"/>
      <c r="CC134" s="1"/>
      <c r="CD134" s="1"/>
    </row>
    <row r="135" spans="1:82" hidden="1">
      <c r="A135" s="1" t="s">
        <v>1629</v>
      </c>
      <c r="B135" s="1"/>
      <c r="C135" s="1" t="s">
        <v>784</v>
      </c>
      <c r="D135" s="1" t="s">
        <v>373</v>
      </c>
      <c r="E135" s="1"/>
      <c r="F135" s="1"/>
      <c r="G135" s="1" t="s">
        <v>421</v>
      </c>
      <c r="H135" s="1"/>
      <c r="I135" s="1"/>
      <c r="J135" s="1"/>
      <c r="K135" s="1"/>
      <c r="L135" s="1" t="s">
        <v>1603</v>
      </c>
      <c r="M135" s="1">
        <v>1</v>
      </c>
      <c r="N135" s="1" t="s">
        <v>378</v>
      </c>
      <c r="O135" s="1"/>
      <c r="P135" s="1"/>
      <c r="Q135" s="1"/>
      <c r="R135" s="1"/>
      <c r="S135" s="1"/>
      <c r="T135" s="1"/>
      <c r="U135" s="1"/>
      <c r="V135" s="1"/>
      <c r="W135" s="1"/>
      <c r="X135" s="1"/>
      <c r="Y135" s="1"/>
      <c r="Z135" s="1"/>
      <c r="AA135" s="1"/>
      <c r="AB135" s="1"/>
      <c r="AC135" s="1" t="s">
        <v>410</v>
      </c>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t="s">
        <v>391</v>
      </c>
      <c r="BL135" s="1"/>
      <c r="BM135" s="1"/>
      <c r="BN135" s="1"/>
      <c r="BO135" s="1"/>
      <c r="BP135" s="1"/>
      <c r="BQ135" s="1"/>
      <c r="BR135" s="1"/>
      <c r="BS135" s="1"/>
      <c r="BT135" s="1"/>
      <c r="BU135" s="1"/>
      <c r="BV135" s="1"/>
      <c r="BW135" s="1"/>
      <c r="BX135" s="1"/>
      <c r="BY135" s="1"/>
      <c r="BZ135" s="1"/>
      <c r="CA135" s="1"/>
      <c r="CB135" s="1"/>
      <c r="CC135" s="1"/>
      <c r="CD135" s="1"/>
    </row>
    <row r="136" spans="1:82" hidden="1">
      <c r="A136" s="1" t="s">
        <v>1630</v>
      </c>
      <c r="B136" s="1" t="s">
        <v>1631</v>
      </c>
      <c r="C136" s="1" t="s">
        <v>410</v>
      </c>
      <c r="D136" s="1" t="s">
        <v>373</v>
      </c>
      <c r="E136" s="1" t="s">
        <v>1632</v>
      </c>
      <c r="F136" s="1" t="s">
        <v>1633</v>
      </c>
      <c r="G136" s="1" t="s">
        <v>443</v>
      </c>
      <c r="H136" s="1" t="s">
        <v>1634</v>
      </c>
      <c r="I136" s="1"/>
      <c r="J136" s="1"/>
      <c r="K136" s="1"/>
      <c r="L136" s="1" t="s">
        <v>1603</v>
      </c>
      <c r="M136" s="1">
        <v>1</v>
      </c>
      <c r="N136" s="1" t="s">
        <v>378</v>
      </c>
      <c r="O136" s="1"/>
      <c r="P136" s="1"/>
      <c r="Q136" s="1"/>
      <c r="R136" s="1"/>
      <c r="S136" s="1"/>
      <c r="T136" s="1"/>
      <c r="U136" s="1"/>
      <c r="V136" s="1"/>
      <c r="W136" s="1"/>
      <c r="X136" s="1"/>
      <c r="Y136" s="1"/>
      <c r="Z136" s="1"/>
      <c r="AA136" s="1"/>
      <c r="AB136" s="1"/>
      <c r="AC136" s="1" t="s">
        <v>410</v>
      </c>
      <c r="AD136" s="1"/>
      <c r="AE136" s="1"/>
      <c r="AF136" s="1"/>
      <c r="AG136" s="1"/>
      <c r="AH136" s="1"/>
      <c r="AI136" s="1"/>
      <c r="AJ136" s="1"/>
      <c r="AK136" s="1"/>
      <c r="AL136" s="1"/>
      <c r="AM136" s="1"/>
      <c r="AN136" s="1" t="s">
        <v>433</v>
      </c>
      <c r="AO136" s="1"/>
      <c r="AP136" s="1"/>
      <c r="AQ136" s="1"/>
      <c r="AR136" s="1"/>
      <c r="AS136" s="1"/>
      <c r="AT136" s="1"/>
      <c r="AU136" s="1"/>
      <c r="AV136" s="1"/>
      <c r="AW136" s="1"/>
      <c r="AX136" s="1"/>
      <c r="AY136" s="1"/>
      <c r="AZ136" s="1"/>
      <c r="BA136" s="1"/>
      <c r="BB136" s="1"/>
      <c r="BC136" s="1"/>
      <c r="BD136" s="1"/>
      <c r="BE136" s="1"/>
      <c r="BF136" s="1"/>
      <c r="BG136" s="1"/>
      <c r="BH136" s="1"/>
      <c r="BI136" s="1"/>
      <c r="BJ136" s="1"/>
      <c r="BK136" s="1" t="s">
        <v>391</v>
      </c>
      <c r="BL136" s="1"/>
      <c r="BM136" s="1"/>
      <c r="BN136" s="1"/>
      <c r="BO136" s="1"/>
      <c r="BP136" s="1" t="s">
        <v>396</v>
      </c>
      <c r="BQ136" s="1"/>
      <c r="BR136" s="1"/>
      <c r="BS136" s="1"/>
      <c r="BT136" s="1"/>
      <c r="BU136" s="1"/>
      <c r="BV136" s="1"/>
      <c r="BW136" s="1"/>
      <c r="BX136" s="1"/>
      <c r="BY136" s="1"/>
      <c r="BZ136" s="1"/>
      <c r="CA136" s="1"/>
      <c r="CB136" s="1"/>
      <c r="CC136" s="1"/>
      <c r="CD136" s="1"/>
    </row>
    <row r="137" spans="1:82" hidden="1">
      <c r="A137" s="1" t="s">
        <v>1635</v>
      </c>
      <c r="B137" s="1"/>
      <c r="C137" s="1" t="s">
        <v>410</v>
      </c>
      <c r="D137" s="1" t="s">
        <v>373</v>
      </c>
      <c r="E137" s="1"/>
      <c r="F137" s="1"/>
      <c r="G137" s="1" t="s">
        <v>443</v>
      </c>
      <c r="H137" s="1"/>
      <c r="I137" s="1"/>
      <c r="J137" s="1"/>
      <c r="K137" s="1"/>
      <c r="L137" s="1" t="s">
        <v>1603</v>
      </c>
      <c r="M137" s="1">
        <v>1</v>
      </c>
      <c r="N137" s="1" t="s">
        <v>378</v>
      </c>
      <c r="O137" s="1"/>
      <c r="P137" s="1"/>
      <c r="Q137" s="1"/>
      <c r="R137" s="1"/>
      <c r="S137" s="1"/>
      <c r="T137" s="1"/>
      <c r="U137" s="1"/>
      <c r="V137" s="1"/>
      <c r="W137" s="1"/>
      <c r="X137" s="1"/>
      <c r="Y137" s="1"/>
      <c r="Z137" s="1"/>
      <c r="AA137" s="1"/>
      <c r="AB137" s="1"/>
      <c r="AC137" s="1" t="s">
        <v>410</v>
      </c>
      <c r="AD137" s="1"/>
      <c r="AE137" s="1"/>
      <c r="AF137" s="1"/>
      <c r="AG137" s="1"/>
      <c r="AH137" s="1"/>
      <c r="AI137" s="1"/>
      <c r="AJ137" s="1"/>
      <c r="AK137" s="1"/>
      <c r="AL137" s="1"/>
      <c r="AM137" s="1"/>
      <c r="AN137" s="1" t="s">
        <v>433</v>
      </c>
      <c r="AO137" s="1"/>
      <c r="AP137" s="1"/>
      <c r="AQ137" s="1"/>
      <c r="AR137" s="1"/>
      <c r="AS137" s="1"/>
      <c r="AT137" s="1"/>
      <c r="AU137" s="1"/>
      <c r="AV137" s="1"/>
      <c r="AW137" s="1"/>
      <c r="AX137" s="1"/>
      <c r="AY137" s="1"/>
      <c r="AZ137" s="1"/>
      <c r="BA137" s="1"/>
      <c r="BB137" s="1"/>
      <c r="BC137" s="1"/>
      <c r="BD137" s="1"/>
      <c r="BE137" s="1"/>
      <c r="BF137" s="1"/>
      <c r="BG137" s="1"/>
      <c r="BH137" s="1"/>
      <c r="BI137" s="1"/>
      <c r="BJ137" s="1"/>
      <c r="BK137" s="1" t="s">
        <v>391</v>
      </c>
      <c r="BL137" s="1"/>
      <c r="BM137" s="1"/>
      <c r="BN137" s="1"/>
      <c r="BO137" s="1"/>
      <c r="BP137" s="1" t="s">
        <v>396</v>
      </c>
      <c r="BQ137" s="1"/>
      <c r="BR137" s="1"/>
      <c r="BS137" s="1"/>
      <c r="BT137" s="1"/>
      <c r="BU137" s="1"/>
      <c r="BV137" s="1"/>
      <c r="BW137" s="1"/>
      <c r="BX137" s="1"/>
      <c r="BY137" s="1"/>
      <c r="BZ137" s="1"/>
      <c r="CA137" s="1"/>
      <c r="CB137" s="1"/>
      <c r="CC137" s="1"/>
      <c r="CD137" s="1"/>
    </row>
    <row r="138" spans="1:82" hidden="1">
      <c r="A138" s="1" t="s">
        <v>1636</v>
      </c>
      <c r="B138" s="1"/>
      <c r="C138" s="1" t="s">
        <v>410</v>
      </c>
      <c r="D138" s="1" t="s">
        <v>373</v>
      </c>
      <c r="E138" s="1" t="s">
        <v>1637</v>
      </c>
      <c r="F138" s="1" t="s">
        <v>1638</v>
      </c>
      <c r="G138" s="1" t="s">
        <v>443</v>
      </c>
      <c r="H138" s="1" t="s">
        <v>1639</v>
      </c>
      <c r="I138" s="1">
        <v>-22.721802</v>
      </c>
      <c r="J138" s="1">
        <v>43.541913000000001</v>
      </c>
      <c r="K138" s="1"/>
      <c r="L138" s="1" t="s">
        <v>1603</v>
      </c>
      <c r="M138" s="1">
        <v>1</v>
      </c>
      <c r="N138" s="1" t="s">
        <v>378</v>
      </c>
      <c r="O138" s="1"/>
      <c r="P138" s="1"/>
      <c r="Q138" s="1"/>
      <c r="R138" s="1"/>
      <c r="S138" s="1"/>
      <c r="T138" s="1"/>
      <c r="U138" s="1"/>
      <c r="V138" s="1"/>
      <c r="W138" s="1"/>
      <c r="X138" s="1"/>
      <c r="Y138" s="1"/>
      <c r="Z138" s="1"/>
      <c r="AA138" s="1"/>
      <c r="AB138" s="1"/>
      <c r="AC138" s="1" t="s">
        <v>410</v>
      </c>
      <c r="AD138" s="1"/>
      <c r="AE138" s="1"/>
      <c r="AF138" s="1"/>
      <c r="AG138" s="1"/>
      <c r="AH138" s="1"/>
      <c r="AI138" s="1"/>
      <c r="AJ138" s="1"/>
      <c r="AK138" s="1"/>
      <c r="AL138" s="1"/>
      <c r="AM138" s="1"/>
      <c r="AN138" s="1" t="s">
        <v>433</v>
      </c>
      <c r="AO138" s="1"/>
      <c r="AP138" s="1"/>
      <c r="AQ138" s="1"/>
      <c r="AR138" s="1"/>
      <c r="AS138" s="1"/>
      <c r="AT138" s="1"/>
      <c r="AU138" s="1"/>
      <c r="AV138" s="1"/>
      <c r="AW138" s="1"/>
      <c r="AX138" s="1"/>
      <c r="AY138" s="1"/>
      <c r="AZ138" s="1"/>
      <c r="BA138" s="1"/>
      <c r="BB138" s="1"/>
      <c r="BC138" s="1"/>
      <c r="BD138" s="1"/>
      <c r="BE138" s="1"/>
      <c r="BF138" s="1"/>
      <c r="BG138" s="1"/>
      <c r="BH138" s="1"/>
      <c r="BI138" s="1"/>
      <c r="BJ138" s="1"/>
      <c r="BK138" s="1" t="s">
        <v>391</v>
      </c>
      <c r="BL138" s="1"/>
      <c r="BM138" s="1"/>
      <c r="BN138" s="1"/>
      <c r="BO138" s="1"/>
      <c r="BP138" s="1" t="s">
        <v>396</v>
      </c>
      <c r="BQ138" s="1"/>
      <c r="BR138" s="1"/>
      <c r="BS138" s="1"/>
      <c r="BT138" s="1"/>
      <c r="BU138" s="1"/>
      <c r="BV138" s="1"/>
      <c r="BW138" s="1"/>
      <c r="BX138" s="1"/>
      <c r="BY138" s="1"/>
      <c r="BZ138" s="1"/>
      <c r="CA138" s="1"/>
      <c r="CB138" s="1"/>
      <c r="CC138" s="1"/>
      <c r="CD138" s="1"/>
    </row>
    <row r="139" spans="1:82" hidden="1">
      <c r="A139" s="1" t="s">
        <v>1640</v>
      </c>
      <c r="B139" s="1" t="s">
        <v>1641</v>
      </c>
      <c r="C139" s="1" t="s">
        <v>784</v>
      </c>
      <c r="D139" s="1" t="s">
        <v>373</v>
      </c>
      <c r="E139" s="1"/>
      <c r="F139" s="1"/>
      <c r="G139" s="1" t="s">
        <v>421</v>
      </c>
      <c r="H139" s="1"/>
      <c r="I139" s="1"/>
      <c r="J139" s="1"/>
      <c r="K139" s="1"/>
      <c r="L139" s="1" t="s">
        <v>1603</v>
      </c>
      <c r="M139" s="1">
        <v>1</v>
      </c>
      <c r="N139" s="1" t="s">
        <v>378</v>
      </c>
      <c r="O139" s="1"/>
      <c r="P139" s="1"/>
      <c r="Q139" s="1"/>
      <c r="R139" s="1"/>
      <c r="S139" s="1"/>
      <c r="T139" s="1"/>
      <c r="U139" s="1"/>
      <c r="V139" s="1"/>
      <c r="W139" s="1"/>
      <c r="X139" s="1"/>
      <c r="Y139" s="1"/>
      <c r="Z139" s="1"/>
      <c r="AA139" s="1"/>
      <c r="AB139" s="1"/>
      <c r="AC139" s="1" t="s">
        <v>410</v>
      </c>
      <c r="AD139" s="1"/>
      <c r="AE139" s="1"/>
      <c r="AF139" s="1"/>
      <c r="AG139" s="1"/>
      <c r="AH139" s="1"/>
      <c r="AI139" s="1"/>
      <c r="AJ139" s="1"/>
      <c r="AK139" s="1"/>
      <c r="AL139" s="1"/>
      <c r="AM139" s="1"/>
      <c r="AN139" s="1" t="s">
        <v>433</v>
      </c>
      <c r="AO139" s="1"/>
      <c r="AP139" s="1"/>
      <c r="AQ139" s="1"/>
      <c r="AR139" s="1"/>
      <c r="AS139" s="1"/>
      <c r="AT139" s="1"/>
      <c r="AU139" s="1"/>
      <c r="AV139" s="1"/>
      <c r="AW139" s="1"/>
      <c r="AX139" s="1"/>
      <c r="AY139" s="1"/>
      <c r="AZ139" s="1"/>
      <c r="BA139" s="1"/>
      <c r="BB139" s="1"/>
      <c r="BC139" s="1"/>
      <c r="BD139" s="1"/>
      <c r="BE139" s="1"/>
      <c r="BF139" s="1"/>
      <c r="BG139" s="1"/>
      <c r="BH139" s="1"/>
      <c r="BI139" s="1"/>
      <c r="BJ139" s="1"/>
      <c r="BK139" s="1" t="s">
        <v>391</v>
      </c>
      <c r="BL139" s="1"/>
      <c r="BM139" s="1"/>
      <c r="BN139" s="1"/>
      <c r="BO139" s="1"/>
      <c r="BP139" s="1" t="s">
        <v>396</v>
      </c>
      <c r="BQ139" s="1"/>
      <c r="BR139" s="1"/>
      <c r="BS139" s="1"/>
      <c r="BT139" s="1"/>
      <c r="BU139" s="1"/>
      <c r="BV139" s="1"/>
      <c r="BW139" s="1"/>
      <c r="BX139" s="1"/>
      <c r="BY139" s="1"/>
      <c r="BZ139" s="1"/>
      <c r="CA139" s="1"/>
      <c r="CB139" s="1"/>
      <c r="CC139" s="1"/>
      <c r="CD139" s="1"/>
    </row>
    <row r="140" spans="1:82" hidden="1">
      <c r="A140" s="1" t="s">
        <v>1642</v>
      </c>
      <c r="B140" s="1" t="s">
        <v>1643</v>
      </c>
      <c r="C140" s="1" t="s">
        <v>410</v>
      </c>
      <c r="D140" s="1" t="s">
        <v>373</v>
      </c>
      <c r="E140" s="1"/>
      <c r="F140" s="1"/>
      <c r="G140" s="1" t="s">
        <v>421</v>
      </c>
      <c r="H140" s="1"/>
      <c r="I140" s="1"/>
      <c r="J140" s="1"/>
      <c r="K140" s="1"/>
      <c r="L140" s="1" t="s">
        <v>1603</v>
      </c>
      <c r="M140" s="1">
        <v>1</v>
      </c>
      <c r="N140" s="1" t="s">
        <v>378</v>
      </c>
      <c r="O140" s="1"/>
      <c r="P140" s="1"/>
      <c r="Q140" s="1"/>
      <c r="R140" s="1"/>
      <c r="S140" s="1"/>
      <c r="T140" s="1"/>
      <c r="U140" s="1"/>
      <c r="V140" s="1"/>
      <c r="W140" s="1"/>
      <c r="X140" s="1"/>
      <c r="Y140" s="1"/>
      <c r="Z140" s="1"/>
      <c r="AA140" s="1"/>
      <c r="AB140" s="1"/>
      <c r="AC140" s="1" t="s">
        <v>410</v>
      </c>
      <c r="AD140" s="1"/>
      <c r="AE140" s="1"/>
      <c r="AF140" s="1"/>
      <c r="AG140" s="1"/>
      <c r="AH140" s="1"/>
      <c r="AI140" s="1"/>
      <c r="AJ140" s="1"/>
      <c r="AK140" s="1"/>
      <c r="AL140" s="1"/>
      <c r="AM140" s="1"/>
      <c r="AN140" s="1" t="s">
        <v>433</v>
      </c>
      <c r="AO140" s="1"/>
      <c r="AP140" s="1"/>
      <c r="AQ140" s="1"/>
      <c r="AR140" s="1"/>
      <c r="AS140" s="1"/>
      <c r="AT140" s="1"/>
      <c r="AU140" s="1"/>
      <c r="AV140" s="1"/>
      <c r="AW140" s="1"/>
      <c r="AX140" s="1"/>
      <c r="AY140" s="1"/>
      <c r="AZ140" s="1"/>
      <c r="BA140" s="1"/>
      <c r="BB140" s="1"/>
      <c r="BC140" s="1"/>
      <c r="BD140" s="1"/>
      <c r="BE140" s="1"/>
      <c r="BF140" s="1"/>
      <c r="BG140" s="1"/>
      <c r="BH140" s="1"/>
      <c r="BI140" s="1"/>
      <c r="BJ140" s="1"/>
      <c r="BK140" s="1" t="s">
        <v>391</v>
      </c>
      <c r="BL140" s="1"/>
      <c r="BM140" s="1"/>
      <c r="BN140" s="1"/>
      <c r="BO140" s="1"/>
      <c r="BP140" s="1" t="s">
        <v>396</v>
      </c>
      <c r="BQ140" s="1"/>
      <c r="BR140" s="1"/>
      <c r="BS140" s="1"/>
      <c r="BT140" s="1"/>
      <c r="BU140" s="1"/>
      <c r="BV140" s="1"/>
      <c r="BW140" s="1"/>
      <c r="BX140" s="1"/>
      <c r="BY140" s="1"/>
      <c r="BZ140" s="1"/>
      <c r="CA140" s="1"/>
      <c r="CB140" s="1"/>
      <c r="CC140" s="1"/>
      <c r="CD140" s="1"/>
    </row>
    <row r="141" spans="1:82" hidden="1">
      <c r="A141" s="1" t="s">
        <v>1644</v>
      </c>
      <c r="B141" s="1"/>
      <c r="C141" s="1" t="s">
        <v>410</v>
      </c>
      <c r="D141" s="1" t="s">
        <v>373</v>
      </c>
      <c r="E141" s="1"/>
      <c r="F141" s="1"/>
      <c r="G141" s="1" t="s">
        <v>576</v>
      </c>
      <c r="H141" s="1"/>
      <c r="I141" s="1"/>
      <c r="J141" s="1"/>
      <c r="K141" s="1"/>
      <c r="L141" s="1" t="s">
        <v>1603</v>
      </c>
      <c r="M141" s="1">
        <v>1</v>
      </c>
      <c r="N141" s="1" t="s">
        <v>378</v>
      </c>
      <c r="O141" s="1"/>
      <c r="P141" s="1"/>
      <c r="Q141" s="1"/>
      <c r="R141" s="1"/>
      <c r="S141" s="1"/>
      <c r="T141" s="1"/>
      <c r="U141" s="1"/>
      <c r="V141" s="1"/>
      <c r="W141" s="1"/>
      <c r="X141" s="1"/>
      <c r="Y141" s="1"/>
      <c r="Z141" s="1"/>
      <c r="AA141" s="1"/>
      <c r="AB141" s="1"/>
      <c r="AC141" s="1" t="s">
        <v>410</v>
      </c>
      <c r="AD141" s="1"/>
      <c r="AE141" s="1"/>
      <c r="AF141" s="1"/>
      <c r="AG141" s="1"/>
      <c r="AH141" s="1"/>
      <c r="AI141" s="1"/>
      <c r="AJ141" s="1"/>
      <c r="AK141" s="1"/>
      <c r="AL141" s="1"/>
      <c r="AM141" s="1"/>
      <c r="AN141" s="1" t="s">
        <v>433</v>
      </c>
      <c r="AO141" s="1"/>
      <c r="AP141" s="1"/>
      <c r="AQ141" s="1"/>
      <c r="AR141" s="1"/>
      <c r="AS141" s="1"/>
      <c r="AT141" s="1"/>
      <c r="AU141" s="1"/>
      <c r="AV141" s="1"/>
      <c r="AW141" s="1"/>
      <c r="AX141" s="1"/>
      <c r="AY141" s="1"/>
      <c r="AZ141" s="1"/>
      <c r="BA141" s="1"/>
      <c r="BB141" s="1"/>
      <c r="BC141" s="1"/>
      <c r="BD141" s="1"/>
      <c r="BE141" s="1"/>
      <c r="BF141" s="1"/>
      <c r="BG141" s="1"/>
      <c r="BH141" s="1"/>
      <c r="BI141" s="1"/>
      <c r="BJ141" s="1"/>
      <c r="BK141" s="1" t="s">
        <v>391</v>
      </c>
      <c r="BL141" s="1"/>
      <c r="BM141" s="1"/>
      <c r="BN141" s="1"/>
      <c r="BO141" s="1"/>
      <c r="BP141" s="1" t="s">
        <v>396</v>
      </c>
      <c r="BQ141" s="1"/>
      <c r="BR141" s="1"/>
      <c r="BS141" s="1"/>
      <c r="BT141" s="1"/>
      <c r="BU141" s="1"/>
      <c r="BV141" s="1"/>
      <c r="BW141" s="1"/>
      <c r="BX141" s="1"/>
      <c r="BY141" s="1"/>
      <c r="BZ141" s="1"/>
      <c r="CA141" s="1"/>
      <c r="CB141" s="1"/>
      <c r="CC141" s="1"/>
      <c r="CD141" s="1"/>
    </row>
    <row r="142" spans="1:82" hidden="1">
      <c r="A142" s="1" t="s">
        <v>1645</v>
      </c>
      <c r="B142" s="1" t="s">
        <v>1646</v>
      </c>
      <c r="C142" s="1" t="s">
        <v>410</v>
      </c>
      <c r="D142" s="1" t="s">
        <v>373</v>
      </c>
      <c r="E142" s="1"/>
      <c r="F142" s="1"/>
      <c r="G142" s="1" t="s">
        <v>443</v>
      </c>
      <c r="H142" s="1"/>
      <c r="I142" s="1"/>
      <c r="J142" s="1"/>
      <c r="K142" s="1"/>
      <c r="L142" s="1" t="s">
        <v>1603</v>
      </c>
      <c r="M142" s="1">
        <v>1</v>
      </c>
      <c r="N142" s="1" t="s">
        <v>378</v>
      </c>
      <c r="O142" s="1"/>
      <c r="P142" s="1"/>
      <c r="Q142" s="1"/>
      <c r="R142" s="1"/>
      <c r="S142" s="1"/>
      <c r="T142" s="1"/>
      <c r="U142" s="1"/>
      <c r="V142" s="1"/>
      <c r="W142" s="1"/>
      <c r="X142" s="1"/>
      <c r="Y142" s="1"/>
      <c r="Z142" s="1"/>
      <c r="AA142" s="1"/>
      <c r="AB142" s="1"/>
      <c r="AC142" s="1" t="s">
        <v>410</v>
      </c>
      <c r="AD142" s="1"/>
      <c r="AE142" s="1"/>
      <c r="AF142" s="1"/>
      <c r="AG142" s="1"/>
      <c r="AH142" s="1"/>
      <c r="AI142" s="1"/>
      <c r="AJ142" s="1"/>
      <c r="AK142" s="1"/>
      <c r="AL142" s="1"/>
      <c r="AM142" s="1"/>
      <c r="AN142" s="1" t="s">
        <v>433</v>
      </c>
      <c r="AO142" s="1"/>
      <c r="AP142" s="1"/>
      <c r="AQ142" s="1"/>
      <c r="AR142" s="1"/>
      <c r="AS142" s="1"/>
      <c r="AT142" s="1"/>
      <c r="AU142" s="1"/>
      <c r="AV142" s="1"/>
      <c r="AW142" s="1"/>
      <c r="AX142" s="1"/>
      <c r="AY142" s="1"/>
      <c r="AZ142" s="1"/>
      <c r="BA142" s="1"/>
      <c r="BB142" s="1"/>
      <c r="BC142" s="1"/>
      <c r="BD142" s="1"/>
      <c r="BE142" s="1"/>
      <c r="BF142" s="1"/>
      <c r="BG142" s="1"/>
      <c r="BH142" s="1"/>
      <c r="BI142" s="1"/>
      <c r="BJ142" s="1"/>
      <c r="BK142" s="1" t="s">
        <v>391</v>
      </c>
      <c r="BL142" s="1"/>
      <c r="BM142" s="1"/>
      <c r="BN142" s="1"/>
      <c r="BO142" s="1"/>
      <c r="BP142" s="1" t="s">
        <v>396</v>
      </c>
      <c r="BQ142" s="1"/>
      <c r="BR142" s="1"/>
      <c r="BS142" s="1"/>
      <c r="BT142" s="1"/>
      <c r="BU142" s="1"/>
      <c r="BV142" s="1"/>
      <c r="BW142" s="1"/>
      <c r="BX142" s="1"/>
      <c r="BY142" s="1"/>
      <c r="BZ142" s="1"/>
      <c r="CA142" s="1"/>
      <c r="CB142" s="1"/>
      <c r="CC142" s="1"/>
      <c r="CD142" s="1"/>
    </row>
    <row r="143" spans="1:82" hidden="1">
      <c r="A143" s="1" t="s">
        <v>1647</v>
      </c>
      <c r="B143" s="1" t="s">
        <v>1648</v>
      </c>
      <c r="C143" s="1" t="s">
        <v>410</v>
      </c>
      <c r="D143" s="1" t="s">
        <v>373</v>
      </c>
      <c r="E143" s="1"/>
      <c r="F143" s="1"/>
      <c r="G143" s="1" t="s">
        <v>443</v>
      </c>
      <c r="H143" s="1"/>
      <c r="I143" s="1"/>
      <c r="J143" s="1"/>
      <c r="K143" s="1"/>
      <c r="L143" s="1" t="s">
        <v>1603</v>
      </c>
      <c r="M143" s="1">
        <v>1</v>
      </c>
      <c r="N143" s="1" t="s">
        <v>378</v>
      </c>
      <c r="O143" s="1" t="s">
        <v>1649</v>
      </c>
      <c r="P143" s="1" t="s">
        <v>1650</v>
      </c>
      <c r="Q143" s="1" t="s">
        <v>404</v>
      </c>
      <c r="R143" s="1" t="s">
        <v>1312</v>
      </c>
      <c r="S143" s="1"/>
      <c r="T143" s="1" t="s">
        <v>1559</v>
      </c>
      <c r="U143" s="1" t="s">
        <v>1651</v>
      </c>
      <c r="V143" s="1" t="s">
        <v>1315</v>
      </c>
      <c r="W143" s="1" t="s">
        <v>1315</v>
      </c>
      <c r="X143" s="1" t="s">
        <v>1355</v>
      </c>
      <c r="Y143" s="1"/>
      <c r="Z143" s="1" t="s">
        <v>1357</v>
      </c>
      <c r="AA143" s="1">
        <v>2</v>
      </c>
      <c r="AB143" s="1" t="s">
        <v>1652</v>
      </c>
      <c r="AC143" s="1" t="s">
        <v>410</v>
      </c>
      <c r="AD143" s="1"/>
      <c r="AE143" s="1"/>
      <c r="AF143" s="1"/>
      <c r="AG143" s="1"/>
      <c r="AH143" s="1"/>
      <c r="AI143" s="1"/>
      <c r="AJ143" s="1"/>
      <c r="AK143" s="1"/>
      <c r="AL143" s="1"/>
      <c r="AM143" s="1"/>
      <c r="AN143" s="1" t="s">
        <v>433</v>
      </c>
      <c r="AO143" s="1"/>
      <c r="AP143" s="1"/>
      <c r="AQ143" s="1"/>
      <c r="AR143" s="1"/>
      <c r="AS143" s="1"/>
      <c r="AT143" s="1"/>
      <c r="AU143" s="1"/>
      <c r="AV143" s="1"/>
      <c r="AW143" s="1"/>
      <c r="AX143" s="1"/>
      <c r="AY143" s="1"/>
      <c r="AZ143" s="1"/>
      <c r="BA143" s="1"/>
      <c r="BB143" s="1"/>
      <c r="BC143" s="1"/>
      <c r="BD143" s="1"/>
      <c r="BE143" s="1"/>
      <c r="BF143" s="1"/>
      <c r="BG143" s="1"/>
      <c r="BH143" s="1"/>
      <c r="BI143" s="1"/>
      <c r="BJ143" s="1"/>
      <c r="BK143" s="1" t="s">
        <v>391</v>
      </c>
      <c r="BL143" s="1"/>
      <c r="BM143" s="1"/>
      <c r="BN143" s="1"/>
      <c r="BO143" s="1"/>
      <c r="BP143" s="1" t="s">
        <v>396</v>
      </c>
      <c r="BQ143" s="1"/>
      <c r="BR143" s="1"/>
      <c r="BS143" s="1"/>
      <c r="BT143" s="1"/>
      <c r="BU143" s="1"/>
      <c r="BV143" s="1"/>
      <c r="BW143" s="1"/>
      <c r="BX143" s="1"/>
      <c r="BY143" s="1"/>
      <c r="BZ143" s="1"/>
      <c r="CA143" s="1"/>
      <c r="CB143" s="1"/>
      <c r="CC143" s="1"/>
      <c r="CD143" s="1"/>
    </row>
    <row r="144" spans="1:82" hidden="1">
      <c r="A144" s="1" t="s">
        <v>1653</v>
      </c>
      <c r="B144" s="1"/>
      <c r="C144" s="1" t="s">
        <v>784</v>
      </c>
      <c r="D144" s="1" t="s">
        <v>373</v>
      </c>
      <c r="E144" s="1"/>
      <c r="F144" s="1"/>
      <c r="G144" s="1" t="s">
        <v>443</v>
      </c>
      <c r="H144" s="1"/>
      <c r="I144" s="1"/>
      <c r="J144" s="1"/>
      <c r="K144" s="1"/>
      <c r="L144" s="1" t="s">
        <v>1603</v>
      </c>
      <c r="M144" s="1">
        <v>1</v>
      </c>
      <c r="N144" s="1" t="s">
        <v>378</v>
      </c>
      <c r="O144" s="1"/>
      <c r="P144" s="1"/>
      <c r="Q144" s="1"/>
      <c r="R144" s="1"/>
      <c r="S144" s="1"/>
      <c r="T144" s="1"/>
      <c r="U144" s="1"/>
      <c r="V144" s="1"/>
      <c r="W144" s="1"/>
      <c r="X144" s="1"/>
      <c r="Y144" s="1"/>
      <c r="Z144" s="1"/>
      <c r="AA144" s="1"/>
      <c r="AB144" s="1"/>
      <c r="AC144" s="1" t="s">
        <v>410</v>
      </c>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t="s">
        <v>391</v>
      </c>
      <c r="BL144" s="1"/>
      <c r="BM144" s="1"/>
      <c r="BN144" s="1"/>
      <c r="BO144" s="1"/>
      <c r="BP144" s="1"/>
      <c r="BQ144" s="1"/>
      <c r="BR144" s="1"/>
      <c r="BS144" s="1"/>
      <c r="BT144" s="1"/>
      <c r="BU144" s="1"/>
      <c r="BV144" s="1"/>
      <c r="BW144" s="1"/>
      <c r="BX144" s="1"/>
      <c r="BY144" s="1"/>
      <c r="BZ144" s="1"/>
      <c r="CA144" s="1"/>
      <c r="CB144" s="1"/>
      <c r="CC144" s="1"/>
      <c r="CD144" s="1"/>
    </row>
    <row r="145" spans="1:82" hidden="1">
      <c r="A145" s="1" t="s">
        <v>1654</v>
      </c>
      <c r="B145" s="1"/>
      <c r="C145" s="1" t="s">
        <v>784</v>
      </c>
      <c r="D145" s="1" t="s">
        <v>373</v>
      </c>
      <c r="E145" s="1"/>
      <c r="F145" s="1"/>
      <c r="G145" s="1" t="s">
        <v>576</v>
      </c>
      <c r="H145" s="1"/>
      <c r="I145" s="1"/>
      <c r="J145" s="1"/>
      <c r="K145" s="1"/>
      <c r="L145" s="1" t="s">
        <v>1603</v>
      </c>
      <c r="M145" s="1">
        <v>1</v>
      </c>
      <c r="N145" s="1" t="s">
        <v>378</v>
      </c>
      <c r="O145" s="1"/>
      <c r="P145" s="1"/>
      <c r="Q145" s="1"/>
      <c r="R145" s="1"/>
      <c r="S145" s="1"/>
      <c r="T145" s="1"/>
      <c r="U145" s="1"/>
      <c r="V145" s="1"/>
      <c r="W145" s="1"/>
      <c r="X145" s="1"/>
      <c r="Y145" s="1"/>
      <c r="Z145" s="1"/>
      <c r="AA145" s="1"/>
      <c r="AB145" s="1"/>
      <c r="AC145" s="1" t="s">
        <v>410</v>
      </c>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t="s">
        <v>391</v>
      </c>
      <c r="BL145" s="1"/>
      <c r="BM145" s="1"/>
      <c r="BN145" s="1"/>
      <c r="BO145" s="1"/>
      <c r="BP145" s="1"/>
      <c r="BQ145" s="1"/>
      <c r="BR145" s="1"/>
      <c r="BS145" s="1"/>
      <c r="BT145" s="1"/>
      <c r="BU145" s="1"/>
      <c r="BV145" s="1"/>
      <c r="BW145" s="1"/>
      <c r="BX145" s="1"/>
      <c r="BY145" s="1"/>
      <c r="BZ145" s="1"/>
      <c r="CA145" s="1"/>
      <c r="CB145" s="1"/>
      <c r="CC145" s="1"/>
      <c r="CD145" s="1"/>
    </row>
    <row r="146" spans="1:82" hidden="1">
      <c r="A146" s="1" t="s">
        <v>1655</v>
      </c>
      <c r="B146" s="1"/>
      <c r="C146" s="1" t="s">
        <v>410</v>
      </c>
      <c r="D146" s="1" t="s">
        <v>373</v>
      </c>
      <c r="E146" s="1"/>
      <c r="F146" s="1"/>
      <c r="G146" s="1" t="s">
        <v>576</v>
      </c>
      <c r="H146" s="1"/>
      <c r="I146" s="1"/>
      <c r="J146" s="1"/>
      <c r="K146" s="1"/>
      <c r="L146" s="1" t="s">
        <v>1603</v>
      </c>
      <c r="M146" s="1">
        <v>1</v>
      </c>
      <c r="N146" s="1" t="s">
        <v>378</v>
      </c>
      <c r="O146" s="1"/>
      <c r="P146" s="1"/>
      <c r="Q146" s="1"/>
      <c r="R146" s="1"/>
      <c r="S146" s="1"/>
      <c r="T146" s="1"/>
      <c r="U146" s="1"/>
      <c r="V146" s="1"/>
      <c r="W146" s="1"/>
      <c r="X146" s="1"/>
      <c r="Y146" s="1"/>
      <c r="Z146" s="1"/>
      <c r="AA146" s="1"/>
      <c r="AB146" s="1"/>
      <c r="AC146" s="1" t="s">
        <v>410</v>
      </c>
      <c r="AD146" s="1"/>
      <c r="AE146" s="1"/>
      <c r="AF146" s="1"/>
      <c r="AG146" s="1"/>
      <c r="AH146" s="1"/>
      <c r="AI146" s="1"/>
      <c r="AJ146" s="1"/>
      <c r="AK146" s="1"/>
      <c r="AL146" s="1"/>
      <c r="AM146" s="1"/>
      <c r="AN146" s="1" t="s">
        <v>433</v>
      </c>
      <c r="AO146" s="1"/>
      <c r="AP146" s="1"/>
      <c r="AQ146" s="1"/>
      <c r="AR146" s="1"/>
      <c r="AS146" s="1"/>
      <c r="AT146" s="1"/>
      <c r="AU146" s="1"/>
      <c r="AV146" s="1"/>
      <c r="AW146" s="1"/>
      <c r="AX146" s="1"/>
      <c r="AY146" s="1"/>
      <c r="AZ146" s="1"/>
      <c r="BA146" s="1"/>
      <c r="BB146" s="1"/>
      <c r="BC146" s="1"/>
      <c r="BD146" s="1"/>
      <c r="BE146" s="1"/>
      <c r="BF146" s="1"/>
      <c r="BG146" s="1"/>
      <c r="BH146" s="1"/>
      <c r="BI146" s="1"/>
      <c r="BJ146" s="1"/>
      <c r="BK146" s="1" t="s">
        <v>391</v>
      </c>
      <c r="BL146" s="1"/>
      <c r="BM146" s="1"/>
      <c r="BN146" s="1"/>
      <c r="BO146" s="1"/>
      <c r="BP146" s="1" t="s">
        <v>396</v>
      </c>
      <c r="BQ146" s="1"/>
      <c r="BR146" s="1"/>
      <c r="BS146" s="1"/>
      <c r="BT146" s="1"/>
      <c r="BU146" s="1"/>
      <c r="BV146" s="1"/>
      <c r="BW146" s="1"/>
      <c r="BX146" s="1"/>
      <c r="BY146" s="1"/>
      <c r="BZ146" s="1"/>
      <c r="CA146" s="1"/>
      <c r="CB146" s="1"/>
      <c r="CC146" s="1"/>
      <c r="CD146" s="1"/>
    </row>
    <row r="147" spans="1:82" hidden="1">
      <c r="A147" s="1" t="s">
        <v>1656</v>
      </c>
      <c r="B147" s="1"/>
      <c r="C147" s="1" t="s">
        <v>410</v>
      </c>
      <c r="D147" s="1" t="s">
        <v>373</v>
      </c>
      <c r="E147" s="1"/>
      <c r="F147" s="1"/>
      <c r="G147" s="1" t="s">
        <v>376</v>
      </c>
      <c r="H147" s="1"/>
      <c r="I147" s="1"/>
      <c r="J147" s="1"/>
      <c r="K147" s="1"/>
      <c r="L147" s="1" t="s">
        <v>1603</v>
      </c>
      <c r="M147" s="1">
        <v>1</v>
      </c>
      <c r="N147" s="1" t="s">
        <v>378</v>
      </c>
      <c r="O147" s="1"/>
      <c r="P147" s="1"/>
      <c r="Q147" s="1"/>
      <c r="R147" s="1"/>
      <c r="S147" s="1"/>
      <c r="T147" s="1"/>
      <c r="U147" s="1"/>
      <c r="V147" s="1"/>
      <c r="W147" s="1"/>
      <c r="X147" s="1"/>
      <c r="Y147" s="1"/>
      <c r="Z147" s="1"/>
      <c r="AA147" s="1"/>
      <c r="AB147" s="1"/>
      <c r="AC147" s="1" t="s">
        <v>410</v>
      </c>
      <c r="AD147" s="1"/>
      <c r="AE147" s="1"/>
      <c r="AF147" s="1"/>
      <c r="AG147" s="1"/>
      <c r="AH147" s="1"/>
      <c r="AI147" s="1"/>
      <c r="AJ147" s="1"/>
      <c r="AK147" s="1"/>
      <c r="AL147" s="1"/>
      <c r="AM147" s="1"/>
      <c r="AN147" s="1" t="s">
        <v>433</v>
      </c>
      <c r="AO147" s="1"/>
      <c r="AP147" s="1"/>
      <c r="AQ147" s="1"/>
      <c r="AR147" s="1"/>
      <c r="AS147" s="1"/>
      <c r="AT147" s="1"/>
      <c r="AU147" s="1"/>
      <c r="AV147" s="1"/>
      <c r="AW147" s="1"/>
      <c r="AX147" s="1"/>
      <c r="AY147" s="1"/>
      <c r="AZ147" s="1"/>
      <c r="BA147" s="1"/>
      <c r="BB147" s="1"/>
      <c r="BC147" s="1"/>
      <c r="BD147" s="1"/>
      <c r="BE147" s="1"/>
      <c r="BF147" s="1"/>
      <c r="BG147" s="1"/>
      <c r="BH147" s="1"/>
      <c r="BI147" s="1"/>
      <c r="BJ147" s="1"/>
      <c r="BK147" s="1" t="s">
        <v>391</v>
      </c>
      <c r="BL147" s="1"/>
      <c r="BM147" s="1"/>
      <c r="BN147" s="1"/>
      <c r="BO147" s="1"/>
      <c r="BP147" s="1" t="s">
        <v>396</v>
      </c>
      <c r="BQ147" s="1"/>
      <c r="BR147" s="1"/>
      <c r="BS147" s="1"/>
      <c r="BT147" s="1"/>
      <c r="BU147" s="1"/>
      <c r="BV147" s="1"/>
      <c r="BW147" s="1"/>
      <c r="BX147" s="1"/>
      <c r="BY147" s="1"/>
      <c r="BZ147" s="1"/>
      <c r="CA147" s="1"/>
      <c r="CB147" s="1"/>
      <c r="CC147" s="1"/>
      <c r="CD147" s="1"/>
    </row>
    <row r="148" spans="1:82" hidden="1">
      <c r="A148" s="1" t="s">
        <v>1049</v>
      </c>
      <c r="B148" s="1"/>
      <c r="C148" s="1" t="s">
        <v>410</v>
      </c>
      <c r="D148" s="1" t="s">
        <v>373</v>
      </c>
      <c r="E148" s="1"/>
      <c r="F148" s="1"/>
      <c r="G148" s="1" t="s">
        <v>421</v>
      </c>
      <c r="H148" s="1"/>
      <c r="I148" s="1"/>
      <c r="J148" s="1"/>
      <c r="K148" s="1"/>
      <c r="L148" s="1" t="s">
        <v>1603</v>
      </c>
      <c r="M148" s="1">
        <v>1</v>
      </c>
      <c r="N148" s="1" t="s">
        <v>378</v>
      </c>
      <c r="O148" s="1"/>
      <c r="P148" s="1"/>
      <c r="Q148" s="1"/>
      <c r="R148" s="1"/>
      <c r="S148" s="1"/>
      <c r="T148" s="1"/>
      <c r="U148" s="1"/>
      <c r="V148" s="1"/>
      <c r="W148" s="1"/>
      <c r="X148" s="1"/>
      <c r="Y148" s="1"/>
      <c r="Z148" s="1"/>
      <c r="AA148" s="1"/>
      <c r="AB148" s="1"/>
      <c r="AC148" s="1" t="s">
        <v>410</v>
      </c>
      <c r="AD148" s="1"/>
      <c r="AE148" s="1"/>
      <c r="AF148" s="1"/>
      <c r="AG148" s="1"/>
      <c r="AH148" s="1"/>
      <c r="AI148" s="1"/>
      <c r="AJ148" s="1"/>
      <c r="AK148" s="1"/>
      <c r="AL148" s="1"/>
      <c r="AM148" s="1"/>
      <c r="AN148" s="1" t="s">
        <v>433</v>
      </c>
      <c r="AO148" s="1"/>
      <c r="AP148" s="1"/>
      <c r="AQ148" s="1"/>
      <c r="AR148" s="1"/>
      <c r="AS148" s="1"/>
      <c r="AT148" s="1"/>
      <c r="AU148" s="1"/>
      <c r="AV148" s="1"/>
      <c r="AW148" s="1"/>
      <c r="AX148" s="1"/>
      <c r="AY148" s="1"/>
      <c r="AZ148" s="1"/>
      <c r="BA148" s="1"/>
      <c r="BB148" s="1"/>
      <c r="BC148" s="1"/>
      <c r="BD148" s="1"/>
      <c r="BE148" s="1"/>
      <c r="BF148" s="1"/>
      <c r="BG148" s="1"/>
      <c r="BH148" s="1"/>
      <c r="BI148" s="1"/>
      <c r="BJ148" s="1"/>
      <c r="BK148" s="1" t="s">
        <v>391</v>
      </c>
      <c r="BL148" s="1"/>
      <c r="BM148" s="1"/>
      <c r="BN148" s="1"/>
      <c r="BO148" s="1"/>
      <c r="BP148" s="1" t="s">
        <v>396</v>
      </c>
      <c r="BQ148" s="1"/>
      <c r="BR148" s="1"/>
      <c r="BS148" s="1"/>
      <c r="BT148" s="1"/>
      <c r="BU148" s="1"/>
      <c r="BV148" s="1"/>
      <c r="BW148" s="1"/>
      <c r="BX148" s="1"/>
      <c r="BY148" s="1"/>
      <c r="BZ148" s="1"/>
      <c r="CA148" s="1"/>
      <c r="CB148" s="1"/>
      <c r="CC148" s="1"/>
      <c r="CD148" s="1"/>
    </row>
    <row r="149" spans="1:82" hidden="1">
      <c r="A149" s="1" t="s">
        <v>1657</v>
      </c>
      <c r="B149" s="1"/>
      <c r="C149" s="1" t="s">
        <v>410</v>
      </c>
      <c r="D149" s="1" t="s">
        <v>373</v>
      </c>
      <c r="E149" s="1"/>
      <c r="F149" s="1"/>
      <c r="G149" s="1" t="s">
        <v>421</v>
      </c>
      <c r="H149" s="1"/>
      <c r="I149" s="1"/>
      <c r="J149" s="1"/>
      <c r="K149" s="1"/>
      <c r="L149" s="1" t="s">
        <v>1603</v>
      </c>
      <c r="M149" s="1">
        <v>1</v>
      </c>
      <c r="N149" s="1" t="s">
        <v>378</v>
      </c>
      <c r="O149" s="1"/>
      <c r="P149" s="1"/>
      <c r="Q149" s="1"/>
      <c r="R149" s="1"/>
      <c r="S149" s="1"/>
      <c r="T149" s="1"/>
      <c r="U149" s="1"/>
      <c r="V149" s="1"/>
      <c r="W149" s="1"/>
      <c r="X149" s="1"/>
      <c r="Y149" s="1"/>
      <c r="Z149" s="1"/>
      <c r="AA149" s="1"/>
      <c r="AB149" s="1"/>
      <c r="AC149" s="1" t="s">
        <v>410</v>
      </c>
      <c r="AD149" s="1"/>
      <c r="AE149" s="1"/>
      <c r="AF149" s="1"/>
      <c r="AG149" s="1"/>
      <c r="AH149" s="1"/>
      <c r="AI149" s="1"/>
      <c r="AJ149" s="1"/>
      <c r="AK149" s="1"/>
      <c r="AL149" s="1"/>
      <c r="AM149" s="1"/>
      <c r="AN149" s="1" t="s">
        <v>433</v>
      </c>
      <c r="AO149" s="1"/>
      <c r="AP149" s="1"/>
      <c r="AQ149" s="1"/>
      <c r="AR149" s="1"/>
      <c r="AS149" s="1"/>
      <c r="AT149" s="1"/>
      <c r="AU149" s="1"/>
      <c r="AV149" s="1"/>
      <c r="AW149" s="1"/>
      <c r="AX149" s="1"/>
      <c r="AY149" s="1"/>
      <c r="AZ149" s="1"/>
      <c r="BA149" s="1"/>
      <c r="BB149" s="1"/>
      <c r="BC149" s="1"/>
      <c r="BD149" s="1"/>
      <c r="BE149" s="1"/>
      <c r="BF149" s="1"/>
      <c r="BG149" s="1"/>
      <c r="BH149" s="1"/>
      <c r="BI149" s="1"/>
      <c r="BJ149" s="1"/>
      <c r="BK149" s="1" t="s">
        <v>391</v>
      </c>
      <c r="BL149" s="1"/>
      <c r="BM149" s="1"/>
      <c r="BN149" s="1"/>
      <c r="BO149" s="1"/>
      <c r="BP149" s="1" t="s">
        <v>396</v>
      </c>
      <c r="BQ149" s="1"/>
      <c r="BR149" s="1"/>
      <c r="BS149" s="1"/>
      <c r="BT149" s="1"/>
      <c r="BU149" s="1"/>
      <c r="BV149" s="1"/>
      <c r="BW149" s="1"/>
      <c r="BX149" s="1"/>
      <c r="BY149" s="1"/>
      <c r="BZ149" s="1"/>
      <c r="CA149" s="1"/>
      <c r="CB149" s="1"/>
      <c r="CC149" s="1"/>
      <c r="CD149" s="1"/>
    </row>
    <row r="150" spans="1:82" hidden="1">
      <c r="A150" s="1" t="s">
        <v>1658</v>
      </c>
      <c r="B150" s="1"/>
      <c r="C150" s="1" t="s">
        <v>784</v>
      </c>
      <c r="D150" s="1" t="s">
        <v>373</v>
      </c>
      <c r="E150" s="1"/>
      <c r="F150" s="1"/>
      <c r="G150" s="1" t="s">
        <v>421</v>
      </c>
      <c r="H150" s="1"/>
      <c r="I150" s="1"/>
      <c r="J150" s="1"/>
      <c r="K150" s="1"/>
      <c r="L150" s="1" t="s">
        <v>1603</v>
      </c>
      <c r="M150" s="1">
        <v>1</v>
      </c>
      <c r="N150" s="1" t="s">
        <v>378</v>
      </c>
      <c r="O150" s="1"/>
      <c r="P150" s="1"/>
      <c r="Q150" s="1"/>
      <c r="R150" s="1"/>
      <c r="S150" s="1"/>
      <c r="T150" s="1"/>
      <c r="U150" s="1"/>
      <c r="V150" s="1"/>
      <c r="W150" s="1"/>
      <c r="X150" s="1"/>
      <c r="Y150" s="1"/>
      <c r="Z150" s="1"/>
      <c r="AA150" s="1"/>
      <c r="AB150" s="1"/>
      <c r="AC150" s="1" t="s">
        <v>410</v>
      </c>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t="s">
        <v>391</v>
      </c>
      <c r="BL150" s="1"/>
      <c r="BM150" s="1"/>
      <c r="BN150" s="1"/>
      <c r="BO150" s="1"/>
      <c r="BP150" s="1"/>
      <c r="BQ150" s="1"/>
      <c r="BR150" s="1"/>
      <c r="BS150" s="1"/>
      <c r="BT150" s="1"/>
      <c r="BU150" s="1"/>
      <c r="BV150" s="1"/>
      <c r="BW150" s="1"/>
      <c r="BX150" s="1"/>
      <c r="BY150" s="1"/>
      <c r="BZ150" s="1"/>
      <c r="CA150" s="1"/>
      <c r="CB150" s="1"/>
      <c r="CC150" s="1"/>
      <c r="CD150" s="1"/>
    </row>
    <row r="151" spans="1:82" hidden="1">
      <c r="A151" s="1" t="s">
        <v>1659</v>
      </c>
      <c r="B151" s="1"/>
      <c r="C151" s="1" t="s">
        <v>410</v>
      </c>
      <c r="D151" s="1" t="s">
        <v>373</v>
      </c>
      <c r="E151" s="1"/>
      <c r="F151" s="1"/>
      <c r="G151" s="1" t="s">
        <v>421</v>
      </c>
      <c r="H151" s="1"/>
      <c r="I151" s="1"/>
      <c r="J151" s="1"/>
      <c r="K151" s="1"/>
      <c r="L151" s="1" t="s">
        <v>1603</v>
      </c>
      <c r="M151" s="1">
        <v>1</v>
      </c>
      <c r="N151" s="1" t="s">
        <v>378</v>
      </c>
      <c r="O151" s="1"/>
      <c r="P151" s="1"/>
      <c r="Q151" s="1"/>
      <c r="R151" s="1"/>
      <c r="S151" s="1"/>
      <c r="T151" s="1"/>
      <c r="U151" s="1"/>
      <c r="V151" s="1"/>
      <c r="W151" s="1"/>
      <c r="X151" s="1"/>
      <c r="Y151" s="1"/>
      <c r="Z151" s="1"/>
      <c r="AA151" s="1"/>
      <c r="AB151" s="1"/>
      <c r="AC151" s="1" t="s">
        <v>410</v>
      </c>
      <c r="AD151" s="1"/>
      <c r="AE151" s="1"/>
      <c r="AF151" s="1"/>
      <c r="AG151" s="1"/>
      <c r="AH151" s="1"/>
      <c r="AI151" s="1"/>
      <c r="AJ151" s="1"/>
      <c r="AK151" s="1"/>
      <c r="AL151" s="1"/>
      <c r="AM151" s="1"/>
      <c r="AN151" s="1" t="s">
        <v>433</v>
      </c>
      <c r="AO151" s="1"/>
      <c r="AP151" s="1"/>
      <c r="AQ151" s="1"/>
      <c r="AR151" s="1"/>
      <c r="AS151" s="1"/>
      <c r="AT151" s="1"/>
      <c r="AU151" s="1"/>
      <c r="AV151" s="1"/>
      <c r="AW151" s="1"/>
      <c r="AX151" s="1"/>
      <c r="AY151" s="1"/>
      <c r="AZ151" s="1"/>
      <c r="BA151" s="1"/>
      <c r="BB151" s="1"/>
      <c r="BC151" s="1"/>
      <c r="BD151" s="1"/>
      <c r="BE151" s="1"/>
      <c r="BF151" s="1"/>
      <c r="BG151" s="1"/>
      <c r="BH151" s="1"/>
      <c r="BI151" s="1"/>
      <c r="BJ151" s="1"/>
      <c r="BK151" s="1" t="s">
        <v>391</v>
      </c>
      <c r="BL151" s="1"/>
      <c r="BM151" s="1"/>
      <c r="BN151" s="1"/>
      <c r="BO151" s="1"/>
      <c r="BP151" s="1" t="s">
        <v>396</v>
      </c>
      <c r="BQ151" s="1"/>
      <c r="BR151" s="1"/>
      <c r="BS151" s="1"/>
      <c r="BT151" s="1"/>
      <c r="BU151" s="1"/>
      <c r="BV151" s="1"/>
      <c r="BW151" s="1"/>
      <c r="BX151" s="1"/>
      <c r="BY151" s="1"/>
      <c r="BZ151" s="1"/>
      <c r="CA151" s="1"/>
      <c r="CB151" s="1"/>
      <c r="CC151" s="1"/>
      <c r="CD151" s="1"/>
    </row>
    <row r="152" spans="1:82" hidden="1">
      <c r="A152" s="1" t="s">
        <v>1660</v>
      </c>
      <c r="B152" s="1"/>
      <c r="C152" s="1" t="s">
        <v>784</v>
      </c>
      <c r="D152" s="1" t="s">
        <v>373</v>
      </c>
      <c r="E152" s="1"/>
      <c r="F152" s="1"/>
      <c r="G152" s="1" t="s">
        <v>421</v>
      </c>
      <c r="H152" s="1"/>
      <c r="I152" s="1"/>
      <c r="J152" s="1"/>
      <c r="K152" s="1"/>
      <c r="L152" s="1" t="s">
        <v>1603</v>
      </c>
      <c r="M152" s="1">
        <v>1</v>
      </c>
      <c r="N152" s="1" t="s">
        <v>378</v>
      </c>
      <c r="O152" s="1"/>
      <c r="P152" s="1"/>
      <c r="Q152" s="1"/>
      <c r="R152" s="1"/>
      <c r="S152" s="1"/>
      <c r="T152" s="1"/>
      <c r="U152" s="1"/>
      <c r="V152" s="1"/>
      <c r="W152" s="1"/>
      <c r="X152" s="1"/>
      <c r="Y152" s="1"/>
      <c r="Z152" s="1"/>
      <c r="AA152" s="1"/>
      <c r="AB152" s="1"/>
      <c r="AC152" s="1" t="s">
        <v>410</v>
      </c>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t="s">
        <v>391</v>
      </c>
      <c r="BL152" s="1"/>
      <c r="BM152" s="1"/>
      <c r="BN152" s="1"/>
      <c r="BO152" s="1"/>
      <c r="BP152" s="1"/>
      <c r="BQ152" s="1"/>
      <c r="BR152" s="1"/>
      <c r="BS152" s="1"/>
      <c r="BT152" s="1"/>
      <c r="BU152" s="1"/>
      <c r="BV152" s="1"/>
      <c r="BW152" s="1"/>
      <c r="BX152" s="1"/>
      <c r="BY152" s="1"/>
      <c r="BZ152" s="1"/>
      <c r="CA152" s="1"/>
      <c r="CB152" s="1"/>
      <c r="CC152" s="1"/>
      <c r="CD152" s="1"/>
    </row>
    <row r="153" spans="1:82" hidden="1">
      <c r="A153" s="1" t="s">
        <v>1661</v>
      </c>
      <c r="B153" s="1"/>
      <c r="C153" s="1" t="s">
        <v>784</v>
      </c>
      <c r="D153" s="1" t="s">
        <v>373</v>
      </c>
      <c r="E153" s="1"/>
      <c r="F153" s="1"/>
      <c r="G153" s="1" t="s">
        <v>443</v>
      </c>
      <c r="H153" s="1"/>
      <c r="I153" s="1"/>
      <c r="J153" s="1"/>
      <c r="K153" s="1"/>
      <c r="L153" s="1" t="s">
        <v>1603</v>
      </c>
      <c r="M153" s="1">
        <v>1</v>
      </c>
      <c r="N153" s="1" t="s">
        <v>378</v>
      </c>
      <c r="O153" s="1"/>
      <c r="P153" s="1"/>
      <c r="Q153" s="1"/>
      <c r="R153" s="1"/>
      <c r="S153" s="1"/>
      <c r="T153" s="1"/>
      <c r="U153" s="1"/>
      <c r="V153" s="1"/>
      <c r="W153" s="1"/>
      <c r="X153" s="1"/>
      <c r="Y153" s="1"/>
      <c r="Z153" s="1"/>
      <c r="AA153" s="1"/>
      <c r="AB153" s="1"/>
      <c r="AC153" s="1" t="s">
        <v>410</v>
      </c>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t="s">
        <v>391</v>
      </c>
      <c r="BL153" s="1"/>
      <c r="BM153" s="1"/>
      <c r="BN153" s="1"/>
      <c r="BO153" s="1"/>
      <c r="BP153" s="1"/>
      <c r="BQ153" s="1"/>
      <c r="BR153" s="1"/>
      <c r="BS153" s="1"/>
      <c r="BT153" s="1"/>
      <c r="BU153" s="1"/>
      <c r="BV153" s="1"/>
      <c r="BW153" s="1"/>
      <c r="BX153" s="1"/>
      <c r="BY153" s="1"/>
      <c r="BZ153" s="1"/>
      <c r="CA153" s="1"/>
      <c r="CB153" s="1"/>
      <c r="CC153" s="1"/>
      <c r="CD153" s="1"/>
    </row>
    <row r="154" spans="1:82" hidden="1">
      <c r="A154" s="1" t="s">
        <v>1662</v>
      </c>
      <c r="B154" s="1"/>
      <c r="C154" s="1" t="s">
        <v>784</v>
      </c>
      <c r="D154" s="1" t="s">
        <v>373</v>
      </c>
      <c r="E154" s="1"/>
      <c r="F154" s="1"/>
      <c r="G154" s="1" t="s">
        <v>421</v>
      </c>
      <c r="H154" s="1"/>
      <c r="I154" s="1"/>
      <c r="J154" s="1"/>
      <c r="K154" s="1"/>
      <c r="L154" s="1" t="s">
        <v>1603</v>
      </c>
      <c r="M154" s="1">
        <v>1</v>
      </c>
      <c r="N154" s="1" t="s">
        <v>378</v>
      </c>
      <c r="O154" s="1"/>
      <c r="P154" s="1"/>
      <c r="Q154" s="1"/>
      <c r="R154" s="1"/>
      <c r="S154" s="1"/>
      <c r="T154" s="1"/>
      <c r="U154" s="1"/>
      <c r="V154" s="1"/>
      <c r="W154" s="1"/>
      <c r="X154" s="1"/>
      <c r="Y154" s="1"/>
      <c r="Z154" s="1"/>
      <c r="AA154" s="1"/>
      <c r="AB154" s="1"/>
      <c r="AC154" s="1" t="s">
        <v>410</v>
      </c>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t="s">
        <v>391</v>
      </c>
      <c r="BL154" s="1"/>
      <c r="BM154" s="1"/>
      <c r="BN154" s="1"/>
      <c r="BO154" s="1"/>
      <c r="BP154" s="1"/>
      <c r="BQ154" s="1"/>
      <c r="BR154" s="1"/>
      <c r="BS154" s="1"/>
      <c r="BT154" s="1"/>
      <c r="BU154" s="1"/>
      <c r="BV154" s="1"/>
      <c r="BW154" s="1"/>
      <c r="BX154" s="1"/>
      <c r="BY154" s="1"/>
      <c r="BZ154" s="1"/>
      <c r="CA154" s="1"/>
      <c r="CB154" s="1"/>
      <c r="CC154" s="1"/>
      <c r="CD154" s="1"/>
    </row>
    <row r="155" spans="1:82" hidden="1">
      <c r="A155" s="1" t="s">
        <v>1663</v>
      </c>
      <c r="B155" s="1"/>
      <c r="C155" s="1" t="s">
        <v>410</v>
      </c>
      <c r="D155" s="1" t="s">
        <v>373</v>
      </c>
      <c r="E155" s="1"/>
      <c r="F155" s="1"/>
      <c r="G155" s="1" t="s">
        <v>421</v>
      </c>
      <c r="H155" s="1"/>
      <c r="I155" s="1"/>
      <c r="J155" s="1"/>
      <c r="K155" s="1"/>
      <c r="L155" s="1" t="s">
        <v>1603</v>
      </c>
      <c r="M155" s="1">
        <v>1</v>
      </c>
      <c r="N155" s="1" t="s">
        <v>378</v>
      </c>
      <c r="O155" s="1"/>
      <c r="P155" s="1"/>
      <c r="Q155" s="1"/>
      <c r="R155" s="1"/>
      <c r="S155" s="1"/>
      <c r="T155" s="1"/>
      <c r="U155" s="1"/>
      <c r="V155" s="1"/>
      <c r="W155" s="1"/>
      <c r="X155" s="1"/>
      <c r="Y155" s="1"/>
      <c r="Z155" s="1"/>
      <c r="AA155" s="1"/>
      <c r="AB155" s="1"/>
      <c r="AC155" s="1" t="s">
        <v>410</v>
      </c>
      <c r="AD155" s="1"/>
      <c r="AE155" s="1"/>
      <c r="AF155" s="1"/>
      <c r="AG155" s="1"/>
      <c r="AH155" s="1"/>
      <c r="AI155" s="1"/>
      <c r="AJ155" s="1"/>
      <c r="AK155" s="1"/>
      <c r="AL155" s="1"/>
      <c r="AM155" s="1"/>
      <c r="AN155" s="1" t="s">
        <v>433</v>
      </c>
      <c r="AO155" s="1"/>
      <c r="AP155" s="1"/>
      <c r="AQ155" s="1"/>
      <c r="AR155" s="1"/>
      <c r="AS155" s="1"/>
      <c r="AT155" s="1"/>
      <c r="AU155" s="1"/>
      <c r="AV155" s="1"/>
      <c r="AW155" s="1"/>
      <c r="AX155" s="1"/>
      <c r="AY155" s="1"/>
      <c r="AZ155" s="1"/>
      <c r="BA155" s="1"/>
      <c r="BB155" s="1"/>
      <c r="BC155" s="1"/>
      <c r="BD155" s="1"/>
      <c r="BE155" s="1"/>
      <c r="BF155" s="1"/>
      <c r="BG155" s="1"/>
      <c r="BH155" s="1"/>
      <c r="BI155" s="1"/>
      <c r="BJ155" s="1"/>
      <c r="BK155" s="1" t="s">
        <v>391</v>
      </c>
      <c r="BL155" s="1"/>
      <c r="BM155" s="1"/>
      <c r="BN155" s="1"/>
      <c r="BO155" s="1"/>
      <c r="BP155" s="1" t="s">
        <v>396</v>
      </c>
      <c r="BQ155" s="1"/>
      <c r="BR155" s="1"/>
      <c r="BS155" s="1"/>
      <c r="BT155" s="1"/>
      <c r="BU155" s="1"/>
      <c r="BV155" s="1"/>
      <c r="BW155" s="1"/>
      <c r="BX155" s="1"/>
      <c r="BY155" s="1"/>
      <c r="BZ155" s="1"/>
      <c r="CA155" s="1"/>
      <c r="CB155" s="1"/>
      <c r="CC155" s="1"/>
      <c r="CD155" s="1"/>
    </row>
    <row r="156" spans="1:82" hidden="1">
      <c r="A156" s="1" t="s">
        <v>1664</v>
      </c>
      <c r="B156" s="1"/>
      <c r="C156" s="1" t="s">
        <v>410</v>
      </c>
      <c r="D156" s="1" t="s">
        <v>373</v>
      </c>
      <c r="E156" s="1"/>
      <c r="F156" s="1"/>
      <c r="G156" s="1" t="s">
        <v>421</v>
      </c>
      <c r="H156" s="1"/>
      <c r="I156" s="1"/>
      <c r="J156" s="1"/>
      <c r="K156" s="1"/>
      <c r="L156" s="1" t="s">
        <v>1603</v>
      </c>
      <c r="M156" s="1">
        <v>1</v>
      </c>
      <c r="N156" s="1" t="s">
        <v>378</v>
      </c>
      <c r="O156" s="1"/>
      <c r="P156" s="1"/>
      <c r="Q156" s="1"/>
      <c r="R156" s="1"/>
      <c r="S156" s="1"/>
      <c r="T156" s="1"/>
      <c r="U156" s="1"/>
      <c r="V156" s="1"/>
      <c r="W156" s="1"/>
      <c r="X156" s="1"/>
      <c r="Y156" s="1"/>
      <c r="Z156" s="1"/>
      <c r="AA156" s="1"/>
      <c r="AB156" s="1"/>
      <c r="AC156" s="1" t="s">
        <v>410</v>
      </c>
      <c r="AD156" s="1"/>
      <c r="AE156" s="1"/>
      <c r="AF156" s="1"/>
      <c r="AG156" s="1"/>
      <c r="AH156" s="1"/>
      <c r="AI156" s="1"/>
      <c r="AJ156" s="1"/>
      <c r="AK156" s="1"/>
      <c r="AL156" s="1"/>
      <c r="AM156" s="1"/>
      <c r="AN156" s="1" t="s">
        <v>433</v>
      </c>
      <c r="AO156" s="1"/>
      <c r="AP156" s="1"/>
      <c r="AQ156" s="1"/>
      <c r="AR156" s="1"/>
      <c r="AS156" s="1"/>
      <c r="AT156" s="1"/>
      <c r="AU156" s="1"/>
      <c r="AV156" s="1"/>
      <c r="AW156" s="1"/>
      <c r="AX156" s="1"/>
      <c r="AY156" s="1"/>
      <c r="AZ156" s="1"/>
      <c r="BA156" s="1"/>
      <c r="BB156" s="1"/>
      <c r="BC156" s="1"/>
      <c r="BD156" s="1"/>
      <c r="BE156" s="1"/>
      <c r="BF156" s="1"/>
      <c r="BG156" s="1"/>
      <c r="BH156" s="1"/>
      <c r="BI156" s="1"/>
      <c r="BJ156" s="1"/>
      <c r="BK156" s="1" t="s">
        <v>391</v>
      </c>
      <c r="BL156" s="1"/>
      <c r="BM156" s="1"/>
      <c r="BN156" s="1"/>
      <c r="BO156" s="1"/>
      <c r="BP156" s="1" t="s">
        <v>396</v>
      </c>
      <c r="BQ156" s="1"/>
      <c r="BR156" s="1"/>
      <c r="BS156" s="1"/>
      <c r="BT156" s="1"/>
      <c r="BU156" s="1"/>
      <c r="BV156" s="1"/>
      <c r="BW156" s="1"/>
      <c r="BX156" s="1"/>
      <c r="BY156" s="1"/>
      <c r="BZ156" s="1"/>
      <c r="CA156" s="1"/>
      <c r="CB156" s="1"/>
      <c r="CC156" s="1"/>
      <c r="CD156" s="1"/>
    </row>
    <row r="157" spans="1:82" hidden="1">
      <c r="A157" s="1" t="s">
        <v>1665</v>
      </c>
      <c r="B157" s="1"/>
      <c r="C157" s="1" t="s">
        <v>410</v>
      </c>
      <c r="D157" s="1" t="s">
        <v>373</v>
      </c>
      <c r="E157" s="1"/>
      <c r="F157" s="1"/>
      <c r="G157" s="1" t="s">
        <v>605</v>
      </c>
      <c r="H157" s="1"/>
      <c r="I157" s="1"/>
      <c r="J157" s="1"/>
      <c r="K157" s="1"/>
      <c r="L157" s="1" t="s">
        <v>1603</v>
      </c>
      <c r="M157" s="1">
        <v>1</v>
      </c>
      <c r="N157" s="1" t="s">
        <v>378</v>
      </c>
      <c r="O157" s="1"/>
      <c r="P157" s="1"/>
      <c r="Q157" s="1"/>
      <c r="R157" s="1"/>
      <c r="S157" s="1"/>
      <c r="T157" s="1"/>
      <c r="U157" s="1"/>
      <c r="V157" s="1"/>
      <c r="W157" s="1"/>
      <c r="X157" s="1"/>
      <c r="Y157" s="1"/>
      <c r="Z157" s="1"/>
      <c r="AA157" s="1"/>
      <c r="AB157" s="1"/>
      <c r="AC157" s="1" t="s">
        <v>410</v>
      </c>
      <c r="AD157" s="1"/>
      <c r="AE157" s="1"/>
      <c r="AF157" s="1"/>
      <c r="AG157" s="1"/>
      <c r="AH157" s="1"/>
      <c r="AI157" s="1"/>
      <c r="AJ157" s="1"/>
      <c r="AK157" s="1"/>
      <c r="AL157" s="1"/>
      <c r="AM157" s="1"/>
      <c r="AN157" s="1" t="s">
        <v>433</v>
      </c>
      <c r="AO157" s="1"/>
      <c r="AP157" s="1"/>
      <c r="AQ157" s="1"/>
      <c r="AR157" s="1"/>
      <c r="AS157" s="1"/>
      <c r="AT157" s="1"/>
      <c r="AU157" s="1"/>
      <c r="AV157" s="1"/>
      <c r="AW157" s="1"/>
      <c r="AX157" s="1"/>
      <c r="AY157" s="1"/>
      <c r="AZ157" s="1"/>
      <c r="BA157" s="1"/>
      <c r="BB157" s="1"/>
      <c r="BC157" s="1"/>
      <c r="BD157" s="1"/>
      <c r="BE157" s="1"/>
      <c r="BF157" s="1"/>
      <c r="BG157" s="1"/>
      <c r="BH157" s="1"/>
      <c r="BI157" s="1"/>
      <c r="BJ157" s="1"/>
      <c r="BK157" s="1" t="s">
        <v>391</v>
      </c>
      <c r="BL157" s="1"/>
      <c r="BM157" s="1"/>
      <c r="BN157" s="1"/>
      <c r="BO157" s="1"/>
      <c r="BP157" s="1" t="s">
        <v>396</v>
      </c>
      <c r="BQ157" s="1"/>
      <c r="BR157" s="1"/>
      <c r="BS157" s="1"/>
      <c r="BT157" s="1"/>
      <c r="BU157" s="1"/>
      <c r="BV157" s="1"/>
      <c r="BW157" s="1"/>
      <c r="BX157" s="1"/>
      <c r="BY157" s="1"/>
      <c r="BZ157" s="1"/>
      <c r="CA157" s="1"/>
      <c r="CB157" s="1"/>
      <c r="CC157" s="1"/>
      <c r="CD157" s="1"/>
    </row>
    <row r="158" spans="1:82" hidden="1">
      <c r="A158" s="1" t="s">
        <v>1666</v>
      </c>
      <c r="B158" s="1" t="s">
        <v>1667</v>
      </c>
      <c r="C158" s="1" t="s">
        <v>410</v>
      </c>
      <c r="D158" s="1" t="s">
        <v>373</v>
      </c>
      <c r="E158" s="1"/>
      <c r="F158" s="1"/>
      <c r="G158" s="1" t="s">
        <v>421</v>
      </c>
      <c r="H158" s="1"/>
      <c r="I158" s="1"/>
      <c r="J158" s="1"/>
      <c r="K158" s="1"/>
      <c r="L158" s="1" t="s">
        <v>1603</v>
      </c>
      <c r="M158" s="1">
        <v>1</v>
      </c>
      <c r="N158" s="1" t="s">
        <v>378</v>
      </c>
      <c r="O158" s="1"/>
      <c r="P158" s="1"/>
      <c r="Q158" s="1"/>
      <c r="R158" s="1"/>
      <c r="S158" s="1"/>
      <c r="T158" s="1"/>
      <c r="U158" s="1"/>
      <c r="V158" s="1"/>
      <c r="W158" s="1"/>
      <c r="X158" s="1"/>
      <c r="Y158" s="1"/>
      <c r="Z158" s="1"/>
      <c r="AA158" s="1"/>
      <c r="AB158" s="1"/>
      <c r="AC158" s="1" t="s">
        <v>410</v>
      </c>
      <c r="AD158" s="1"/>
      <c r="AE158" s="1"/>
      <c r="AF158" s="1"/>
      <c r="AG158" s="1"/>
      <c r="AH158" s="1"/>
      <c r="AI158" s="1"/>
      <c r="AJ158" s="1"/>
      <c r="AK158" s="1"/>
      <c r="AL158" s="1"/>
      <c r="AM158" s="1"/>
      <c r="AN158" s="1" t="s">
        <v>433</v>
      </c>
      <c r="AO158" s="1"/>
      <c r="AP158" s="1"/>
      <c r="AQ158" s="1"/>
      <c r="AR158" s="1"/>
      <c r="AS158" s="1"/>
      <c r="AT158" s="1"/>
      <c r="AU158" s="1"/>
      <c r="AV158" s="1"/>
      <c r="AW158" s="1"/>
      <c r="AX158" s="1"/>
      <c r="AY158" s="1"/>
      <c r="AZ158" s="1"/>
      <c r="BA158" s="1"/>
      <c r="BB158" s="1"/>
      <c r="BC158" s="1"/>
      <c r="BD158" s="1"/>
      <c r="BE158" s="1"/>
      <c r="BF158" s="1"/>
      <c r="BG158" s="1"/>
      <c r="BH158" s="1"/>
      <c r="BI158" s="1"/>
      <c r="BJ158" s="1"/>
      <c r="BK158" s="1" t="s">
        <v>391</v>
      </c>
      <c r="BL158" s="1"/>
      <c r="BM158" s="1"/>
      <c r="BN158" s="1"/>
      <c r="BO158" s="1"/>
      <c r="BP158" s="1" t="s">
        <v>396</v>
      </c>
      <c r="BQ158" s="1"/>
      <c r="BR158" s="1"/>
      <c r="BS158" s="1"/>
      <c r="BT158" s="1"/>
      <c r="BU158" s="1"/>
      <c r="BV158" s="1"/>
      <c r="BW158" s="1"/>
      <c r="BX158" s="1"/>
      <c r="BY158" s="1"/>
      <c r="BZ158" s="1"/>
      <c r="CA158" s="1"/>
      <c r="CB158" s="1"/>
      <c r="CC158" s="1"/>
      <c r="CD158" s="1"/>
    </row>
    <row r="159" spans="1:82" hidden="1">
      <c r="A159" s="1" t="s">
        <v>1668</v>
      </c>
      <c r="B159" s="1" t="s">
        <v>1648</v>
      </c>
      <c r="C159" s="1" t="s">
        <v>410</v>
      </c>
      <c r="D159" s="1" t="s">
        <v>373</v>
      </c>
      <c r="E159" s="1"/>
      <c r="F159" s="1"/>
      <c r="G159" s="1"/>
      <c r="H159" s="1"/>
      <c r="I159" s="1"/>
      <c r="J159" s="1"/>
      <c r="K159" s="1"/>
      <c r="L159" s="1" t="s">
        <v>1603</v>
      </c>
      <c r="M159" s="1">
        <v>1</v>
      </c>
      <c r="N159" s="1" t="s">
        <v>378</v>
      </c>
      <c r="O159" s="1"/>
      <c r="P159" s="1"/>
      <c r="Q159" s="1"/>
      <c r="R159" s="1"/>
      <c r="S159" s="1"/>
      <c r="T159" s="1"/>
      <c r="U159" s="1"/>
      <c r="V159" s="1"/>
      <c r="W159" s="1"/>
      <c r="X159" s="1"/>
      <c r="Y159" s="1"/>
      <c r="Z159" s="1"/>
      <c r="AA159" s="1"/>
      <c r="AB159" s="1"/>
      <c r="AC159" s="1" t="s">
        <v>410</v>
      </c>
      <c r="AD159" s="1"/>
      <c r="AE159" s="1"/>
      <c r="AF159" s="1"/>
      <c r="AG159" s="1"/>
      <c r="AH159" s="1"/>
      <c r="AI159" s="1"/>
      <c r="AJ159" s="1"/>
      <c r="AK159" s="1"/>
      <c r="AL159" s="1"/>
      <c r="AM159" s="1"/>
      <c r="AN159" s="1" t="s">
        <v>433</v>
      </c>
      <c r="AO159" s="1"/>
      <c r="AP159" s="1"/>
      <c r="AQ159" s="1"/>
      <c r="AR159" s="1"/>
      <c r="AS159" s="1"/>
      <c r="AT159" s="1"/>
      <c r="AU159" s="1"/>
      <c r="AV159" s="1"/>
      <c r="AW159" s="1"/>
      <c r="AX159" s="1"/>
      <c r="AY159" s="1"/>
      <c r="AZ159" s="1"/>
      <c r="BA159" s="1"/>
      <c r="BB159" s="1"/>
      <c r="BC159" s="1"/>
      <c r="BD159" s="1"/>
      <c r="BE159" s="1"/>
      <c r="BF159" s="1"/>
      <c r="BG159" s="1"/>
      <c r="BH159" s="1"/>
      <c r="BI159" s="1"/>
      <c r="BJ159" s="1"/>
      <c r="BK159" s="1" t="s">
        <v>391</v>
      </c>
      <c r="BL159" s="1"/>
      <c r="BM159" s="1"/>
      <c r="BN159" s="1"/>
      <c r="BO159" s="1"/>
      <c r="BP159" s="1" t="s">
        <v>396</v>
      </c>
      <c r="BQ159" s="1"/>
      <c r="BR159" s="1"/>
      <c r="BS159" s="1"/>
      <c r="BT159" s="1"/>
      <c r="BU159" s="1"/>
      <c r="BV159" s="1"/>
      <c r="BW159" s="1"/>
      <c r="BX159" s="1"/>
      <c r="BY159" s="1"/>
      <c r="BZ159" s="1"/>
      <c r="CA159" s="1"/>
      <c r="CB159" s="1"/>
      <c r="CC159" s="1"/>
      <c r="CD159" s="1"/>
    </row>
    <row r="160" spans="1:82" hidden="1">
      <c r="A160" s="1" t="s">
        <v>1669</v>
      </c>
      <c r="B160" s="1" t="s">
        <v>1648</v>
      </c>
      <c r="C160" s="1" t="s">
        <v>410</v>
      </c>
      <c r="D160" s="1" t="s">
        <v>373</v>
      </c>
      <c r="E160" s="1"/>
      <c r="F160" s="1"/>
      <c r="G160" s="1"/>
      <c r="H160" s="1"/>
      <c r="I160" s="1"/>
      <c r="J160" s="1"/>
      <c r="K160" s="1"/>
      <c r="L160" s="1" t="s">
        <v>1603</v>
      </c>
      <c r="M160" s="1">
        <v>1</v>
      </c>
      <c r="N160" s="1" t="s">
        <v>378</v>
      </c>
      <c r="O160" s="1"/>
      <c r="P160" s="1"/>
      <c r="Q160" s="1"/>
      <c r="R160" s="1"/>
      <c r="S160" s="1"/>
      <c r="T160" s="1"/>
      <c r="U160" s="1"/>
      <c r="V160" s="1"/>
      <c r="W160" s="1"/>
      <c r="X160" s="1"/>
      <c r="Y160" s="1"/>
      <c r="Z160" s="1"/>
      <c r="AA160" s="1"/>
      <c r="AB160" s="1"/>
      <c r="AC160" s="1" t="s">
        <v>410</v>
      </c>
      <c r="AD160" s="1"/>
      <c r="AE160" s="1"/>
      <c r="AF160" s="1"/>
      <c r="AG160" s="1"/>
      <c r="AH160" s="1"/>
      <c r="AI160" s="1"/>
      <c r="AJ160" s="1"/>
      <c r="AK160" s="1"/>
      <c r="AL160" s="1"/>
      <c r="AM160" s="1"/>
      <c r="AN160" s="1" t="s">
        <v>433</v>
      </c>
      <c r="AO160" s="1"/>
      <c r="AP160" s="1"/>
      <c r="AQ160" s="1"/>
      <c r="AR160" s="1"/>
      <c r="AS160" s="1"/>
      <c r="AT160" s="1"/>
      <c r="AU160" s="1"/>
      <c r="AV160" s="1"/>
      <c r="AW160" s="1"/>
      <c r="AX160" s="1"/>
      <c r="AY160" s="1"/>
      <c r="AZ160" s="1"/>
      <c r="BA160" s="1"/>
      <c r="BB160" s="1"/>
      <c r="BC160" s="1"/>
      <c r="BD160" s="1"/>
      <c r="BE160" s="1"/>
      <c r="BF160" s="1"/>
      <c r="BG160" s="1"/>
      <c r="BH160" s="1"/>
      <c r="BI160" s="1"/>
      <c r="BJ160" s="1"/>
      <c r="BK160" s="1" t="s">
        <v>391</v>
      </c>
      <c r="BL160" s="1"/>
      <c r="BM160" s="1"/>
      <c r="BN160" s="1"/>
      <c r="BO160" s="1"/>
      <c r="BP160" s="1" t="s">
        <v>396</v>
      </c>
      <c r="BQ160" s="1"/>
      <c r="BR160" s="1"/>
      <c r="BS160" s="1"/>
      <c r="BT160" s="1"/>
      <c r="BU160" s="1"/>
      <c r="BV160" s="1"/>
      <c r="BW160" s="1"/>
      <c r="BX160" s="1"/>
      <c r="BY160" s="1"/>
      <c r="BZ160" s="1"/>
      <c r="CA160" s="1"/>
      <c r="CB160" s="1"/>
      <c r="CC160" s="1"/>
      <c r="CD160" s="1"/>
    </row>
    <row r="161" spans="1:82" hidden="1">
      <c r="A161" s="1" t="s">
        <v>1670</v>
      </c>
      <c r="B161" s="1" t="s">
        <v>1671</v>
      </c>
      <c r="C161" s="1" t="s">
        <v>410</v>
      </c>
      <c r="D161" s="1"/>
      <c r="E161" s="1" t="s">
        <v>1672</v>
      </c>
      <c r="F161" s="1" t="s">
        <v>829</v>
      </c>
      <c r="G161" s="1" t="s">
        <v>421</v>
      </c>
      <c r="H161" s="1"/>
      <c r="I161" s="1"/>
      <c r="J161" s="1"/>
      <c r="K161" s="1"/>
      <c r="L161" s="1" t="s">
        <v>1603</v>
      </c>
      <c r="M161" s="1">
        <v>1</v>
      </c>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row>
    <row r="162" spans="1:82" hidden="1">
      <c r="A162" s="1" t="s">
        <v>1673</v>
      </c>
      <c r="B162" s="1" t="s">
        <v>1674</v>
      </c>
      <c r="C162" s="1" t="s">
        <v>784</v>
      </c>
      <c r="D162" s="1" t="s">
        <v>373</v>
      </c>
      <c r="E162" s="1" t="s">
        <v>1675</v>
      </c>
      <c r="F162" s="1" t="s">
        <v>1676</v>
      </c>
      <c r="G162" s="1" t="s">
        <v>605</v>
      </c>
      <c r="H162" s="1"/>
      <c r="I162" s="1"/>
      <c r="J162" s="1"/>
      <c r="K162" s="1"/>
      <c r="L162" s="1" t="s">
        <v>1603</v>
      </c>
      <c r="M162" s="1">
        <v>1</v>
      </c>
      <c r="N162" s="1" t="s">
        <v>378</v>
      </c>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row>
  </sheetData>
  <autoFilter ref="A2:CE162" xr:uid="{00000000-0001-0000-0000-000000000000}">
    <filterColumn colId="0">
      <filters>
        <filter val="CANADENSE"/>
      </filters>
    </filterColumn>
  </autoFilter>
  <mergeCells count="19">
    <mergeCell ref="CB1:CB2"/>
    <mergeCell ref="CC1:CC2"/>
    <mergeCell ref="CD1:CD2"/>
    <mergeCell ref="BA1:BI1"/>
    <mergeCell ref="BW1:BW2"/>
    <mergeCell ref="BX1:BX2"/>
    <mergeCell ref="BY1:BY2"/>
    <mergeCell ref="BZ1:BZ2"/>
    <mergeCell ref="CA1:CA2"/>
    <mergeCell ref="A1:N1"/>
    <mergeCell ref="BU1:BU2"/>
    <mergeCell ref="BV1:BV2"/>
    <mergeCell ref="AN1:AO1"/>
    <mergeCell ref="AP1:AT1"/>
    <mergeCell ref="AU1:AX1"/>
    <mergeCell ref="AY1:AZ1"/>
    <mergeCell ref="BR1:BT1"/>
    <mergeCell ref="O1:AK1"/>
    <mergeCell ref="BJ1:BQ1"/>
  </mergeCells>
  <phoneticPr fontId="6" type="noConversion"/>
  <conditionalFormatting sqref="A1 O1 AN1 AP1 AU1 AY1 BJ1 BR1 BU1:XFD1 A2:BT2 AJ3:XFD3 BK4:XFD4 L5:XFD6 CE7:XFD13 Z14:XFD15 AJ16:XFD18 L19:XFD30 T31:XFD31 L32:XFD33 AC34:XFD34 AA35:XFD35 T36:XFD36 U37:XFD37 L38:XFD38 AK39:XFD39 L40:XFD40 BK41:XFD41 L42:XFD42 AF43:XFD43 BK44:XFD44 AA45:XFD45 R46:XFD46 BK47:XFD47 Z48:XFD49 AJ50:XFD50 T51:XFD51 L52:XFD52 Z53:XFD53 AA54:XFD54 L55:XFD56 AH57:XFD57 Z58:XFD58 AH59:XFD59 L60:XFD60 Z61:XFD61 L62:XFD62 BO63:XFD63 AH64:XFD64 L65:XFD65 CE66:XFD68 AK69:XFD69 AD70:XFD70 Z71:XFD71 L72:XFD72 AC73:XFD73 AJ74:XFD74 AK75:XFD75 AD76:XFD78 BM79:XFD108 L109:XFD111 BP112:XFD112 L113:XFD119 BY120:XFD127">
    <cfRule type="cellIs" dxfId="26" priority="63" operator="equal">
      <formula>0</formula>
    </cfRule>
  </conditionalFormatting>
  <conditionalFormatting sqref="A124:H128">
    <cfRule type="cellIs" dxfId="25" priority="31" operator="equal">
      <formula>0</formula>
    </cfRule>
  </conditionalFormatting>
  <conditionalFormatting sqref="A158:L158">
    <cfRule type="cellIs" dxfId="24" priority="1" operator="equal">
      <formula>0</formula>
    </cfRule>
  </conditionalFormatting>
  <conditionalFormatting sqref="A3:CD133 A134:D134 F134:AH134 AK134:CD134 A135:CD162">
    <cfRule type="cellIs" dxfId="23" priority="18" operator="equal">
      <formula>0</formula>
    </cfRule>
  </conditionalFormatting>
  <conditionalFormatting sqref="B161:B162">
    <cfRule type="cellIs" dxfId="22" priority="9" operator="equal">
      <formula>0</formula>
    </cfRule>
  </conditionalFormatting>
  <conditionalFormatting sqref="D162">
    <cfRule type="cellIs" dxfId="21" priority="8" operator="equal">
      <formula>0</formula>
    </cfRule>
  </conditionalFormatting>
  <conditionalFormatting sqref="G161:G162">
    <cfRule type="cellIs" dxfId="20" priority="4" operator="equal">
      <formula>0</formula>
    </cfRule>
  </conditionalFormatting>
  <conditionalFormatting sqref="L161:L162">
    <cfRule type="cellIs" dxfId="19" priority="3" operator="equal">
      <formula>0</formula>
    </cfRule>
  </conditionalFormatting>
  <conditionalFormatting sqref="L125:AR128 AC136:AC143 AC146:AC149 AC151">
    <cfRule type="cellIs" dxfId="18" priority="14" operator="equal">
      <formula>0</formula>
    </cfRule>
  </conditionalFormatting>
  <conditionalFormatting sqref="N162">
    <cfRule type="cellIs" dxfId="17" priority="5" operator="equal">
      <formula>0</formula>
    </cfRule>
  </conditionalFormatting>
  <conditionalFormatting sqref="T95">
    <cfRule type="cellIs" dxfId="16" priority="24" operator="equal">
      <formula>0</formula>
    </cfRule>
  </conditionalFormatting>
  <conditionalFormatting sqref="AC78">
    <cfRule type="cellIs" dxfId="15" priority="29" operator="equal">
      <formula>0</formula>
    </cfRule>
  </conditionalFormatting>
  <conditionalFormatting sqref="BA124:BI124 BK124:BV124">
    <cfRule type="cellIs" dxfId="14" priority="38" operator="equal">
      <formula>0</formula>
    </cfRule>
  </conditionalFormatting>
  <conditionalFormatting sqref="BA125:BV128 BK136:BK143 BK146:BK149 BK151">
    <cfRule type="cellIs" dxfId="13" priority="15" operator="equal">
      <formula>0</formula>
    </cfRule>
  </conditionalFormatting>
  <conditionalFormatting sqref="BK133:BK134">
    <cfRule type="cellIs" dxfId="12" priority="11" operator="equal">
      <formula>0</formula>
    </cfRule>
  </conditionalFormatting>
  <conditionalFormatting sqref="BQ158:BQ160">
    <cfRule type="cellIs" dxfId="11" priority="17" operator="equal">
      <formula>0</formula>
    </cfRule>
  </conditionalFormatting>
  <pageMargins left="0.7" right="0.7" top="0.75" bottom="0.75" header="0.3" footer="0.3"/>
  <pageSetup paperSize="9" fitToWidth="0" fitToHeight="0" orientation="landscape" r:id="rId1"/>
  <extLst>
    <ext xmlns:x14="http://schemas.microsoft.com/office/spreadsheetml/2009/9/main" uri="{CCE6A557-97BC-4b89-ADB6-D9C93CAAB3DF}">
      <x14:dataValidations xmlns:xm="http://schemas.microsoft.com/office/excel/2006/main" count="11">
        <x14:dataValidation type="list" allowBlank="1" showInputMessage="1" showErrorMessage="1" xr:uid="{2EA5B84A-319A-4EC2-BA36-E2F788C48D1A}">
          <x14:formula1>
            <xm:f>INFORMATIVO!$D$6:$G$6</xm:f>
          </x14:formula1>
          <xm:sqref>BM8:BO9 AZ128:AZ129 BK3:BK1048576</xm:sqref>
        </x14:dataValidation>
        <x14:dataValidation type="list" allowBlank="1" showInputMessage="1" showErrorMessage="1" xr:uid="{FBA34971-8B15-499B-A70E-3AAD974682F6}">
          <x14:formula1>
            <xm:f>INFORMATIVO!$D$8:$G$8</xm:f>
          </x14:formula1>
          <xm:sqref>AA42</xm:sqref>
        </x14:dataValidation>
        <x14:dataValidation type="list" allowBlank="1" showInputMessage="1" showErrorMessage="1" xr:uid="{24D81D9D-533D-4CE1-8E16-C7F0D018E934}">
          <x14:formula1>
            <xm:f>INFORMATIVO!$D$14:$M$14</xm:f>
          </x14:formula1>
          <xm:sqref>T102:T105 T25:T33 T91:T98 T55:T56 T123:T125 T36 T100 T38:T53 T107:T121 T24:U24 T4:T23 T58:T89 T128:T131</xm:sqref>
        </x14:dataValidation>
        <x14:dataValidation type="list" allowBlank="1" showInputMessage="1" showErrorMessage="1" xr:uid="{C8E9D5A1-45EA-4A19-BD5C-01D20FC9A18D}">
          <x14:formula1>
            <xm:f>INFORMATIVO!$D$5:$E$5</xm:f>
          </x14:formula1>
          <xm:sqref>L3:L9</xm:sqref>
        </x14:dataValidation>
        <x14:dataValidation type="list" allowBlank="1" showInputMessage="1" showErrorMessage="1" xr:uid="{CA85FE10-22F6-4881-8EB5-66CC4368CC12}">
          <x14:formula1>
            <xm:f>INFORMATIVO!$D$12:$G$12</xm:f>
          </x14:formula1>
          <xm:sqref>AB42 AF123:AF125 AF3:AF118 AF128:AF131</xm:sqref>
        </x14:dataValidation>
        <x14:dataValidation type="list" allowBlank="1" showInputMessage="1" showErrorMessage="1" xr:uid="{CFFFC0D0-2DC9-46FD-96AF-E7B06569910B}">
          <x14:formula1>
            <xm:f>INFORMATIVO!$D$7:$E$7</xm:f>
          </x14:formula1>
          <xm:sqref>AD123:AD125 BW118:BX118 BD3:BF114 AD3:AD121 BW3:BX116 AD128:AD131 AS128:AU129 BP158:BP160 BW120:BX157 BP3:BQ157</xm:sqref>
        </x14:dataValidation>
        <x14:dataValidation type="list" allowBlank="1" showInputMessage="1" showErrorMessage="1" xr:uid="{31037F24-A721-4164-874E-1FEE315511E8}">
          <x14:formula1>
            <xm:f>INFORMATIVO!$D$13:$J$13</xm:f>
          </x14:formula1>
          <xm:sqref>BL123:BL125 BL129:BL131 BL3:BL121</xm:sqref>
        </x14:dataValidation>
        <x14:dataValidation type="list" allowBlank="1" showInputMessage="1" showErrorMessage="1" xr:uid="{AC38801A-B5B3-4F06-8ED5-08D2050F9D89}">
          <x14:formula1>
            <xm:f>INFORMATIVO!$D$8:$O$8</xm:f>
          </x14:formula1>
          <xm:sqref>AE3:AE121 AE123:AE1048576</xm:sqref>
        </x14:dataValidation>
        <x14:dataValidation type="list" allowBlank="1" showInputMessage="1" showErrorMessage="1" xr:uid="{79BE0995-487B-49B7-8061-6A646542B5F4}">
          <x14:formula1>
            <xm:f>INFORMATIVO!$D$9:$H$9</xm:f>
          </x14:formula1>
          <xm:sqref>AC3:AC131 AC136:AC143 AC146:AC149 AC151 AC155:AC160</xm:sqref>
        </x14:dataValidation>
        <x14:dataValidation type="list" errorStyle="warning" allowBlank="1" showInputMessage="1" errorTitle="Informação fora do Padrão" xr:uid="{0DF581AF-C373-4C2F-BCAB-D42A0A9684D1}">
          <x14:formula1>
            <xm:f>INFORMATIVO!$D$10:$F$10</xm:f>
          </x14:formula1>
          <xm:sqref>AG3:AG1048576</xm:sqref>
        </x14:dataValidation>
        <x14:dataValidation type="list" allowBlank="1" showInputMessage="1" showErrorMessage="1" xr:uid="{D5916DF7-AC9C-4BBE-9E52-330E8D7CD242}">
          <x14:formula1>
            <xm:f>INFORMATIVO!$D$11:$T$11</xm:f>
          </x14:formula1>
          <xm:sqref>AH1:AH1048576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5C8E7-D562-47F3-9B7B-915D02DA227C}">
  <dimension ref="A2:C142"/>
  <sheetViews>
    <sheetView topLeftCell="A101" workbookViewId="0">
      <selection activeCell="N108" sqref="N108"/>
    </sheetView>
  </sheetViews>
  <sheetFormatPr defaultRowHeight="14.45"/>
  <cols>
    <col min="1" max="1" width="34" bestFit="1" customWidth="1"/>
    <col min="2" max="2" width="15.5703125" bestFit="1" customWidth="1"/>
    <col min="3" max="3" width="47.5703125" bestFit="1" customWidth="1"/>
  </cols>
  <sheetData>
    <row r="2" spans="1:3">
      <c r="A2" s="1" t="s">
        <v>1647</v>
      </c>
      <c r="B2" s="1" t="s">
        <v>1648</v>
      </c>
    </row>
    <row r="3" spans="1:3">
      <c r="A3" s="1" t="s">
        <v>1668</v>
      </c>
      <c r="B3" s="1" t="s">
        <v>1648</v>
      </c>
    </row>
    <row r="4" spans="1:3">
      <c r="A4" s="1" t="s">
        <v>1669</v>
      </c>
      <c r="B4" s="1" t="s">
        <v>1648</v>
      </c>
    </row>
    <row r="5" spans="1:3">
      <c r="A5" s="1" t="s">
        <v>689</v>
      </c>
      <c r="B5" s="1" t="s">
        <v>139</v>
      </c>
      <c r="C5" t="str">
        <f t="shared" ref="C5:C36" si="0">B5&amp;" - "&amp;A5</f>
        <v>PL-RJB-EAT0011 - CAIXA VELHA</v>
      </c>
    </row>
    <row r="6" spans="1:3">
      <c r="A6" s="1" t="s">
        <v>1427</v>
      </c>
      <c r="B6" s="1" t="s">
        <v>145</v>
      </c>
      <c r="C6" t="str">
        <f t="shared" si="0"/>
        <v>PL-RJB-EAT0014 - SANTO ANTÔNIO</v>
      </c>
    </row>
    <row r="7" spans="1:3">
      <c r="A7" s="1" t="s">
        <v>1391</v>
      </c>
      <c r="B7" s="1" t="s">
        <v>146</v>
      </c>
      <c r="C7" t="str">
        <f t="shared" si="0"/>
        <v>PL-RJB-EAT0017 - ROLDAO GONCALVES</v>
      </c>
    </row>
    <row r="8" spans="1:3">
      <c r="A8" s="1" t="s">
        <v>1275</v>
      </c>
      <c r="B8" s="1" t="s">
        <v>147</v>
      </c>
      <c r="C8" t="str">
        <f t="shared" si="0"/>
        <v>PL-RJB-EAT0022 - PADRE VIEIRA</v>
      </c>
    </row>
    <row r="9" spans="1:3">
      <c r="A9" s="1" t="s">
        <v>1247</v>
      </c>
      <c r="B9" s="1" t="s">
        <v>148</v>
      </c>
      <c r="C9" t="str">
        <f t="shared" si="0"/>
        <v>PL-RJB-EAT0024 - NILO PECANHA (CEMITERIO)</v>
      </c>
    </row>
    <row r="10" spans="1:3">
      <c r="A10" s="1" t="s">
        <v>1151</v>
      </c>
      <c r="B10" s="1" t="s">
        <v>149</v>
      </c>
      <c r="C10" t="str">
        <f t="shared" si="0"/>
        <v>PL-RJB-EAT0030 - MENA BARRETO</v>
      </c>
    </row>
    <row r="11" spans="1:3">
      <c r="A11" s="1" t="s">
        <v>1143</v>
      </c>
      <c r="B11" s="1" t="s">
        <v>150</v>
      </c>
      <c r="C11" t="str">
        <f t="shared" si="0"/>
        <v>PL-RJB-EAT0031 - MELVIN JONES</v>
      </c>
    </row>
    <row r="12" spans="1:3">
      <c r="A12" s="1" t="s">
        <v>1135</v>
      </c>
      <c r="B12" s="1" t="s">
        <v>151</v>
      </c>
      <c r="C12" t="str">
        <f t="shared" si="0"/>
        <v>PL-RJB-EAT0032 - MAURICIA BORGES</v>
      </c>
    </row>
    <row r="13" spans="1:3">
      <c r="A13" s="1" t="s">
        <v>1188</v>
      </c>
      <c r="B13" s="1" t="s">
        <v>152</v>
      </c>
      <c r="C13" t="str">
        <f t="shared" si="0"/>
        <v>PL-RJB-EAT0039 - MORRO DA MOENDA</v>
      </c>
    </row>
    <row r="14" spans="1:3">
      <c r="A14" s="1" t="s">
        <v>1122</v>
      </c>
      <c r="B14" s="1" t="s">
        <v>153</v>
      </c>
      <c r="C14" t="str">
        <f t="shared" si="0"/>
        <v>PL-RJB-EAT0040 - MANOEL REIS</v>
      </c>
    </row>
    <row r="15" spans="1:3">
      <c r="A15" s="107" t="s">
        <v>633</v>
      </c>
      <c r="B15" s="1" t="s">
        <v>154</v>
      </c>
      <c r="C15" t="str">
        <f t="shared" si="0"/>
        <v>PL-RJB-EAT0042 - BOOSTER POSSE</v>
      </c>
    </row>
    <row r="16" spans="1:3">
      <c r="A16" s="1" t="s">
        <v>1111</v>
      </c>
      <c r="B16" s="1" t="s">
        <v>155</v>
      </c>
      <c r="C16" t="str">
        <f t="shared" si="0"/>
        <v>PL-RJB-EAT0043 - LUCIO TAVARES</v>
      </c>
    </row>
    <row r="17" spans="1:3">
      <c r="A17" s="1" t="s">
        <v>1289</v>
      </c>
      <c r="B17" s="1" t="s">
        <v>156</v>
      </c>
      <c r="C17" t="str">
        <f t="shared" si="0"/>
        <v>PL-RJB-EAT0044 - PALHADA</v>
      </c>
    </row>
    <row r="18" spans="1:3">
      <c r="A18" s="1" t="s">
        <v>1105</v>
      </c>
      <c r="B18" s="1" t="s">
        <v>157</v>
      </c>
      <c r="C18" t="str">
        <f t="shared" si="0"/>
        <v>PL-RJB-EAT0045 - LIBERDADE</v>
      </c>
    </row>
    <row r="19" spans="1:3">
      <c r="A19" s="1" t="s">
        <v>1096</v>
      </c>
      <c r="B19" s="1" t="s">
        <v>158</v>
      </c>
      <c r="C19" t="str">
        <f t="shared" si="0"/>
        <v>PL-RJB-EAT0046 - LIBANEA</v>
      </c>
    </row>
    <row r="20" spans="1:3">
      <c r="A20" s="1" t="s">
        <v>672</v>
      </c>
      <c r="B20" s="1" t="s">
        <v>159</v>
      </c>
      <c r="C20" t="str">
        <f t="shared" si="0"/>
        <v>PL-RJB-EAT0048 - CAIÇARA</v>
      </c>
    </row>
    <row r="21" spans="1:3">
      <c r="A21" s="1" t="s">
        <v>735</v>
      </c>
      <c r="B21" s="1" t="s">
        <v>160</v>
      </c>
      <c r="C21" t="str">
        <f t="shared" si="0"/>
        <v>PL-RJB-EAT0050 - PAIOL</v>
      </c>
    </row>
    <row r="22" spans="1:3">
      <c r="A22" s="1" t="s">
        <v>1067</v>
      </c>
      <c r="B22" s="1" t="s">
        <v>161</v>
      </c>
      <c r="C22" t="str">
        <f t="shared" si="0"/>
        <v>PL-RJB-EAT0053 - IVO MIRANDA</v>
      </c>
    </row>
    <row r="23" spans="1:3">
      <c r="A23" s="1" t="s">
        <v>717</v>
      </c>
      <c r="B23" s="1" t="s">
        <v>162</v>
      </c>
      <c r="C23" t="str">
        <f t="shared" si="0"/>
        <v>PL-RJB-EAT0056 - CANADENSE</v>
      </c>
    </row>
    <row r="24" spans="1:3">
      <c r="A24" s="1" t="s">
        <v>1375</v>
      </c>
      <c r="B24" s="1" t="s">
        <v>163</v>
      </c>
      <c r="C24" t="str">
        <f t="shared" si="0"/>
        <v>PL-RJB-EAT0059 - RODILÂNDIA</v>
      </c>
    </row>
    <row r="25" spans="1:3">
      <c r="A25" s="1" t="s">
        <v>1498</v>
      </c>
      <c r="B25" s="1" t="s">
        <v>164</v>
      </c>
      <c r="C25" t="str">
        <f t="shared" si="0"/>
        <v>PL-RJB-EAT0061 - TRÊS CORAÇÕES</v>
      </c>
    </row>
    <row r="26" spans="1:3">
      <c r="A26" s="1" t="s">
        <v>899</v>
      </c>
      <c r="B26" s="1" t="s">
        <v>165</v>
      </c>
      <c r="C26" t="str">
        <f t="shared" si="0"/>
        <v>PL-RJB-EAT0062 - EDNA</v>
      </c>
    </row>
    <row r="27" spans="1:3">
      <c r="A27" s="1" t="s">
        <v>970</v>
      </c>
      <c r="B27" s="1" t="s">
        <v>166</v>
      </c>
      <c r="C27" t="str">
        <f t="shared" si="0"/>
        <v>PL-RJB-EAT0065 - FLORESTA MIRANDA</v>
      </c>
    </row>
    <row r="28" spans="1:3">
      <c r="A28" s="1" t="s">
        <v>954</v>
      </c>
      <c r="B28" s="1" t="s">
        <v>170</v>
      </c>
      <c r="C28" t="str">
        <f t="shared" si="0"/>
        <v>PL-RJB-EAT0066 - EXPEDICIONARIOS</v>
      </c>
    </row>
    <row r="29" spans="1:3">
      <c r="A29" s="1" t="s">
        <v>1171</v>
      </c>
      <c r="B29" s="1" t="s">
        <v>175</v>
      </c>
      <c r="C29" t="str">
        <f t="shared" si="0"/>
        <v>PL-RJB-EAT0068 - MORRO DA COCADA</v>
      </c>
    </row>
    <row r="30" spans="1:3">
      <c r="A30" s="1" t="s">
        <v>869</v>
      </c>
      <c r="B30" s="1" t="s">
        <v>180</v>
      </c>
      <c r="C30" t="str">
        <f t="shared" si="0"/>
        <v>PL-RJB-EAT0069 - DINAMARCO REIS</v>
      </c>
    </row>
    <row r="31" spans="1:3">
      <c r="A31" s="1" t="s">
        <v>946</v>
      </c>
      <c r="B31" s="1" t="s">
        <v>199</v>
      </c>
      <c r="C31" t="str">
        <f t="shared" si="0"/>
        <v>PL-RJB-EAT0075 - ESPLANADA</v>
      </c>
    </row>
    <row r="32" spans="1:3">
      <c r="A32" s="1" t="s">
        <v>981</v>
      </c>
      <c r="B32" s="1" t="s">
        <v>205</v>
      </c>
      <c r="C32" t="str">
        <f t="shared" si="0"/>
        <v>PL-RJB-EAT0082 - FRANCISCO XAVIER</v>
      </c>
    </row>
    <row r="33" spans="1:3">
      <c r="A33" s="1" t="s">
        <v>478</v>
      </c>
      <c r="B33" s="1" t="s">
        <v>207</v>
      </c>
      <c r="C33" t="str">
        <f t="shared" si="0"/>
        <v>PL-RJB-EAT0083 - BELO HORIZONTE</v>
      </c>
    </row>
    <row r="34" spans="1:3">
      <c r="A34" s="1" t="s">
        <v>1156</v>
      </c>
      <c r="B34" s="1" t="s">
        <v>209</v>
      </c>
      <c r="C34" t="str">
        <f t="shared" si="0"/>
        <v>PL-RJB-EAT0086 - MESQUITA G1</v>
      </c>
    </row>
    <row r="35" spans="1:3">
      <c r="A35" s="1" t="s">
        <v>1033</v>
      </c>
      <c r="B35" s="1" t="s">
        <v>211</v>
      </c>
      <c r="C35" t="str">
        <f t="shared" si="0"/>
        <v>PL-RJB-EAT0087 - INDIA PORTUGUESA</v>
      </c>
    </row>
    <row r="36" spans="1:3">
      <c r="A36" s="1" t="s">
        <v>428</v>
      </c>
      <c r="B36" s="1" t="s">
        <v>212</v>
      </c>
      <c r="C36" t="str">
        <f t="shared" si="0"/>
        <v>PL-RJB-EAT0088 - ÂNGELA MARIA</v>
      </c>
    </row>
    <row r="37" spans="1:3">
      <c r="A37" s="1" t="s">
        <v>1677</v>
      </c>
      <c r="B37" s="1" t="s">
        <v>213</v>
      </c>
      <c r="C37" t="str">
        <f t="shared" ref="C37:C68" si="1">B37&amp;" - "&amp;A37</f>
        <v>PL-RJB-EAT0093 - ALTO MILITÂO</v>
      </c>
    </row>
    <row r="38" spans="1:3">
      <c r="A38" s="1" t="s">
        <v>1678</v>
      </c>
      <c r="B38" s="1" t="s">
        <v>213</v>
      </c>
      <c r="C38" t="str">
        <f t="shared" si="1"/>
        <v>PL-RJB-EAT0093 - ADOLFO BERGAMINI</v>
      </c>
    </row>
    <row r="39" spans="1:3">
      <c r="A39" s="1" t="s">
        <v>1524</v>
      </c>
      <c r="B39" s="1" t="s">
        <v>214</v>
      </c>
      <c r="C39" t="str">
        <f t="shared" si="1"/>
        <v>PL-RJB-EAT0098 - WALLACE PAES LEME</v>
      </c>
    </row>
    <row r="40" spans="1:3">
      <c r="A40" s="1" t="s">
        <v>1352</v>
      </c>
      <c r="B40" s="1" t="s">
        <v>215</v>
      </c>
      <c r="C40" t="str">
        <f t="shared" si="1"/>
        <v>PL-RJB-EAT0099 - PINDORAMA</v>
      </c>
    </row>
    <row r="41" spans="1:3">
      <c r="A41" s="1" t="s">
        <v>1342</v>
      </c>
      <c r="B41" s="1" t="s">
        <v>135</v>
      </c>
      <c r="C41" t="str">
        <f t="shared" si="1"/>
        <v>PL-RJB-EAT0102 - QUISSUCO</v>
      </c>
    </row>
    <row r="42" spans="1:3">
      <c r="A42" s="1" t="s">
        <v>919</v>
      </c>
      <c r="B42" s="1" t="s">
        <v>136</v>
      </c>
      <c r="C42" t="str">
        <f t="shared" si="1"/>
        <v>PL-RJB-EAT0104 - EL SHADAY</v>
      </c>
    </row>
    <row r="43" spans="1:3">
      <c r="A43" s="1" t="s">
        <v>783</v>
      </c>
      <c r="B43" s="1" t="s">
        <v>137</v>
      </c>
      <c r="C43" t="str">
        <f t="shared" si="1"/>
        <v>PL-RJB-EAT0108 - CEFET</v>
      </c>
    </row>
    <row r="44" spans="1:3">
      <c r="A44" s="1" t="s">
        <v>1036</v>
      </c>
      <c r="B44" s="1" t="s">
        <v>138</v>
      </c>
      <c r="C44" t="str">
        <f t="shared" si="1"/>
        <v>PL-RJB-EAT0109 - ITAPEMIRIM</v>
      </c>
    </row>
    <row r="45" spans="1:3">
      <c r="A45" s="1" t="s">
        <v>990</v>
      </c>
      <c r="B45" s="1" t="s">
        <v>140</v>
      </c>
      <c r="C45" t="str">
        <f t="shared" si="1"/>
        <v>PL-RJB-EAT0110 - GAMA</v>
      </c>
    </row>
    <row r="46" spans="1:3">
      <c r="A46" s="1" t="s">
        <v>376</v>
      </c>
      <c r="B46" s="1" t="s">
        <v>141</v>
      </c>
      <c r="C46" t="str">
        <f t="shared" si="1"/>
        <v>PL-RJB-EAT0113 - NILÓPOLIS</v>
      </c>
    </row>
    <row r="47" spans="1:3">
      <c r="A47" s="1" t="s">
        <v>935</v>
      </c>
      <c r="B47" s="1" t="s">
        <v>142</v>
      </c>
      <c r="C47" t="str">
        <f t="shared" si="1"/>
        <v>PL-RJB-EAT0117 - ENGENHARIA</v>
      </c>
    </row>
    <row r="48" spans="1:3">
      <c r="A48" s="107" t="s">
        <v>573</v>
      </c>
      <c r="B48" s="1" t="s">
        <v>143</v>
      </c>
      <c r="C48" t="str">
        <f t="shared" si="1"/>
        <v>PL-RJB-EAT0122 - BOOSTER ENGENHEIRO PEDREIRA</v>
      </c>
    </row>
    <row r="49" spans="1:3">
      <c r="A49" s="1" t="s">
        <v>1257</v>
      </c>
      <c r="B49" s="1" t="s">
        <v>144</v>
      </c>
      <c r="C49" t="str">
        <f t="shared" si="1"/>
        <v>PL-RJB-EAT0124 - NOÊMIA VIEIRA</v>
      </c>
    </row>
    <row r="50" spans="1:3">
      <c r="A50" s="1" t="s">
        <v>657</v>
      </c>
      <c r="B50" s="1" t="s">
        <v>176</v>
      </c>
      <c r="C50" t="str">
        <f t="shared" si="1"/>
        <v>PL-RJB-EAT0684 - BURITI</v>
      </c>
    </row>
    <row r="51" spans="1:3">
      <c r="A51" s="1" t="s">
        <v>418</v>
      </c>
      <c r="B51" s="1" t="s">
        <v>177</v>
      </c>
      <c r="C51" t="str">
        <f t="shared" si="1"/>
        <v>PL-RJB-EAT0687 - AMAURI GUIMARAES</v>
      </c>
    </row>
    <row r="52" spans="1:3">
      <c r="A52" s="1" t="s">
        <v>469</v>
      </c>
      <c r="B52" s="1" t="s">
        <v>178</v>
      </c>
      <c r="C52" t="str">
        <f t="shared" si="1"/>
        <v>PL-RJB-EAT0688 - BEIRA LINHA</v>
      </c>
    </row>
    <row r="53" spans="1:3">
      <c r="A53" s="107" t="s">
        <v>549</v>
      </c>
      <c r="B53" s="1" t="s">
        <v>179</v>
      </c>
      <c r="C53" t="str">
        <f t="shared" si="1"/>
        <v>PL-RJB-EAT0689 - BOOSTER CABUÇU ALTO</v>
      </c>
    </row>
    <row r="54" spans="1:3">
      <c r="A54" s="1" t="s">
        <v>997</v>
      </c>
      <c r="B54" s="1" t="s">
        <v>181</v>
      </c>
      <c r="C54" t="str">
        <f t="shared" si="1"/>
        <v>PL-RJB-EAT0691 - GOLDEN GATE</v>
      </c>
    </row>
    <row r="55" spans="1:3">
      <c r="A55" s="1" t="s">
        <v>1323</v>
      </c>
      <c r="B55" s="1" t="s">
        <v>182</v>
      </c>
      <c r="C55" t="str">
        <f t="shared" si="1"/>
        <v>PL-RJB-EAT0692 - PRAÇA DA BÍBLIA</v>
      </c>
    </row>
    <row r="56" spans="1:3">
      <c r="A56" s="1" t="s">
        <v>912</v>
      </c>
      <c r="B56" s="1" t="s">
        <v>183</v>
      </c>
      <c r="C56" t="str">
        <f t="shared" si="1"/>
        <v>PL-RJB-EAT0693 - EDUARDO CELIDÔNIO</v>
      </c>
    </row>
    <row r="57" spans="1:3">
      <c r="A57" s="1" t="s">
        <v>1073</v>
      </c>
      <c r="B57" s="1" t="s">
        <v>184</v>
      </c>
      <c r="C57" t="str">
        <f t="shared" si="1"/>
        <v>PL-RJB-EAT0694 - JOSE VIRGILIO DO PRADO</v>
      </c>
    </row>
    <row r="58" spans="1:3">
      <c r="A58" s="107" t="s">
        <v>494</v>
      </c>
      <c r="B58" s="1" t="s">
        <v>185</v>
      </c>
      <c r="C58" t="str">
        <f t="shared" si="1"/>
        <v>PL-RJB-EAT0695 - BOOSTER AUSTIN</v>
      </c>
    </row>
    <row r="59" spans="1:3">
      <c r="A59" s="1" t="s">
        <v>443</v>
      </c>
      <c r="B59" s="1" t="s">
        <v>186</v>
      </c>
      <c r="C59" t="str">
        <f t="shared" si="1"/>
        <v>PL-RJB-EAT0697 - QUEIMADOS</v>
      </c>
    </row>
    <row r="60" spans="1:3">
      <c r="A60" s="1" t="s">
        <v>1576</v>
      </c>
      <c r="B60" s="1" t="s">
        <v>111</v>
      </c>
      <c r="C60" t="str">
        <f t="shared" si="1"/>
        <v>PL-RJB-EAT0723 - VILA RORAIMA</v>
      </c>
    </row>
    <row r="61" spans="1:3">
      <c r="A61" s="1" t="s">
        <v>1613</v>
      </c>
      <c r="B61" s="1" t="s">
        <v>112</v>
      </c>
      <c r="C61" t="str">
        <f t="shared" si="1"/>
        <v>PL-RJB-EAT0724 - BIQUINHA</v>
      </c>
    </row>
    <row r="62" spans="1:3">
      <c r="A62" s="1" t="s">
        <v>1298</v>
      </c>
      <c r="B62" s="1" t="s">
        <v>187</v>
      </c>
      <c r="C62" t="str">
        <f t="shared" si="1"/>
        <v>PL-RJB-EAT0733 - PARQUE MARAVILHA</v>
      </c>
    </row>
    <row r="63" spans="1:3">
      <c r="A63" s="1" t="s">
        <v>1267</v>
      </c>
      <c r="B63" s="1" t="s">
        <v>188</v>
      </c>
      <c r="C63" t="str">
        <f t="shared" si="1"/>
        <v>PL-RJB-EAT0735 - OLIVIA MARIA MACHADO</v>
      </c>
    </row>
    <row r="64" spans="1:3">
      <c r="A64" s="1" t="s">
        <v>440</v>
      </c>
      <c r="B64" s="1" t="s">
        <v>189</v>
      </c>
      <c r="C64" t="str">
        <f t="shared" si="1"/>
        <v>PL-RJB-EAT0736 - ANTONIO VALDIGEM</v>
      </c>
    </row>
    <row r="65" spans="1:3">
      <c r="A65" s="1" t="s">
        <v>1253</v>
      </c>
      <c r="B65" s="1" t="s">
        <v>190</v>
      </c>
      <c r="C65" t="str">
        <f t="shared" si="1"/>
        <v>PL-RJB-EAT0737 - ODILON BRAGA</v>
      </c>
    </row>
    <row r="66" spans="1:3">
      <c r="A66" s="1" t="s">
        <v>1200</v>
      </c>
      <c r="B66" s="1" t="s">
        <v>191</v>
      </c>
      <c r="C66" t="str">
        <f t="shared" si="1"/>
        <v>PL-RJB-EAT0738 - MORRO DO TEMPERO</v>
      </c>
    </row>
    <row r="67" spans="1:3">
      <c r="A67" s="1" t="s">
        <v>1478</v>
      </c>
      <c r="B67" s="1" t="s">
        <v>192</v>
      </c>
      <c r="C67" t="str">
        <f t="shared" si="1"/>
        <v>PL-RJB-EAT0739 - TIMBO</v>
      </c>
    </row>
    <row r="68" spans="1:3">
      <c r="A68" s="1" t="s">
        <v>792</v>
      </c>
      <c r="B68" s="1" t="s">
        <v>193</v>
      </c>
      <c r="C68" t="str">
        <f t="shared" si="1"/>
        <v>PL-RJB-EAT0741 - CHATUBA</v>
      </c>
    </row>
    <row r="69" spans="1:3">
      <c r="A69" s="1" t="s">
        <v>1592</v>
      </c>
      <c r="B69" s="1" t="s">
        <v>194</v>
      </c>
      <c r="C69" t="str">
        <f t="shared" ref="C69:C100" si="2">B69&amp;" - "&amp;A69</f>
        <v>PL-RJB-EAT0744 - SANTA RITA</v>
      </c>
    </row>
    <row r="70" spans="1:3">
      <c r="A70" s="1" t="s">
        <v>1003</v>
      </c>
      <c r="B70" s="1" t="s">
        <v>195</v>
      </c>
      <c r="C70" t="str">
        <f t="shared" si="2"/>
        <v>PL-RJB-EAT0745 - GRAMA</v>
      </c>
    </row>
    <row r="71" spans="1:3">
      <c r="A71" s="107" t="s">
        <v>602</v>
      </c>
      <c r="B71" s="1" t="s">
        <v>196</v>
      </c>
      <c r="C71" t="str">
        <f t="shared" si="2"/>
        <v>PL-RJB-EAT0746 - BOOSTER JK</v>
      </c>
    </row>
    <row r="72" spans="1:3">
      <c r="A72" s="1" t="s">
        <v>1116</v>
      </c>
      <c r="B72" s="1" t="s">
        <v>197</v>
      </c>
      <c r="C72" t="str">
        <f t="shared" si="2"/>
        <v>PL-RJB-EAT0747 - MACIEL</v>
      </c>
    </row>
    <row r="73" spans="1:3">
      <c r="A73" s="1" t="s">
        <v>1062</v>
      </c>
      <c r="B73" s="1" t="s">
        <v>198</v>
      </c>
      <c r="C73" t="str">
        <f t="shared" si="2"/>
        <v>PL-RJB-EAT0748 - ITORORÓ</v>
      </c>
    </row>
    <row r="74" spans="1:3">
      <c r="A74" s="1" t="s">
        <v>1464</v>
      </c>
      <c r="B74" s="1" t="s">
        <v>200</v>
      </c>
      <c r="C74" t="str">
        <f t="shared" si="2"/>
        <v>PL-RJB-EAT0751 - TABELIÃO MURILO COSTA</v>
      </c>
    </row>
    <row r="75" spans="1:3">
      <c r="A75" s="1" t="s">
        <v>889</v>
      </c>
      <c r="B75" s="1" t="s">
        <v>201</v>
      </c>
      <c r="C75" t="str">
        <f t="shared" si="2"/>
        <v>PL-RJB-EAT0761 - DORALICE</v>
      </c>
    </row>
    <row r="76" spans="1:3">
      <c r="A76" s="1" t="s">
        <v>1554</v>
      </c>
      <c r="B76" s="1" t="s">
        <v>113</v>
      </c>
      <c r="C76" t="str">
        <f t="shared" si="2"/>
        <v>PL-RJB-EAT0774 - MONTE LIBANO</v>
      </c>
    </row>
    <row r="77" spans="1:3">
      <c r="A77" s="1" t="s">
        <v>1599</v>
      </c>
      <c r="B77" s="1" t="s">
        <v>114</v>
      </c>
      <c r="C77" t="str">
        <f t="shared" si="2"/>
        <v>PL-RJB-EAT0775 - BOOSTER BNH</v>
      </c>
    </row>
    <row r="78" spans="1:3">
      <c r="A78" s="1" t="s">
        <v>1015</v>
      </c>
      <c r="B78" s="1" t="s">
        <v>202</v>
      </c>
      <c r="C78" t="str">
        <f t="shared" si="2"/>
        <v>PL-RJB-EAT0811 - GRANJA ROSALINA</v>
      </c>
    </row>
    <row r="79" spans="1:3">
      <c r="A79" s="1" t="s">
        <v>829</v>
      </c>
      <c r="B79" s="1" t="s">
        <v>203</v>
      </c>
      <c r="C79" t="str">
        <f t="shared" si="2"/>
        <v>PL-RJB-EAT0816 - DANON</v>
      </c>
    </row>
    <row r="80" spans="1:3">
      <c r="A80" s="1" t="s">
        <v>1508</v>
      </c>
      <c r="B80" s="1" t="s">
        <v>204</v>
      </c>
      <c r="C80" t="str">
        <f t="shared" si="2"/>
        <v>PL-RJB-EAT0817 - YOLANDA</v>
      </c>
    </row>
    <row r="81" spans="1:3">
      <c r="A81" s="1" t="s">
        <v>770</v>
      </c>
      <c r="B81" s="1" t="s">
        <v>115</v>
      </c>
      <c r="C81" t="str">
        <f t="shared" si="2"/>
        <v>PL-RJB-EAT0821 - CAONZE</v>
      </c>
    </row>
    <row r="82" spans="1:3">
      <c r="A82" s="1" t="s">
        <v>747</v>
      </c>
      <c r="B82" s="1" t="s">
        <v>206</v>
      </c>
      <c r="C82" t="str">
        <f t="shared" si="2"/>
        <v>PL-RJB-EAT0822 - CARLOS SAMPAIO</v>
      </c>
    </row>
    <row r="83" spans="1:3">
      <c r="A83" s="1" t="s">
        <v>1308</v>
      </c>
      <c r="B83" s="1" t="s">
        <v>116</v>
      </c>
      <c r="C83" t="str">
        <f t="shared" si="2"/>
        <v>PL-RJB-EAT0823 - PASTOR ANTONIO MARTINS</v>
      </c>
    </row>
    <row r="84" spans="1:3">
      <c r="A84" s="1" t="s">
        <v>1437</v>
      </c>
      <c r="B84" s="1" t="s">
        <v>117</v>
      </c>
      <c r="C84" t="str">
        <f t="shared" si="2"/>
        <v>PL-RJB-EAT0824 - SÃO JOAQUIM</v>
      </c>
    </row>
    <row r="85" spans="1:3">
      <c r="A85" s="1" t="s">
        <v>1219</v>
      </c>
      <c r="B85" s="1" t="s">
        <v>118</v>
      </c>
      <c r="C85" t="str">
        <f t="shared" si="2"/>
        <v>PL-RJB-EAT0825 - NESTOR MARINHO</v>
      </c>
    </row>
    <row r="86" spans="1:3">
      <c r="A86" s="1" t="s">
        <v>1489</v>
      </c>
      <c r="B86" s="1" t="s">
        <v>119</v>
      </c>
      <c r="C86" t="str">
        <f t="shared" si="2"/>
        <v>PL-RJB-EAT0828 - VISTA ALEGRE</v>
      </c>
    </row>
    <row r="87" spans="1:3">
      <c r="A87" s="1" t="s">
        <v>1472</v>
      </c>
      <c r="B87" s="1" t="s">
        <v>120</v>
      </c>
      <c r="C87" t="str">
        <f t="shared" si="2"/>
        <v>PL-RJB-EAT0829 - TACIANO MANACÁ</v>
      </c>
    </row>
    <row r="88" spans="1:3">
      <c r="A88" s="1" t="s">
        <v>1051</v>
      </c>
      <c r="B88" s="1" t="s">
        <v>121</v>
      </c>
      <c r="C88" t="str">
        <f t="shared" si="2"/>
        <v>PL-RJB-EAT0830 - ITAPAGE</v>
      </c>
    </row>
    <row r="89" spans="1:3">
      <c r="A89" s="1" t="s">
        <v>1449</v>
      </c>
      <c r="B89" s="1" t="s">
        <v>208</v>
      </c>
      <c r="C89" t="str">
        <f t="shared" si="2"/>
        <v>PL-RJB-EAT0831 - SHEIK REJANE</v>
      </c>
    </row>
    <row r="90" spans="1:3">
      <c r="A90" s="1" t="s">
        <v>1214</v>
      </c>
      <c r="B90" s="1" t="s">
        <v>122</v>
      </c>
      <c r="C90" t="str">
        <f t="shared" si="2"/>
        <v>PL-RJB-EAT0832 - MORRO DOS 40</v>
      </c>
    </row>
    <row r="91" spans="1:3">
      <c r="A91" s="1" t="s">
        <v>810</v>
      </c>
      <c r="B91" s="1" t="s">
        <v>123</v>
      </c>
      <c r="C91" t="str">
        <f t="shared" si="2"/>
        <v>PL-RJB-EAT0833 - CITROPOLIS</v>
      </c>
    </row>
    <row r="92" spans="1:3">
      <c r="A92" s="1" t="s">
        <v>881</v>
      </c>
      <c r="B92" s="1" t="s">
        <v>124</v>
      </c>
      <c r="C92" t="str">
        <f t="shared" si="2"/>
        <v>PL-RJB-EAT0834 - DIVINO</v>
      </c>
    </row>
    <row r="93" spans="1:3">
      <c r="A93" s="1" t="s">
        <v>737</v>
      </c>
      <c r="B93" s="1" t="s">
        <v>125</v>
      </c>
      <c r="C93" t="str">
        <f t="shared" si="2"/>
        <v>PL-RJB-EAT0835 - CARAMUJOS</v>
      </c>
    </row>
    <row r="94" spans="1:3">
      <c r="A94" s="1" t="s">
        <v>846</v>
      </c>
      <c r="B94" s="1" t="s">
        <v>126</v>
      </c>
      <c r="C94" t="str">
        <f t="shared" si="2"/>
        <v>PL-RJB-EAT0836 - DAS ROSAS</v>
      </c>
    </row>
    <row r="95" spans="1:3">
      <c r="A95" s="1" t="s">
        <v>1026</v>
      </c>
      <c r="B95" s="1" t="s">
        <v>127</v>
      </c>
      <c r="C95" t="str">
        <f t="shared" si="2"/>
        <v>PL-RJB-EAT0837 - IARA</v>
      </c>
    </row>
    <row r="96" spans="1:3">
      <c r="A96" s="1" t="s">
        <v>702</v>
      </c>
      <c r="B96" s="1" t="s">
        <v>128</v>
      </c>
      <c r="C96" t="str">
        <f t="shared" si="2"/>
        <v>PL-RJB-EAT0847 - CABUÇU BAIXO</v>
      </c>
    </row>
    <row r="97" spans="1:3">
      <c r="A97" s="1" t="s">
        <v>858</v>
      </c>
      <c r="B97" s="1" t="s">
        <v>129</v>
      </c>
      <c r="C97" t="str">
        <f t="shared" si="2"/>
        <v>PL-RJB-EAT0848 - DA SERRA</v>
      </c>
    </row>
    <row r="98" spans="1:3">
      <c r="A98" s="1" t="s">
        <v>858</v>
      </c>
      <c r="B98" s="1" t="s">
        <v>129</v>
      </c>
      <c r="C98" t="str">
        <f t="shared" si="2"/>
        <v>PL-RJB-EAT0848 - DA SERRA</v>
      </c>
    </row>
    <row r="99" spans="1:3">
      <c r="A99" s="1" t="s">
        <v>1526</v>
      </c>
      <c r="B99" s="1" t="s">
        <v>130</v>
      </c>
      <c r="C99" t="str">
        <f t="shared" si="2"/>
        <v>PL-RJB-EAT0849 - 3º LINHA PRETA</v>
      </c>
    </row>
    <row r="100" spans="1:3">
      <c r="A100" s="1" t="s">
        <v>1542</v>
      </c>
      <c r="B100" s="1" t="s">
        <v>210</v>
      </c>
      <c r="C100" t="str">
        <f t="shared" si="2"/>
        <v>PL-RJB-EAT0861 - CLUBE 34</v>
      </c>
    </row>
    <row r="101" spans="1:3">
      <c r="A101" s="1" t="s">
        <v>1621</v>
      </c>
      <c r="B101" s="1" t="s">
        <v>1622</v>
      </c>
      <c r="C101" t="str">
        <f t="shared" ref="C101:C122" si="3">B101&amp;" - "&amp;A101</f>
        <v>PL-RJB-EAT0928 - BENTO RUBIÃO</v>
      </c>
    </row>
    <row r="102" spans="1:3">
      <c r="A102" s="1" t="s">
        <v>1630</v>
      </c>
      <c r="B102" s="1" t="s">
        <v>1631</v>
      </c>
      <c r="C102" t="str">
        <f t="shared" si="3"/>
        <v>PL-RJB-EAT0929 - JAQUEIRA</v>
      </c>
    </row>
    <row r="103" spans="1:3">
      <c r="A103" s="1" t="s">
        <v>1617</v>
      </c>
      <c r="B103" s="1" t="s">
        <v>1618</v>
      </c>
      <c r="C103" t="str">
        <f t="shared" si="3"/>
        <v>PL-RJB-EAT0933 - BAIXO PEDREIRA</v>
      </c>
    </row>
    <row r="104" spans="1:3">
      <c r="A104" s="1" t="s">
        <v>1645</v>
      </c>
      <c r="B104" s="1" t="s">
        <v>1646</v>
      </c>
      <c r="C104" t="str">
        <f t="shared" si="3"/>
        <v>PL-RJB-EAT0934 - ADIBE SAAD</v>
      </c>
    </row>
    <row r="105" spans="1:3">
      <c r="A105" s="1" t="s">
        <v>1670</v>
      </c>
      <c r="B105" s="1" t="s">
        <v>1671</v>
      </c>
      <c r="C105" t="str">
        <f t="shared" si="3"/>
        <v>PL-RJB-EAT0970 - DANON 2</v>
      </c>
    </row>
    <row r="106" spans="1:3">
      <c r="A106" s="1" t="s">
        <v>1581</v>
      </c>
      <c r="B106" s="1" t="s">
        <v>1582</v>
      </c>
      <c r="C106" t="str">
        <f t="shared" si="3"/>
        <v>PL-RJB-EAT0971 - VILA RORAIMA 2</v>
      </c>
    </row>
    <row r="107" spans="1:3">
      <c r="A107" s="1" t="s">
        <v>1666</v>
      </c>
      <c r="B107" s="1" t="s">
        <v>1667</v>
      </c>
      <c r="C107" t="str">
        <f t="shared" si="3"/>
        <v>PL-RJB-EAT0972 - Morro do Cruzeiro</v>
      </c>
    </row>
    <row r="108" spans="1:3">
      <c r="A108" s="1" t="s">
        <v>1673</v>
      </c>
      <c r="B108" s="1" t="s">
        <v>1674</v>
      </c>
      <c r="C108" t="str">
        <f t="shared" si="3"/>
        <v>PL-RJB-EAT0973 - CIRILO</v>
      </c>
    </row>
    <row r="109" spans="1:3">
      <c r="A109" s="107" t="s">
        <v>526</v>
      </c>
      <c r="B109" s="1" t="s">
        <v>131</v>
      </c>
      <c r="C109" t="str">
        <f t="shared" si="3"/>
        <v>PL-RJB-EAT1005 - BOOSTER BRASÍLIA</v>
      </c>
    </row>
    <row r="110" spans="1:3">
      <c r="A110" s="1" t="s">
        <v>1024</v>
      </c>
      <c r="B110" s="1" t="s">
        <v>132</v>
      </c>
      <c r="C110" t="str">
        <f t="shared" si="3"/>
        <v>PL-RJB-EAT1013 - HADDOCK LOBO</v>
      </c>
    </row>
    <row r="111" spans="1:3">
      <c r="A111" s="1" t="s">
        <v>1178</v>
      </c>
      <c r="B111" s="1" t="s">
        <v>133</v>
      </c>
      <c r="C111" t="str">
        <f t="shared" si="3"/>
        <v>PL-RJB-EAT1014 - MORRO DA TORRE</v>
      </c>
    </row>
    <row r="112" spans="1:3">
      <c r="A112" s="1" t="s">
        <v>776</v>
      </c>
      <c r="B112" s="1" t="s">
        <v>134</v>
      </c>
      <c r="C112" t="str">
        <f t="shared" si="3"/>
        <v>PL-RJB-EAT1016 - CASA DE CUSTÓDIA COTRIN NETO</v>
      </c>
    </row>
    <row r="113" spans="1:3">
      <c r="A113" s="1" t="s">
        <v>792</v>
      </c>
      <c r="B113" s="1" t="s">
        <v>1562</v>
      </c>
      <c r="C113" t="str">
        <f t="shared" si="3"/>
        <v>PL-RJB-EEE0073  - CHATUBA</v>
      </c>
    </row>
    <row r="114" spans="1:3">
      <c r="A114" s="1" t="s">
        <v>1078</v>
      </c>
      <c r="B114" s="1" t="s">
        <v>230</v>
      </c>
      <c r="C114" t="str">
        <f t="shared" si="3"/>
        <v>PL-RJB-EEE0082 - LAGOINHA</v>
      </c>
    </row>
    <row r="115" spans="1:3">
      <c r="A115" s="1" t="s">
        <v>1086</v>
      </c>
      <c r="B115" s="1" t="s">
        <v>231</v>
      </c>
      <c r="C115" t="str">
        <f t="shared" si="3"/>
        <v>PL-RJB-EEE0083 - LAGOINHA II</v>
      </c>
    </row>
    <row r="116" spans="1:3">
      <c r="A116" s="1" t="s">
        <v>1572</v>
      </c>
      <c r="B116" s="1" t="s">
        <v>217</v>
      </c>
      <c r="C116" t="str">
        <f t="shared" si="3"/>
        <v>PL-RJB-EEE0100 - BANCO DE AREIA</v>
      </c>
    </row>
    <row r="117" spans="1:3">
      <c r="A117" s="1" t="s">
        <v>1397</v>
      </c>
      <c r="B117" s="1" t="s">
        <v>218</v>
      </c>
      <c r="C117" t="str">
        <f t="shared" si="3"/>
        <v>PL-RJB-EEE1006 - SANTO ELIAS</v>
      </c>
    </row>
    <row r="118" spans="1:3">
      <c r="A118" s="1" t="s">
        <v>1568</v>
      </c>
      <c r="B118" s="1" t="s">
        <v>226</v>
      </c>
      <c r="C118" t="str">
        <f t="shared" si="3"/>
        <v>PL-RJB-EEE1100 - VILA NORMA</v>
      </c>
    </row>
    <row r="119" spans="1:3">
      <c r="A119" s="1" t="s">
        <v>964</v>
      </c>
      <c r="B119" s="1" t="s">
        <v>107</v>
      </c>
      <c r="C119" t="str">
        <f t="shared" si="3"/>
        <v>PL-RJB-ETE0040 - ETE LAGOINHA</v>
      </c>
    </row>
    <row r="120" spans="1:3">
      <c r="A120" s="1" t="s">
        <v>1440</v>
      </c>
      <c r="B120" s="1" t="s">
        <v>93</v>
      </c>
      <c r="C120" t="str">
        <f t="shared" si="3"/>
        <v>PL-RJB-ETE1007 - SÃO JORGE</v>
      </c>
    </row>
    <row r="121" spans="1:3">
      <c r="A121" s="1" t="s">
        <v>1369</v>
      </c>
      <c r="B121" s="1" t="s">
        <v>77</v>
      </c>
      <c r="C121" t="str">
        <f t="shared" si="3"/>
        <v>PL-RJB-RES0107 - RESERVATÓRIO NILÓPOLIS</v>
      </c>
    </row>
    <row r="122" spans="1:3">
      <c r="A122" s="1" t="s">
        <v>1363</v>
      </c>
      <c r="B122" s="1" t="s">
        <v>82</v>
      </c>
      <c r="C122" t="str">
        <f t="shared" si="3"/>
        <v>PL-RJB-RES0113 - RESERVATÓRIO CABUÇU ALTO</v>
      </c>
    </row>
    <row r="123" spans="1:3">
      <c r="A123" s="1" t="s">
        <v>1629</v>
      </c>
      <c r="B123" s="1"/>
    </row>
    <row r="124" spans="1:3">
      <c r="A124" s="1" t="s">
        <v>1635</v>
      </c>
      <c r="B124" s="1"/>
    </row>
    <row r="125" spans="1:3">
      <c r="A125" s="1" t="s">
        <v>1636</v>
      </c>
      <c r="B125" s="1"/>
    </row>
    <row r="126" spans="1:3">
      <c r="A126" s="1" t="s">
        <v>1640</v>
      </c>
      <c r="B126" s="1"/>
    </row>
    <row r="127" spans="1:3">
      <c r="A127" s="1" t="s">
        <v>1642</v>
      </c>
      <c r="B127" s="1"/>
    </row>
    <row r="128" spans="1:3">
      <c r="A128" s="1" t="s">
        <v>1644</v>
      </c>
      <c r="B128" s="1"/>
    </row>
    <row r="129" spans="1:2">
      <c r="A129" s="1" t="s">
        <v>1653</v>
      </c>
      <c r="B129" s="1"/>
    </row>
    <row r="130" spans="1:2">
      <c r="A130" s="1" t="s">
        <v>1654</v>
      </c>
      <c r="B130" s="1"/>
    </row>
    <row r="131" spans="1:2">
      <c r="A131" s="1" t="s">
        <v>1655</v>
      </c>
      <c r="B131" s="1"/>
    </row>
    <row r="132" spans="1:2">
      <c r="A132" s="1" t="s">
        <v>1656</v>
      </c>
      <c r="B132" s="1"/>
    </row>
    <row r="133" spans="1:2">
      <c r="A133" s="1" t="s">
        <v>1049</v>
      </c>
      <c r="B133" s="1"/>
    </row>
    <row r="134" spans="1:2">
      <c r="A134" s="1" t="s">
        <v>1657</v>
      </c>
      <c r="B134" s="1"/>
    </row>
    <row r="135" spans="1:2">
      <c r="A135" s="1" t="s">
        <v>1658</v>
      </c>
      <c r="B135" s="1"/>
    </row>
    <row r="136" spans="1:2">
      <c r="A136" s="1" t="s">
        <v>1659</v>
      </c>
      <c r="B136" s="1"/>
    </row>
    <row r="137" spans="1:2">
      <c r="A137" s="1" t="s">
        <v>1660</v>
      </c>
      <c r="B137" s="1"/>
    </row>
    <row r="138" spans="1:2">
      <c r="A138" s="1" t="s">
        <v>1661</v>
      </c>
      <c r="B138" s="1"/>
    </row>
    <row r="139" spans="1:2">
      <c r="A139" s="1" t="s">
        <v>1662</v>
      </c>
      <c r="B139" s="1"/>
    </row>
    <row r="140" spans="1:2">
      <c r="A140" s="1" t="s">
        <v>1663</v>
      </c>
      <c r="B140" s="1"/>
    </row>
    <row r="141" spans="1:2">
      <c r="A141" s="1" t="s">
        <v>1664</v>
      </c>
      <c r="B141" s="1"/>
    </row>
    <row r="142" spans="1:2">
      <c r="A142" s="1" t="s">
        <v>1665</v>
      </c>
      <c r="B142" s="1"/>
    </row>
  </sheetData>
  <autoFilter ref="A1:C142" xr:uid="{FC25C8E7-D562-47F3-9B7B-915D02DA227C}"/>
  <conditionalFormatting sqref="A2:B142">
    <cfRule type="cellIs" dxfId="10" priority="1" operator="equal">
      <formula>0</formula>
    </cfRule>
  </conditionalFormatting>
  <conditionalFormatting sqref="B138">
    <cfRule type="cellIs" dxfId="9" priority="2" operator="equal">
      <formula>0</formula>
    </cfRule>
  </conditionalFormatting>
  <conditionalFormatting sqref="B141:B142">
    <cfRule type="cellIs" dxfId="8" priority="4" operator="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BA654-768B-4B26-A35F-1B4BFAA16DF6}">
  <dimension ref="A1:Z22"/>
  <sheetViews>
    <sheetView topLeftCell="A5" workbookViewId="0">
      <selection activeCell="A16" sqref="A16:XFD16"/>
    </sheetView>
  </sheetViews>
  <sheetFormatPr defaultRowHeight="14.45"/>
  <cols>
    <col min="1" max="1" width="31.42578125" bestFit="1" customWidth="1"/>
    <col min="2" max="2" width="15.28515625" bestFit="1" customWidth="1"/>
    <col min="3" max="3" width="7.5703125" bestFit="1" customWidth="1"/>
    <col min="4" max="4" width="11.5703125" bestFit="1" customWidth="1"/>
    <col min="5" max="5" width="26.140625" hidden="1" customWidth="1"/>
    <col min="6" max="6" width="11.28515625" hidden="1" customWidth="1"/>
    <col min="7" max="7" width="19.85546875" hidden="1" customWidth="1"/>
    <col min="8" max="8" width="22.140625" hidden="1" customWidth="1"/>
    <col min="9" max="9" width="25.7109375" hidden="1" customWidth="1"/>
    <col min="10" max="10" width="15.5703125" bestFit="1" customWidth="1"/>
    <col min="11" max="11" width="25" bestFit="1" customWidth="1"/>
    <col min="12" max="12" width="16" bestFit="1" customWidth="1"/>
    <col min="13" max="13" width="20.140625" bestFit="1" customWidth="1"/>
    <col min="14" max="14" width="19.140625" bestFit="1" customWidth="1"/>
    <col min="15" max="16" width="15.28515625" bestFit="1" customWidth="1"/>
    <col min="17" max="17" width="19.7109375" bestFit="1" customWidth="1"/>
    <col min="18" max="18" width="18.42578125" bestFit="1" customWidth="1"/>
    <col min="20" max="20" width="31.85546875" bestFit="1" customWidth="1"/>
    <col min="21" max="21" width="24.5703125" bestFit="1" customWidth="1"/>
    <col min="22" max="22" width="11.28515625" bestFit="1" customWidth="1"/>
    <col min="23" max="23" width="13.7109375" bestFit="1" customWidth="1"/>
    <col min="24" max="24" width="22.7109375" bestFit="1" customWidth="1"/>
    <col min="25" max="25" width="30.140625" bestFit="1" customWidth="1"/>
    <col min="26" max="26" width="23.7109375" bestFit="1" customWidth="1"/>
  </cols>
  <sheetData>
    <row r="1" spans="1:26">
      <c r="A1" s="93" t="s">
        <v>1679</v>
      </c>
      <c r="B1" s="93" t="s">
        <v>303</v>
      </c>
      <c r="C1" s="93" t="s">
        <v>314</v>
      </c>
      <c r="D1" s="93" t="s">
        <v>1680</v>
      </c>
      <c r="E1" s="108" t="s">
        <v>1681</v>
      </c>
      <c r="F1" s="108" t="s">
        <v>1682</v>
      </c>
      <c r="G1" s="108" t="s">
        <v>1683</v>
      </c>
      <c r="H1" s="108" t="s">
        <v>1684</v>
      </c>
      <c r="I1" s="108" t="s">
        <v>1685</v>
      </c>
      <c r="J1" s="109" t="s">
        <v>1686</v>
      </c>
      <c r="K1" s="109" t="s">
        <v>1687</v>
      </c>
      <c r="L1" s="109" t="s">
        <v>317</v>
      </c>
      <c r="M1" s="109" t="s">
        <v>319</v>
      </c>
      <c r="N1" s="109" t="s">
        <v>1688</v>
      </c>
      <c r="O1" s="109" t="s">
        <v>1689</v>
      </c>
      <c r="P1" s="109" t="s">
        <v>1690</v>
      </c>
      <c r="Q1" s="109" t="s">
        <v>1691</v>
      </c>
      <c r="R1" s="109" t="s">
        <v>1692</v>
      </c>
      <c r="S1" s="109" t="s">
        <v>1693</v>
      </c>
      <c r="T1" s="109" t="s">
        <v>335</v>
      </c>
      <c r="U1" s="109" t="s">
        <v>1694</v>
      </c>
      <c r="V1" s="110" t="s">
        <v>321</v>
      </c>
      <c r="W1" s="110" t="s">
        <v>322</v>
      </c>
      <c r="X1" s="110" t="s">
        <v>363</v>
      </c>
      <c r="Y1" s="110" t="s">
        <v>364</v>
      </c>
      <c r="Z1" s="110" t="s">
        <v>1695</v>
      </c>
    </row>
    <row r="2" spans="1:26">
      <c r="A2" t="s">
        <v>494</v>
      </c>
      <c r="B2" t="str">
        <f>_xlfn.XLOOKUP(A:A,'Dados Elevatórias'!D:D,'Dados Elevatórias'!B:B)</f>
        <v>PL-RJB-EAT0695</v>
      </c>
      <c r="C2">
        <v>1</v>
      </c>
      <c r="K2" t="s">
        <v>498</v>
      </c>
      <c r="L2" t="s">
        <v>499</v>
      </c>
    </row>
    <row r="3" spans="1:26">
      <c r="A3" t="s">
        <v>494</v>
      </c>
      <c r="B3" t="str">
        <f>_xlfn.XLOOKUP(A:A,'Dados Elevatórias'!D:D,'Dados Elevatórias'!B:B)</f>
        <v>PL-RJB-EAT0695</v>
      </c>
      <c r="C3">
        <v>2</v>
      </c>
      <c r="K3" t="s">
        <v>498</v>
      </c>
      <c r="L3" t="s">
        <v>499</v>
      </c>
    </row>
    <row r="4" spans="1:26">
      <c r="A4" t="s">
        <v>494</v>
      </c>
      <c r="B4" t="str">
        <f>_xlfn.XLOOKUP(A:A,'Dados Elevatórias'!D:D,'Dados Elevatórias'!B:B)</f>
        <v>PL-RJB-EAT0695</v>
      </c>
      <c r="C4">
        <v>3</v>
      </c>
      <c r="K4" t="s">
        <v>498</v>
      </c>
      <c r="L4" t="s">
        <v>499</v>
      </c>
    </row>
    <row r="5" spans="1:26">
      <c r="A5" t="s">
        <v>526</v>
      </c>
      <c r="B5" t="str">
        <f>_xlfn.XLOOKUP(A:A,'Dados Elevatórias'!D:D,'Dados Elevatórias'!B:B)</f>
        <v>PL-RJB-EAT1005</v>
      </c>
      <c r="C5">
        <v>1</v>
      </c>
      <c r="K5" t="s">
        <v>529</v>
      </c>
      <c r="L5" t="s">
        <v>530</v>
      </c>
    </row>
    <row r="6" spans="1:26">
      <c r="A6" t="s">
        <v>526</v>
      </c>
      <c r="B6" t="str">
        <f>_xlfn.XLOOKUP(A:A,'Dados Elevatórias'!D:D,'Dados Elevatórias'!B:B)</f>
        <v>PL-RJB-EAT1005</v>
      </c>
      <c r="C6">
        <v>2</v>
      </c>
      <c r="K6" t="s">
        <v>529</v>
      </c>
      <c r="L6" t="s">
        <v>530</v>
      </c>
    </row>
    <row r="7" spans="1:26">
      <c r="A7" t="s">
        <v>526</v>
      </c>
      <c r="B7" t="str">
        <f>_xlfn.XLOOKUP(A:A,'Dados Elevatórias'!D:D,'Dados Elevatórias'!B:B)</f>
        <v>PL-RJB-EAT1005</v>
      </c>
      <c r="C7">
        <v>3</v>
      </c>
      <c r="K7" t="s">
        <v>529</v>
      </c>
      <c r="L7" t="s">
        <v>530</v>
      </c>
    </row>
    <row r="8" spans="1:26">
      <c r="A8" t="s">
        <v>549</v>
      </c>
      <c r="B8" t="str">
        <f>_xlfn.XLOOKUP(A:A,'Dados Elevatórias'!D:D,'Dados Elevatórias'!B:B)</f>
        <v>PL-RJB-EAT0689</v>
      </c>
      <c r="C8">
        <v>1</v>
      </c>
      <c r="K8" t="s">
        <v>552</v>
      </c>
      <c r="L8" t="s">
        <v>553</v>
      </c>
    </row>
    <row r="9" spans="1:26">
      <c r="A9" t="s">
        <v>549</v>
      </c>
      <c r="B9" t="str">
        <f>_xlfn.XLOOKUP(A:A,'Dados Elevatórias'!D:D,'Dados Elevatórias'!B:B)</f>
        <v>PL-RJB-EAT0689</v>
      </c>
      <c r="C9">
        <v>2</v>
      </c>
      <c r="K9" t="s">
        <v>552</v>
      </c>
      <c r="L9" t="s">
        <v>553</v>
      </c>
    </row>
    <row r="10" spans="1:26">
      <c r="A10" t="s">
        <v>549</v>
      </c>
      <c r="B10" t="str">
        <f>_xlfn.XLOOKUP(A:A,'Dados Elevatórias'!D:D,'Dados Elevatórias'!B:B)</f>
        <v>PL-RJB-EAT0689</v>
      </c>
      <c r="C10">
        <v>3</v>
      </c>
      <c r="K10" t="s">
        <v>552</v>
      </c>
      <c r="L10" t="s">
        <v>553</v>
      </c>
    </row>
    <row r="11" spans="1:26">
      <c r="A11" t="s">
        <v>573</v>
      </c>
      <c r="B11" t="str">
        <f>_xlfn.XLOOKUP(A:A,'Dados Elevatórias'!D:D,'Dados Elevatórias'!B:B)</f>
        <v>PL-RJB-EAT0122</v>
      </c>
      <c r="C11">
        <v>1</v>
      </c>
      <c r="K11" t="s">
        <v>577</v>
      </c>
      <c r="L11" t="s">
        <v>578</v>
      </c>
    </row>
    <row r="12" spans="1:26">
      <c r="A12" t="s">
        <v>573</v>
      </c>
      <c r="B12" t="str">
        <f>_xlfn.XLOOKUP(A:A,'Dados Elevatórias'!D:D,'Dados Elevatórias'!B:B)</f>
        <v>PL-RJB-EAT0122</v>
      </c>
      <c r="C12">
        <v>2</v>
      </c>
      <c r="K12" t="s">
        <v>577</v>
      </c>
      <c r="L12" t="s">
        <v>578</v>
      </c>
    </row>
    <row r="13" spans="1:26">
      <c r="A13" t="s">
        <v>602</v>
      </c>
      <c r="B13" t="str">
        <f>_xlfn.XLOOKUP(A:A,'Dados Elevatórias'!D:D,'Dados Elevatórias'!B:B)</f>
        <v>PL-RJB-EAT0746</v>
      </c>
      <c r="C13">
        <v>1</v>
      </c>
      <c r="K13" t="s">
        <v>606</v>
      </c>
      <c r="L13" t="s">
        <v>607</v>
      </c>
      <c r="P13" t="s">
        <v>611</v>
      </c>
    </row>
    <row r="14" spans="1:26">
      <c r="A14" t="s">
        <v>602</v>
      </c>
      <c r="B14" t="str">
        <f>_xlfn.XLOOKUP(A:A,'Dados Elevatórias'!D:D,'Dados Elevatórias'!B:B)</f>
        <v>PL-RJB-EAT0746</v>
      </c>
      <c r="C14">
        <v>2</v>
      </c>
      <c r="K14" t="s">
        <v>606</v>
      </c>
      <c r="L14" t="s">
        <v>607</v>
      </c>
    </row>
    <row r="15" spans="1:26">
      <c r="A15" t="s">
        <v>602</v>
      </c>
      <c r="B15" t="str">
        <f>_xlfn.XLOOKUP(A:A,'Dados Elevatórias'!D:D,'Dados Elevatórias'!B:B)</f>
        <v>PL-RJB-EAT0746</v>
      </c>
      <c r="C15">
        <v>3</v>
      </c>
      <c r="K15" t="s">
        <v>617</v>
      </c>
      <c r="L15" t="s">
        <v>578</v>
      </c>
    </row>
    <row r="16" spans="1:26">
      <c r="A16" t="s">
        <v>602</v>
      </c>
      <c r="B16" t="str">
        <f>_xlfn.XLOOKUP(A:A,'Dados Elevatórias'!D:D,'Dados Elevatórias'!B:B)</f>
        <v>PL-RJB-EAT0746</v>
      </c>
      <c r="C16">
        <v>4</v>
      </c>
      <c r="K16" t="s">
        <v>617</v>
      </c>
      <c r="L16" t="s">
        <v>626</v>
      </c>
    </row>
    <row r="17" spans="1:12">
      <c r="A17" t="s">
        <v>633</v>
      </c>
      <c r="B17" t="str">
        <f>_xlfn.XLOOKUP(A:A,'Dados Elevatórias'!D:D,'Dados Elevatórias'!B:B)</f>
        <v>PL-RJB-EAT0042</v>
      </c>
      <c r="C17">
        <v>1</v>
      </c>
      <c r="K17" t="s">
        <v>636</v>
      </c>
      <c r="L17" t="s">
        <v>637</v>
      </c>
    </row>
    <row r="18" spans="1:12">
      <c r="A18" t="s">
        <v>633</v>
      </c>
      <c r="B18" t="str">
        <f>_xlfn.XLOOKUP(A:A,'Dados Elevatórias'!D:D,'Dados Elevatórias'!B:B)</f>
        <v>PL-RJB-EAT0042</v>
      </c>
      <c r="C18">
        <v>2</v>
      </c>
      <c r="K18" t="s">
        <v>636</v>
      </c>
      <c r="L18" t="s">
        <v>637</v>
      </c>
    </row>
    <row r="19" spans="1:12">
      <c r="A19" t="s">
        <v>633</v>
      </c>
      <c r="B19" t="str">
        <f>_xlfn.XLOOKUP(A:A,'Dados Elevatórias'!D:D,'Dados Elevatórias'!B:B)</f>
        <v>PL-RJB-EAT0042</v>
      </c>
      <c r="C19">
        <v>3</v>
      </c>
      <c r="K19" t="s">
        <v>636</v>
      </c>
      <c r="L19" t="s">
        <v>637</v>
      </c>
    </row>
    <row r="20" spans="1:12">
      <c r="A20" t="s">
        <v>633</v>
      </c>
      <c r="B20" t="str">
        <f>_xlfn.XLOOKUP(A:A,'Dados Elevatórias'!D:D,'Dados Elevatórias'!B:B)</f>
        <v>PL-RJB-EAT0042</v>
      </c>
      <c r="C20">
        <v>4</v>
      </c>
      <c r="K20" t="s">
        <v>636</v>
      </c>
      <c r="L20" t="s">
        <v>637</v>
      </c>
    </row>
    <row r="21" spans="1:12">
      <c r="A21" t="s">
        <v>1156</v>
      </c>
      <c r="B21" t="str">
        <f>_xlfn.XLOOKUP(A:A,'Dados Elevatórias'!D:D,'Dados Elevatórias'!B:B)</f>
        <v>PL-RJB-EAT0086</v>
      </c>
      <c r="C21">
        <v>1</v>
      </c>
      <c r="K21" t="s">
        <v>529</v>
      </c>
      <c r="L21" t="s">
        <v>915</v>
      </c>
    </row>
    <row r="22" spans="1:12">
      <c r="A22" t="s">
        <v>1156</v>
      </c>
      <c r="B22" t="str">
        <f>_xlfn.XLOOKUP(A:A,'Dados Elevatórias'!D:D,'Dados Elevatórias'!B:B)</f>
        <v>PL-RJB-EAT0086</v>
      </c>
      <c r="C22">
        <v>2</v>
      </c>
      <c r="K22" t="s">
        <v>750</v>
      </c>
      <c r="L22" t="s">
        <v>1168</v>
      </c>
    </row>
  </sheetData>
  <conditionalFormatting sqref="A2:B22">
    <cfRule type="cellIs" dxfId="7" priority="4" operator="equal">
      <formula>0</formula>
    </cfRule>
  </conditionalFormatting>
  <conditionalFormatting sqref="K2:L12">
    <cfRule type="cellIs" dxfId="6" priority="3" operator="equal">
      <formula>0</formula>
    </cfRule>
  </conditionalFormatting>
  <conditionalFormatting sqref="K21:L22">
    <cfRule type="cellIs" dxfId="5" priority="1" operator="equal">
      <formula>0</formula>
    </cfRule>
  </conditionalFormatting>
  <conditionalFormatting sqref="L13:L16">
    <cfRule type="cellIs" dxfId="4" priority="2" operator="equal">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30BFD-390B-418F-982C-57AE0F3D611C}">
  <sheetPr codeName="Planilha4"/>
  <dimension ref="C4:K14"/>
  <sheetViews>
    <sheetView workbookViewId="0">
      <selection activeCell="K15" sqref="K15"/>
    </sheetView>
  </sheetViews>
  <sheetFormatPr defaultRowHeight="14.45"/>
  <cols>
    <col min="3" max="3" width="31.42578125" bestFit="1" customWidth="1"/>
    <col min="4" max="4" width="15.42578125" bestFit="1" customWidth="1"/>
    <col min="5" max="5" width="24.85546875" bestFit="1" customWidth="1"/>
    <col min="6" max="6" width="17.5703125" bestFit="1" customWidth="1"/>
    <col min="7" max="7" width="19.5703125" bestFit="1" customWidth="1"/>
    <col min="8" max="9" width="14.28515625" customWidth="1"/>
    <col min="10" max="10" width="17.5703125" bestFit="1" customWidth="1"/>
    <col min="11" max="11" width="13.28515625" customWidth="1"/>
    <col min="12" max="12" width="9.28515625" customWidth="1"/>
  </cols>
  <sheetData>
    <row r="4" spans="3:11">
      <c r="C4" s="135" t="s">
        <v>1696</v>
      </c>
      <c r="D4" s="135"/>
      <c r="E4" s="135"/>
      <c r="F4" s="135"/>
      <c r="G4" s="135"/>
      <c r="H4" s="135"/>
      <c r="I4" s="135"/>
      <c r="J4" s="135"/>
    </row>
    <row r="5" spans="3:11">
      <c r="C5" s="75" t="s">
        <v>313</v>
      </c>
      <c r="D5" s="75" t="s">
        <v>377</v>
      </c>
      <c r="E5" s="75" t="s">
        <v>444</v>
      </c>
      <c r="F5" s="75" t="s">
        <v>1697</v>
      </c>
      <c r="G5" s="75"/>
      <c r="H5" s="75"/>
      <c r="I5" s="75"/>
      <c r="J5" s="75"/>
    </row>
    <row r="6" spans="3:11">
      <c r="C6" s="75" t="s">
        <v>363</v>
      </c>
      <c r="D6" s="75" t="s">
        <v>427</v>
      </c>
      <c r="E6" s="75" t="s">
        <v>391</v>
      </c>
      <c r="F6" s="75" t="s">
        <v>437</v>
      </c>
      <c r="G6" s="75" t="s">
        <v>1698</v>
      </c>
      <c r="H6" s="75"/>
      <c r="I6" s="75"/>
      <c r="J6" s="75"/>
    </row>
    <row r="7" spans="3:11">
      <c r="C7" s="75" t="s">
        <v>1699</v>
      </c>
      <c r="D7" s="75" t="s">
        <v>396</v>
      </c>
      <c r="E7" s="75" t="s">
        <v>386</v>
      </c>
      <c r="F7" s="75"/>
      <c r="G7" s="75"/>
      <c r="H7" s="75"/>
      <c r="I7" s="75"/>
      <c r="J7" s="75"/>
    </row>
    <row r="8" spans="3:11">
      <c r="C8" s="75" t="s">
        <v>1700</v>
      </c>
      <c r="D8" s="75" t="s">
        <v>412</v>
      </c>
      <c r="E8" s="75" t="s">
        <v>1701</v>
      </c>
      <c r="F8" s="75" t="s">
        <v>799</v>
      </c>
      <c r="G8" s="75" t="s">
        <v>1515</v>
      </c>
      <c r="H8" s="75" t="s">
        <v>1588</v>
      </c>
      <c r="I8" s="75"/>
      <c r="J8" s="75"/>
    </row>
    <row r="9" spans="3:11">
      <c r="C9" s="75" t="s">
        <v>1702</v>
      </c>
      <c r="D9" s="75" t="s">
        <v>410</v>
      </c>
      <c r="E9" s="75" t="s">
        <v>727</v>
      </c>
      <c r="F9" s="75" t="s">
        <v>385</v>
      </c>
      <c r="G9" s="75" t="s">
        <v>455</v>
      </c>
      <c r="H9" s="75" t="s">
        <v>432</v>
      </c>
      <c r="I9" s="75" t="s">
        <v>423</v>
      </c>
      <c r="J9" s="75"/>
    </row>
    <row r="10" spans="3:11">
      <c r="C10" s="75" t="s">
        <v>334</v>
      </c>
      <c r="D10" s="75" t="s">
        <v>412</v>
      </c>
      <c r="E10" s="75" t="s">
        <v>800</v>
      </c>
      <c r="F10" s="75" t="s">
        <v>506</v>
      </c>
      <c r="G10" s="75"/>
      <c r="H10" s="75"/>
      <c r="I10" s="75"/>
      <c r="J10" s="75"/>
    </row>
    <row r="11" spans="3:11">
      <c r="C11" s="75" t="s">
        <v>335</v>
      </c>
      <c r="D11" s="75" t="s">
        <v>412</v>
      </c>
      <c r="E11" s="75" t="s">
        <v>486</v>
      </c>
      <c r="F11" s="75" t="s">
        <v>411</v>
      </c>
      <c r="G11" s="75" t="s">
        <v>1703</v>
      </c>
      <c r="H11" s="75" t="s">
        <v>727</v>
      </c>
      <c r="I11" s="75" t="s">
        <v>424</v>
      </c>
      <c r="J11" s="75" t="s">
        <v>1409</v>
      </c>
      <c r="K11" s="75" t="s">
        <v>423</v>
      </c>
    </row>
    <row r="12" spans="3:11">
      <c r="C12" s="75" t="s">
        <v>1704</v>
      </c>
      <c r="D12" s="75" t="s">
        <v>423</v>
      </c>
      <c r="E12" s="75" t="s">
        <v>411</v>
      </c>
      <c r="F12" s="75" t="s">
        <v>485</v>
      </c>
      <c r="G12" s="75" t="s">
        <v>728</v>
      </c>
      <c r="H12" s="75"/>
      <c r="I12" s="75"/>
      <c r="J12" s="75"/>
    </row>
    <row r="13" spans="3:11">
      <c r="C13" s="75" t="s">
        <v>1705</v>
      </c>
      <c r="D13" s="91" t="s">
        <v>392</v>
      </c>
      <c r="E13" s="75" t="s">
        <v>462</v>
      </c>
      <c r="F13" s="75" t="s">
        <v>404</v>
      </c>
      <c r="G13" s="75" t="s">
        <v>589</v>
      </c>
      <c r="H13" s="75" t="s">
        <v>665</v>
      </c>
      <c r="I13" s="75" t="s">
        <v>414</v>
      </c>
      <c r="J13" s="75"/>
    </row>
    <row r="14" spans="3:11">
      <c r="C14" s="75" t="s">
        <v>1706</v>
      </c>
      <c r="D14" s="75" t="s">
        <v>433</v>
      </c>
      <c r="E14" s="75" t="s">
        <v>713</v>
      </c>
      <c r="F14" s="75" t="s">
        <v>563</v>
      </c>
      <c r="G14" s="75" t="s">
        <v>1707</v>
      </c>
      <c r="H14" s="75" t="s">
        <v>707</v>
      </c>
      <c r="I14" s="75" t="s">
        <v>1708</v>
      </c>
      <c r="J14" s="75" t="s">
        <v>407</v>
      </c>
      <c r="K14" s="75" t="s">
        <v>1532</v>
      </c>
    </row>
  </sheetData>
  <mergeCells count="1">
    <mergeCell ref="C4:J4"/>
  </mergeCells>
  <conditionalFormatting sqref="E14">
    <cfRule type="cellIs" dxfId="3" priority="2" operator="equal">
      <formula>0</formula>
    </cfRule>
  </conditionalFormatting>
  <conditionalFormatting sqref="G13:H13">
    <cfRule type="cellIs" dxfId="2" priority="3" operator="equal">
      <formula>0</formula>
    </cfRule>
  </conditionalFormatting>
  <conditionalFormatting sqref="G14:I14">
    <cfRule type="cellIs" dxfId="1" priority="1" operator="equal">
      <formula>0</formula>
    </cfRule>
  </conditionalFormatting>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50EC4-B777-45FD-AF57-31FCE394E90B}">
  <dimension ref="A1:J10"/>
  <sheetViews>
    <sheetView showGridLines="0" workbookViewId="0">
      <selection activeCell="F10" sqref="F10"/>
    </sheetView>
  </sheetViews>
  <sheetFormatPr defaultRowHeight="14.45"/>
  <cols>
    <col min="6" max="6" width="33.140625" customWidth="1"/>
    <col min="7" max="7" width="26.140625" customWidth="1"/>
    <col min="8" max="8" width="28.7109375" customWidth="1"/>
    <col min="9" max="10" width="19" customWidth="1"/>
  </cols>
  <sheetData>
    <row r="1" spans="1:10">
      <c r="A1" s="76">
        <f>COUNTIFS('RELAÇÃO DE ELEVATÓRIAS'!M:M, "2")</f>
        <v>12</v>
      </c>
      <c r="B1" s="76">
        <f>COUNTIFS('RELAÇÃO DE ELEVATÓRIAS'!M:M, "3")</f>
        <v>6</v>
      </c>
      <c r="C1" s="76">
        <f>COUNTIFS('RELAÇÃO DE ELEVATÓRIAS'!M:M, "4")</f>
        <v>2</v>
      </c>
      <c r="D1" s="76">
        <f>COUNTIFS('RELAÇÃO DE ELEVATÓRIAS'!M:M, "5")</f>
        <v>0</v>
      </c>
      <c r="E1" s="86">
        <f>SUM(A1:D1)</f>
        <v>20</v>
      </c>
    </row>
    <row r="7" spans="1:10">
      <c r="F7" s="78"/>
    </row>
    <row r="8" spans="1:10">
      <c r="F8" s="78"/>
    </row>
    <row r="9" spans="1:10">
      <c r="F9" s="78" t="s">
        <v>1709</v>
      </c>
      <c r="G9" s="78" t="s">
        <v>1710</v>
      </c>
      <c r="H9" s="78" t="s">
        <v>1711</v>
      </c>
      <c r="I9" s="78" t="s">
        <v>1712</v>
      </c>
      <c r="J9" s="78" t="s">
        <v>1713</v>
      </c>
    </row>
    <row r="10" spans="1:10">
      <c r="F10" s="73">
        <f>COUNTA('RELAÇÃO DE ELEVATÓRIAS'!A3:A191)-E1</f>
        <v>140</v>
      </c>
      <c r="G10" s="73">
        <f>COUNTA('NOVAS ELEVATÓRIAS'!D2:D87)</f>
        <v>29</v>
      </c>
      <c r="H10" s="73">
        <v>10</v>
      </c>
      <c r="I10" s="73">
        <v>54</v>
      </c>
      <c r="J10" s="73">
        <f>COUNTIF('RELAÇÃO DE ELEVATÓRIAS'!BP:BP,"NÃO")</f>
        <v>52</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C5626-A6A9-4419-A48B-7EF6AB094F2F}">
  <sheetPr codeName="Planilha2" filterMode="1"/>
  <dimension ref="A1:HQ130"/>
  <sheetViews>
    <sheetView zoomScale="130" zoomScaleNormal="130" workbookViewId="0">
      <pane ySplit="5" topLeftCell="A61" activePane="bottomLeft" state="frozen"/>
      <selection pane="bottomLeft" activeCell="B58" sqref="B58"/>
    </sheetView>
  </sheetViews>
  <sheetFormatPr defaultRowHeight="66" customHeight="1"/>
  <cols>
    <col min="1" max="1" width="21.42578125" bestFit="1" customWidth="1"/>
    <col min="2" max="2" width="16.5703125" customWidth="1"/>
    <col min="3" max="3" width="10.5703125" customWidth="1"/>
    <col min="4" max="4" width="16.28515625" customWidth="1"/>
    <col min="5" max="5" width="50.140625" customWidth="1"/>
    <col min="6" max="6" width="25.5703125" customWidth="1"/>
    <col min="7" max="7" width="9.140625" customWidth="1"/>
    <col min="8" max="8" width="11.42578125" customWidth="1"/>
    <col min="9" max="9" width="10" customWidth="1"/>
    <col min="10" max="10" width="24.28515625" customWidth="1"/>
    <col min="11" max="11" width="8.28515625" customWidth="1"/>
    <col min="12" max="12" width="13.28515625" customWidth="1"/>
    <col min="13" max="25" width="9.140625" customWidth="1"/>
    <col min="26" max="26" width="15" customWidth="1"/>
    <col min="27" max="30" width="9.140625" customWidth="1"/>
    <col min="31" max="34" width="20.7109375" customWidth="1"/>
    <col min="35" max="35" width="38" customWidth="1"/>
    <col min="42" max="59" width="9.140625" customWidth="1"/>
    <col min="72" max="72" width="8.42578125" bestFit="1" customWidth="1"/>
    <col min="73" max="73" width="11.28515625" customWidth="1"/>
    <col min="74" max="74" width="10.7109375" bestFit="1" customWidth="1"/>
    <col min="94" max="94" width="26.5703125" customWidth="1"/>
  </cols>
  <sheetData>
    <row r="1" spans="1:94" ht="14.45">
      <c r="A1" s="118" t="s">
        <v>302</v>
      </c>
      <c r="B1" s="168" t="s">
        <v>303</v>
      </c>
      <c r="C1" s="118" t="s">
        <v>304</v>
      </c>
      <c r="D1" s="118" t="s">
        <v>1714</v>
      </c>
      <c r="E1" s="118" t="s">
        <v>306</v>
      </c>
      <c r="F1" s="118" t="s">
        <v>307</v>
      </c>
      <c r="G1" s="8"/>
      <c r="H1" s="118" t="s">
        <v>308</v>
      </c>
      <c r="I1" s="118" t="s">
        <v>309</v>
      </c>
      <c r="J1" s="118" t="s">
        <v>313</v>
      </c>
      <c r="K1" s="118" t="s">
        <v>314</v>
      </c>
      <c r="L1" s="118" t="s">
        <v>315</v>
      </c>
      <c r="M1" s="171" t="s">
        <v>284</v>
      </c>
      <c r="N1" s="171"/>
      <c r="O1" s="171"/>
      <c r="P1" s="171"/>
      <c r="Q1" s="171"/>
      <c r="R1" s="171"/>
      <c r="S1" s="171"/>
      <c r="T1" s="171"/>
      <c r="U1" s="171"/>
      <c r="V1" s="171"/>
      <c r="W1" s="171"/>
      <c r="X1" s="171"/>
      <c r="Y1" s="171"/>
      <c r="Z1" s="171"/>
      <c r="AA1" s="171"/>
      <c r="AB1" s="171"/>
      <c r="AC1" s="118" t="s">
        <v>285</v>
      </c>
      <c r="AD1" s="118"/>
      <c r="AE1" s="167" t="s">
        <v>286</v>
      </c>
      <c r="AF1" s="167"/>
      <c r="AG1" s="167"/>
      <c r="AH1" s="167"/>
      <c r="AI1" s="167"/>
      <c r="AJ1" s="118" t="s">
        <v>287</v>
      </c>
      <c r="AK1" s="118"/>
      <c r="AL1" s="118"/>
      <c r="AM1" s="118"/>
      <c r="AN1" s="118" t="s">
        <v>351</v>
      </c>
      <c r="AO1" s="118" t="s">
        <v>352</v>
      </c>
      <c r="AP1" s="165" t="s">
        <v>1715</v>
      </c>
      <c r="AQ1" s="165"/>
      <c r="AR1" s="165"/>
      <c r="AS1" s="165"/>
      <c r="AT1" s="165"/>
      <c r="AU1" s="165"/>
      <c r="AV1" s="165"/>
      <c r="AW1" s="165"/>
      <c r="AX1" s="165"/>
      <c r="AY1" s="118" t="s">
        <v>1716</v>
      </c>
      <c r="AZ1" s="118"/>
      <c r="BA1" s="118"/>
      <c r="BB1" s="118"/>
      <c r="BC1" s="118"/>
      <c r="BD1" s="118"/>
      <c r="BE1" s="118"/>
      <c r="BF1" s="118"/>
      <c r="BG1" s="118"/>
      <c r="BH1" s="162" t="s">
        <v>1717</v>
      </c>
      <c r="BI1" s="162"/>
      <c r="BJ1" s="162"/>
      <c r="BK1" s="162"/>
      <c r="BL1" s="162"/>
      <c r="BM1" s="162"/>
      <c r="BN1" s="162"/>
      <c r="BO1" s="162"/>
      <c r="BP1" s="162"/>
      <c r="BQ1" s="162"/>
      <c r="BR1" s="162"/>
      <c r="BS1" s="162"/>
      <c r="BT1" s="162"/>
      <c r="BU1" s="162"/>
      <c r="BV1" s="162"/>
      <c r="BW1" s="162"/>
      <c r="BX1" s="162"/>
      <c r="BY1" s="162"/>
      <c r="BZ1" s="162"/>
      <c r="CA1" s="162"/>
      <c r="CB1" s="162"/>
      <c r="CC1" s="162" t="s">
        <v>290</v>
      </c>
      <c r="CD1" s="162"/>
      <c r="CE1" s="162"/>
      <c r="CF1" s="118" t="s">
        <v>1718</v>
      </c>
      <c r="CG1" s="118"/>
      <c r="CH1" s="118" t="s">
        <v>1719</v>
      </c>
      <c r="CI1" s="118"/>
      <c r="CJ1" s="118"/>
      <c r="CK1" s="118" t="s">
        <v>296</v>
      </c>
      <c r="CL1" s="118" t="s">
        <v>297</v>
      </c>
      <c r="CM1" s="118" t="s">
        <v>298</v>
      </c>
      <c r="CN1" s="118" t="s">
        <v>299</v>
      </c>
      <c r="CO1" s="118" t="s">
        <v>300</v>
      </c>
      <c r="CP1" s="118" t="s">
        <v>301</v>
      </c>
    </row>
    <row r="2" spans="1:94" ht="14.45">
      <c r="A2" s="118"/>
      <c r="B2" s="169"/>
      <c r="C2" s="118"/>
      <c r="D2" s="118"/>
      <c r="E2" s="118"/>
      <c r="F2" s="118"/>
      <c r="G2" s="168"/>
      <c r="H2" s="118"/>
      <c r="I2" s="118"/>
      <c r="J2" s="118"/>
      <c r="K2" s="118"/>
      <c r="L2" s="118"/>
      <c r="M2" s="164" t="s">
        <v>1720</v>
      </c>
      <c r="N2" s="164"/>
      <c r="O2" s="164"/>
      <c r="P2" s="164" t="s">
        <v>1721</v>
      </c>
      <c r="Q2" s="164"/>
      <c r="R2" s="164"/>
      <c r="S2" s="166" t="s">
        <v>1722</v>
      </c>
      <c r="T2" s="166"/>
      <c r="U2" s="164" t="s">
        <v>330</v>
      </c>
      <c r="V2" s="164" t="s">
        <v>1723</v>
      </c>
      <c r="W2" s="164" t="s">
        <v>1724</v>
      </c>
      <c r="X2" s="164" t="s">
        <v>333</v>
      </c>
      <c r="Y2" s="164" t="s">
        <v>1725</v>
      </c>
      <c r="Z2" s="164" t="s">
        <v>335</v>
      </c>
      <c r="AA2" s="164" t="s">
        <v>336</v>
      </c>
      <c r="AB2" s="55" t="s">
        <v>1726</v>
      </c>
      <c r="AC2" s="118"/>
      <c r="AD2" s="118"/>
      <c r="AE2" s="167"/>
      <c r="AF2" s="167"/>
      <c r="AG2" s="167"/>
      <c r="AH2" s="167"/>
      <c r="AI2" s="167"/>
      <c r="AJ2" s="118"/>
      <c r="AK2" s="118"/>
      <c r="AL2" s="118"/>
      <c r="AM2" s="118"/>
      <c r="AN2" s="118"/>
      <c r="AO2" s="118"/>
      <c r="AP2" s="165" t="s">
        <v>1727</v>
      </c>
      <c r="AQ2" s="165"/>
      <c r="AR2" s="165"/>
      <c r="AS2" s="165"/>
      <c r="AT2" s="165" t="s">
        <v>1728</v>
      </c>
      <c r="AU2" s="165"/>
      <c r="AV2" s="165"/>
      <c r="AW2" s="165"/>
      <c r="AX2" s="165"/>
      <c r="AY2" s="118" t="s">
        <v>1727</v>
      </c>
      <c r="AZ2" s="118"/>
      <c r="BA2" s="118"/>
      <c r="BB2" s="118"/>
      <c r="BC2" s="118" t="s">
        <v>1728</v>
      </c>
      <c r="BD2" s="118"/>
      <c r="BE2" s="118"/>
      <c r="BF2" s="118"/>
      <c r="BG2" s="118"/>
      <c r="BH2" s="162" t="s">
        <v>1729</v>
      </c>
      <c r="BI2" s="162"/>
      <c r="BJ2" s="162" t="s">
        <v>1730</v>
      </c>
      <c r="BK2" s="162"/>
      <c r="BL2" s="162" t="s">
        <v>1731</v>
      </c>
      <c r="BM2" s="162"/>
      <c r="BN2" s="162" t="s">
        <v>1732</v>
      </c>
      <c r="BO2" s="162"/>
      <c r="BP2" s="162" t="s">
        <v>1733</v>
      </c>
      <c r="BQ2" s="162" t="s">
        <v>1734</v>
      </c>
      <c r="BR2" s="162" t="s">
        <v>1735</v>
      </c>
      <c r="BS2" s="163" t="s">
        <v>358</v>
      </c>
      <c r="BT2" s="162" t="s">
        <v>1736</v>
      </c>
      <c r="BU2" s="162"/>
      <c r="BV2" s="163" t="s">
        <v>1737</v>
      </c>
      <c r="BW2" s="162" t="s">
        <v>1738</v>
      </c>
      <c r="BX2" s="162"/>
      <c r="BY2" s="162"/>
      <c r="BZ2" s="162"/>
      <c r="CA2" s="162"/>
      <c r="CB2" s="162"/>
      <c r="CC2" s="162" t="s">
        <v>291</v>
      </c>
      <c r="CD2" s="162"/>
      <c r="CE2" s="162"/>
      <c r="CF2" s="118"/>
      <c r="CG2" s="118"/>
      <c r="CH2" s="118"/>
      <c r="CI2" s="118"/>
      <c r="CJ2" s="118"/>
      <c r="CK2" s="118"/>
      <c r="CL2" s="118"/>
      <c r="CM2" s="118"/>
      <c r="CN2" s="118"/>
      <c r="CO2" s="118"/>
      <c r="CP2" s="118"/>
    </row>
    <row r="3" spans="1:94" ht="14.45">
      <c r="A3" s="118"/>
      <c r="B3" s="169"/>
      <c r="C3" s="118"/>
      <c r="D3" s="118"/>
      <c r="E3" s="118"/>
      <c r="F3" s="118"/>
      <c r="G3" s="170"/>
      <c r="H3" s="118"/>
      <c r="I3" s="118"/>
      <c r="J3" s="118"/>
      <c r="K3" s="118"/>
      <c r="L3" s="118"/>
      <c r="M3" s="164"/>
      <c r="N3" s="164"/>
      <c r="O3" s="164"/>
      <c r="P3" s="164"/>
      <c r="Q3" s="164"/>
      <c r="R3" s="164"/>
      <c r="S3" s="166"/>
      <c r="T3" s="166"/>
      <c r="U3" s="164"/>
      <c r="V3" s="164"/>
      <c r="W3" s="164"/>
      <c r="X3" s="164"/>
      <c r="Y3" s="164"/>
      <c r="Z3" s="164"/>
      <c r="AA3" s="164"/>
      <c r="AB3" s="55" t="s">
        <v>1739</v>
      </c>
      <c r="AC3" s="118"/>
      <c r="AD3" s="118"/>
      <c r="AE3" s="167"/>
      <c r="AF3" s="167"/>
      <c r="AG3" s="167"/>
      <c r="AH3" s="167"/>
      <c r="AI3" s="167"/>
      <c r="AJ3" s="118"/>
      <c r="AK3" s="118"/>
      <c r="AL3" s="118"/>
      <c r="AM3" s="118"/>
      <c r="AN3" s="118"/>
      <c r="AO3" s="118"/>
      <c r="AP3" s="165"/>
      <c r="AQ3" s="165"/>
      <c r="AR3" s="165"/>
      <c r="AS3" s="165"/>
      <c r="AT3" s="165"/>
      <c r="AU3" s="165"/>
      <c r="AV3" s="165"/>
      <c r="AW3" s="165"/>
      <c r="AX3" s="165"/>
      <c r="AY3" s="118"/>
      <c r="AZ3" s="118"/>
      <c r="BA3" s="118"/>
      <c r="BB3" s="118"/>
      <c r="BC3" s="118"/>
      <c r="BD3" s="118"/>
      <c r="BE3" s="118"/>
      <c r="BF3" s="118"/>
      <c r="BG3" s="118"/>
      <c r="BH3" s="162"/>
      <c r="BI3" s="162"/>
      <c r="BJ3" s="162"/>
      <c r="BK3" s="162"/>
      <c r="BL3" s="162"/>
      <c r="BM3" s="162"/>
      <c r="BN3" s="162"/>
      <c r="BO3" s="162"/>
      <c r="BP3" s="162"/>
      <c r="BQ3" s="162"/>
      <c r="BR3" s="162"/>
      <c r="BS3" s="163"/>
      <c r="BT3" s="162"/>
      <c r="BU3" s="162"/>
      <c r="BV3" s="163"/>
      <c r="BW3" s="162"/>
      <c r="BX3" s="162"/>
      <c r="BY3" s="162"/>
      <c r="BZ3" s="162"/>
      <c r="CA3" s="162"/>
      <c r="CB3" s="162"/>
      <c r="CC3" s="162"/>
      <c r="CD3" s="162"/>
      <c r="CE3" s="162"/>
      <c r="CF3" s="118"/>
      <c r="CG3" s="118"/>
      <c r="CH3" s="118"/>
      <c r="CI3" s="118"/>
      <c r="CJ3" s="118"/>
      <c r="CK3" s="118"/>
      <c r="CL3" s="118"/>
      <c r="CM3" s="118"/>
      <c r="CN3" s="118"/>
      <c r="CO3" s="118"/>
      <c r="CP3" s="118"/>
    </row>
    <row r="4" spans="1:94" ht="36">
      <c r="A4" s="118"/>
      <c r="B4" s="170"/>
      <c r="C4" s="118"/>
      <c r="D4" s="118"/>
      <c r="E4" s="118"/>
      <c r="F4" s="118"/>
      <c r="G4" s="8"/>
      <c r="H4" s="118"/>
      <c r="I4" s="118"/>
      <c r="J4" s="118"/>
      <c r="K4" s="118"/>
      <c r="L4" s="118"/>
      <c r="M4" s="55" t="s">
        <v>1740</v>
      </c>
      <c r="N4" s="55" t="s">
        <v>317</v>
      </c>
      <c r="O4" s="55" t="s">
        <v>1741</v>
      </c>
      <c r="P4" s="55" t="s">
        <v>1742</v>
      </c>
      <c r="Q4" s="55" t="s">
        <v>1741</v>
      </c>
      <c r="R4" s="55" t="s">
        <v>1743</v>
      </c>
      <c r="S4" s="55" t="s">
        <v>1744</v>
      </c>
      <c r="T4" s="55" t="s">
        <v>1745</v>
      </c>
      <c r="U4" s="164"/>
      <c r="V4" s="164"/>
      <c r="W4" s="164"/>
      <c r="X4" s="164"/>
      <c r="Y4" s="164"/>
      <c r="Z4" s="164"/>
      <c r="AA4" s="164"/>
      <c r="AB4" s="55" t="s">
        <v>1746</v>
      </c>
      <c r="AC4" s="8" t="s">
        <v>341</v>
      </c>
      <c r="AD4" s="8" t="s">
        <v>342</v>
      </c>
      <c r="AE4" s="7" t="s">
        <v>343</v>
      </c>
      <c r="AF4" s="7" t="s">
        <v>344</v>
      </c>
      <c r="AG4" s="7" t="s">
        <v>345</v>
      </c>
      <c r="AH4" s="7" t="s">
        <v>346</v>
      </c>
      <c r="AI4" s="7" t="s">
        <v>306</v>
      </c>
      <c r="AJ4" s="8" t="s">
        <v>347</v>
      </c>
      <c r="AK4" s="8" t="s">
        <v>348</v>
      </c>
      <c r="AL4" s="8" t="s">
        <v>349</v>
      </c>
      <c r="AM4" s="8" t="s">
        <v>350</v>
      </c>
      <c r="AN4" s="118"/>
      <c r="AO4" s="118"/>
      <c r="AP4" s="10" t="s">
        <v>1747</v>
      </c>
      <c r="AQ4" s="10" t="s">
        <v>322</v>
      </c>
      <c r="AR4" s="10" t="s">
        <v>1748</v>
      </c>
      <c r="AS4" s="10" t="s">
        <v>348</v>
      </c>
      <c r="AT4" s="10" t="s">
        <v>1747</v>
      </c>
      <c r="AU4" s="10" t="s">
        <v>1749</v>
      </c>
      <c r="AV4" s="10" t="s">
        <v>1748</v>
      </c>
      <c r="AW4" s="10" t="s">
        <v>348</v>
      </c>
      <c r="AX4" s="10" t="s">
        <v>1750</v>
      </c>
      <c r="AY4" s="8" t="s">
        <v>1747</v>
      </c>
      <c r="AZ4" s="8" t="s">
        <v>1749</v>
      </c>
      <c r="BA4" s="8" t="s">
        <v>1748</v>
      </c>
      <c r="BB4" s="8" t="s">
        <v>348</v>
      </c>
      <c r="BC4" s="8" t="s">
        <v>1747</v>
      </c>
      <c r="BD4" s="8" t="s">
        <v>1749</v>
      </c>
      <c r="BE4" s="8" t="s">
        <v>1748</v>
      </c>
      <c r="BF4" s="8" t="s">
        <v>348</v>
      </c>
      <c r="BG4" s="11" t="s">
        <v>1751</v>
      </c>
      <c r="BH4" s="54" t="s">
        <v>1752</v>
      </c>
      <c r="BI4" s="54" t="s">
        <v>1742</v>
      </c>
      <c r="BJ4" s="54" t="s">
        <v>1752</v>
      </c>
      <c r="BK4" s="54" t="s">
        <v>1742</v>
      </c>
      <c r="BL4" s="54" t="s">
        <v>1752</v>
      </c>
      <c r="BM4" s="54" t="s">
        <v>1742</v>
      </c>
      <c r="BN4" s="54" t="s">
        <v>1753</v>
      </c>
      <c r="BO4" s="54" t="s">
        <v>1754</v>
      </c>
      <c r="BP4" s="54" t="s">
        <v>1755</v>
      </c>
      <c r="BQ4" s="54" t="s">
        <v>1756</v>
      </c>
      <c r="BR4" s="54" t="s">
        <v>1756</v>
      </c>
      <c r="BS4" s="54" t="s">
        <v>1756</v>
      </c>
      <c r="BT4" s="54" t="s">
        <v>1757</v>
      </c>
      <c r="BU4" s="54" t="s">
        <v>322</v>
      </c>
      <c r="BV4" s="54" t="s">
        <v>322</v>
      </c>
      <c r="BW4" s="54" t="s">
        <v>391</v>
      </c>
      <c r="BX4" s="54" t="s">
        <v>427</v>
      </c>
      <c r="BY4" s="54" t="s">
        <v>437</v>
      </c>
      <c r="BZ4" s="56" t="s">
        <v>1758</v>
      </c>
      <c r="CA4" s="56" t="s">
        <v>368</v>
      </c>
      <c r="CB4" s="56" t="s">
        <v>1759</v>
      </c>
      <c r="CC4" s="54" t="s">
        <v>370</v>
      </c>
      <c r="CD4" s="54" t="s">
        <v>371</v>
      </c>
      <c r="CE4" s="54" t="s">
        <v>348</v>
      </c>
      <c r="CF4" s="8" t="s">
        <v>1748</v>
      </c>
      <c r="CG4" s="8" t="s">
        <v>348</v>
      </c>
      <c r="CH4" s="8" t="s">
        <v>1760</v>
      </c>
      <c r="CI4" s="8" t="s">
        <v>1761</v>
      </c>
      <c r="CJ4" s="8" t="s">
        <v>1762</v>
      </c>
      <c r="CK4" s="118"/>
      <c r="CL4" s="118"/>
      <c r="CM4" s="118"/>
      <c r="CN4" s="118"/>
      <c r="CO4" s="118"/>
      <c r="CP4" s="118"/>
    </row>
    <row r="5" spans="1:94" ht="14.45">
      <c r="A5" s="57"/>
      <c r="B5" s="57"/>
      <c r="C5" s="57"/>
      <c r="D5" s="9"/>
      <c r="E5" s="58"/>
      <c r="F5" s="58"/>
      <c r="G5" s="58"/>
      <c r="H5" s="59"/>
      <c r="I5" s="9"/>
      <c r="J5" s="9"/>
      <c r="K5" s="9"/>
      <c r="L5" s="9"/>
      <c r="M5" s="9"/>
      <c r="N5" s="9"/>
      <c r="O5" s="9"/>
      <c r="P5" s="9"/>
      <c r="Q5" s="9"/>
      <c r="R5" s="60"/>
      <c r="S5" s="9"/>
      <c r="T5" s="9"/>
      <c r="U5" s="60"/>
      <c r="V5" s="60"/>
      <c r="W5" s="60"/>
      <c r="X5" s="60"/>
      <c r="Y5" s="60"/>
      <c r="Z5" s="60"/>
      <c r="AA5" s="9"/>
      <c r="AB5" s="9"/>
      <c r="AC5" s="61"/>
      <c r="AD5" s="61"/>
      <c r="AE5" s="9"/>
      <c r="AF5" s="9"/>
      <c r="AG5" s="9"/>
      <c r="AH5" s="9"/>
      <c r="AI5" s="9"/>
      <c r="AJ5" s="61"/>
      <c r="AK5" s="61"/>
      <c r="AL5" s="61"/>
      <c r="AM5" s="61"/>
      <c r="AN5" s="61"/>
      <c r="AO5" s="61"/>
      <c r="AP5" s="61"/>
      <c r="AQ5" s="61"/>
      <c r="AR5" s="61"/>
      <c r="AS5" s="61"/>
      <c r="AT5" s="61"/>
      <c r="AU5" s="61"/>
      <c r="AV5" s="61"/>
      <c r="AW5" s="61"/>
      <c r="AX5" s="61"/>
      <c r="AY5" s="9"/>
      <c r="AZ5" s="9"/>
      <c r="BA5" s="9"/>
      <c r="BB5" s="9"/>
      <c r="BC5" s="9"/>
      <c r="BD5" s="9"/>
      <c r="BE5" s="9"/>
      <c r="BF5" s="9"/>
      <c r="BG5" s="9"/>
      <c r="BH5" s="61"/>
      <c r="BI5" s="61"/>
      <c r="BJ5" s="61"/>
      <c r="BK5" s="61"/>
      <c r="BL5" s="61"/>
      <c r="BM5" s="61"/>
      <c r="BN5" s="61"/>
      <c r="BO5" s="61"/>
      <c r="BP5" s="61"/>
      <c r="BQ5" s="61"/>
      <c r="BR5" s="61"/>
      <c r="BS5" s="61"/>
      <c r="BT5" s="61"/>
      <c r="BU5" s="61"/>
      <c r="BV5" s="61"/>
      <c r="BW5" s="62"/>
      <c r="BX5" s="62"/>
      <c r="BY5" s="62"/>
      <c r="BZ5" s="63"/>
      <c r="CA5" s="63"/>
      <c r="CB5" s="63"/>
      <c r="CC5" s="63"/>
      <c r="CD5" s="63"/>
      <c r="CE5" s="63"/>
      <c r="CF5" s="61"/>
      <c r="CG5" s="61"/>
      <c r="CH5" s="61"/>
      <c r="CI5" s="61"/>
      <c r="CJ5" s="61"/>
      <c r="CK5" s="9"/>
      <c r="CL5" s="9"/>
      <c r="CM5" s="9"/>
      <c r="CN5" s="9"/>
      <c r="CO5" s="61"/>
      <c r="CP5" s="9"/>
    </row>
    <row r="6" spans="1:94" ht="66" hidden="1" customHeight="1">
      <c r="A6" s="12" t="s">
        <v>372</v>
      </c>
      <c r="B6" s="1" t="str">
        <f>_xlfn.XLOOKUP(A:A,'Dados Elevatórias'!D:D,'Dados Elevatórias'!B:B)</f>
        <v>PL-RJB-EAT0093</v>
      </c>
      <c r="C6" s="13" t="s">
        <v>1763</v>
      </c>
      <c r="D6" s="14" t="s">
        <v>1764</v>
      </c>
      <c r="E6" s="15" t="s">
        <v>1765</v>
      </c>
      <c r="F6" s="16" t="s">
        <v>1766</v>
      </c>
      <c r="G6" s="16"/>
      <c r="H6" s="14" t="s">
        <v>1767</v>
      </c>
      <c r="I6" s="14" t="s">
        <v>1768</v>
      </c>
      <c r="J6" s="17" t="s">
        <v>377</v>
      </c>
      <c r="K6" s="17">
        <v>1</v>
      </c>
      <c r="L6" s="14" t="s">
        <v>378</v>
      </c>
      <c r="M6" s="17">
        <v>25</v>
      </c>
      <c r="N6" s="17">
        <v>3480</v>
      </c>
      <c r="O6" s="17" t="s">
        <v>382</v>
      </c>
      <c r="P6" s="17" t="s">
        <v>381</v>
      </c>
      <c r="Q6" s="17" t="s">
        <v>382</v>
      </c>
      <c r="R6" s="14" t="s">
        <v>706</v>
      </c>
      <c r="S6" s="17">
        <v>0.84</v>
      </c>
      <c r="T6" s="17">
        <v>142</v>
      </c>
      <c r="U6" s="14" t="s">
        <v>1769</v>
      </c>
      <c r="V6" s="14" t="s">
        <v>386</v>
      </c>
      <c r="W6" s="14" t="s">
        <v>1770</v>
      </c>
      <c r="X6" s="14" t="s">
        <v>1771</v>
      </c>
      <c r="Y6" s="14" t="s">
        <v>1770</v>
      </c>
      <c r="Z6" s="14" t="s">
        <v>411</v>
      </c>
      <c r="AA6" s="18">
        <v>100</v>
      </c>
      <c r="AB6" s="19">
        <v>24</v>
      </c>
      <c r="AC6" s="17" t="s">
        <v>433</v>
      </c>
      <c r="AD6" s="17"/>
      <c r="AE6" s="14">
        <v>420150274</v>
      </c>
      <c r="AF6" s="14">
        <v>5241361</v>
      </c>
      <c r="AG6" s="14"/>
      <c r="AH6" s="24" t="s">
        <v>388</v>
      </c>
      <c r="AI6" s="20" t="s">
        <v>389</v>
      </c>
      <c r="AJ6" s="17">
        <v>100</v>
      </c>
      <c r="AK6" s="17">
        <v>150</v>
      </c>
      <c r="AL6" s="17"/>
      <c r="AM6" s="17"/>
      <c r="AN6" s="17"/>
      <c r="AO6" s="17"/>
      <c r="AP6" s="21" t="s">
        <v>1772</v>
      </c>
      <c r="AQ6" s="21" t="s">
        <v>1773</v>
      </c>
      <c r="AR6" s="21" t="s">
        <v>1774</v>
      </c>
      <c r="AS6" s="21">
        <v>50</v>
      </c>
      <c r="AT6" s="21" t="s">
        <v>1772</v>
      </c>
      <c r="AU6" s="21" t="s">
        <v>1775</v>
      </c>
      <c r="AV6" s="21" t="s">
        <v>840</v>
      </c>
      <c r="AW6" s="21" t="s">
        <v>1770</v>
      </c>
      <c r="AX6" s="22">
        <v>45407</v>
      </c>
      <c r="AY6" s="21" t="s">
        <v>1776</v>
      </c>
      <c r="AZ6" s="21" t="s">
        <v>1777</v>
      </c>
      <c r="BA6" s="21" t="s">
        <v>1778</v>
      </c>
      <c r="BB6" s="21" t="s">
        <v>1779</v>
      </c>
      <c r="BC6" s="21" t="s">
        <v>1776</v>
      </c>
      <c r="BD6" s="21" t="s">
        <v>1770</v>
      </c>
      <c r="BE6" s="21" t="s">
        <v>1770</v>
      </c>
      <c r="BF6" s="21" t="s">
        <v>1770</v>
      </c>
      <c r="BG6" s="22">
        <v>45330</v>
      </c>
      <c r="BH6" s="17" t="s">
        <v>671</v>
      </c>
      <c r="BI6" s="17" t="s">
        <v>671</v>
      </c>
      <c r="BJ6" s="17" t="s">
        <v>671</v>
      </c>
      <c r="BK6" s="17" t="s">
        <v>671</v>
      </c>
      <c r="BL6" s="17" t="s">
        <v>671</v>
      </c>
      <c r="BM6" s="17" t="s">
        <v>671</v>
      </c>
      <c r="BN6" s="17" t="s">
        <v>1780</v>
      </c>
      <c r="BO6" s="17"/>
      <c r="BP6" s="17" t="s">
        <v>386</v>
      </c>
      <c r="BQ6" s="17" t="s">
        <v>386</v>
      </c>
      <c r="BR6" s="17" t="s">
        <v>396</v>
      </c>
      <c r="BS6" s="17" t="s">
        <v>386</v>
      </c>
      <c r="BT6" s="17">
        <v>0</v>
      </c>
      <c r="BU6" s="17" t="s">
        <v>1780</v>
      </c>
      <c r="BV6" s="17" t="s">
        <v>671</v>
      </c>
      <c r="BW6" s="19" t="s">
        <v>396</v>
      </c>
      <c r="BX6" s="14" t="s">
        <v>386</v>
      </c>
      <c r="BY6" s="14" t="s">
        <v>386</v>
      </c>
      <c r="BZ6" s="52" t="s">
        <v>386</v>
      </c>
      <c r="CA6" s="52" t="s">
        <v>396</v>
      </c>
      <c r="CB6" s="64" t="s">
        <v>396</v>
      </c>
      <c r="CC6" s="64" t="s">
        <v>397</v>
      </c>
      <c r="CD6" s="64" t="s">
        <v>398</v>
      </c>
      <c r="CE6" s="64" t="s">
        <v>399</v>
      </c>
      <c r="CF6" s="23">
        <v>45689</v>
      </c>
      <c r="CG6" s="23">
        <v>45689</v>
      </c>
      <c r="CH6" s="17" t="s">
        <v>396</v>
      </c>
      <c r="CI6" s="17"/>
      <c r="CJ6" s="17" t="s">
        <v>396</v>
      </c>
      <c r="CK6" s="17" t="s">
        <v>401</v>
      </c>
      <c r="CL6" s="17">
        <v>24</v>
      </c>
      <c r="CM6" s="17">
        <v>53</v>
      </c>
      <c r="CN6" s="17"/>
      <c r="CO6" s="17"/>
      <c r="CP6" s="24" t="s">
        <v>402</v>
      </c>
    </row>
    <row r="7" spans="1:94" ht="66" hidden="1" customHeight="1">
      <c r="A7" s="12" t="s">
        <v>418</v>
      </c>
      <c r="B7" s="1" t="str">
        <f>_xlfn.XLOOKUP(A:A,'Dados Elevatórias'!D:D,'Dados Elevatórias'!B:B)</f>
        <v>PL-RJB-EAT0687</v>
      </c>
      <c r="C7" s="13" t="s">
        <v>1781</v>
      </c>
      <c r="D7" s="14" t="s">
        <v>1764</v>
      </c>
      <c r="E7" s="15" t="s">
        <v>426</v>
      </c>
      <c r="F7" s="16" t="s">
        <v>1782</v>
      </c>
      <c r="G7" s="16"/>
      <c r="H7" s="14" t="s">
        <v>1783</v>
      </c>
      <c r="I7" s="14" t="s">
        <v>1784</v>
      </c>
      <c r="J7" s="17" t="s">
        <v>377</v>
      </c>
      <c r="K7" s="17">
        <v>1</v>
      </c>
      <c r="L7" s="14" t="s">
        <v>378</v>
      </c>
      <c r="M7" s="17">
        <v>7.5</v>
      </c>
      <c r="N7" s="17">
        <v>3500</v>
      </c>
      <c r="O7" s="17" t="s">
        <v>1785</v>
      </c>
      <c r="P7" s="17" t="s">
        <v>1786</v>
      </c>
      <c r="Q7" s="17" t="s">
        <v>1787</v>
      </c>
      <c r="R7" s="14" t="s">
        <v>484</v>
      </c>
      <c r="S7" s="17">
        <v>5.6</v>
      </c>
      <c r="T7" s="17">
        <v>142.24</v>
      </c>
      <c r="U7" s="14" t="s">
        <v>1769</v>
      </c>
      <c r="V7" s="14"/>
      <c r="W7" s="14"/>
      <c r="X7" s="14" t="s">
        <v>485</v>
      </c>
      <c r="Y7" s="14"/>
      <c r="Z7" s="14" t="s">
        <v>486</v>
      </c>
      <c r="AA7" s="32">
        <v>32.5</v>
      </c>
      <c r="AB7" s="19">
        <v>35</v>
      </c>
      <c r="AC7" s="17" t="s">
        <v>433</v>
      </c>
      <c r="AD7" s="17"/>
      <c r="AE7" s="14">
        <v>430248796</v>
      </c>
      <c r="AF7" s="14">
        <v>169005</v>
      </c>
      <c r="AG7" s="14"/>
      <c r="AH7" s="24" t="s">
        <v>425</v>
      </c>
      <c r="AI7" s="20" t="s">
        <v>426</v>
      </c>
      <c r="AJ7" s="17"/>
      <c r="AK7" s="17"/>
      <c r="AL7" s="17"/>
      <c r="AM7" s="17"/>
      <c r="AN7" s="17"/>
      <c r="AO7" s="17"/>
      <c r="AP7" s="21" t="s">
        <v>1788</v>
      </c>
      <c r="AQ7" s="21" t="s">
        <v>1789</v>
      </c>
      <c r="AR7" s="21" t="s">
        <v>1790</v>
      </c>
      <c r="AS7" s="21" t="s">
        <v>1791</v>
      </c>
      <c r="AT7" s="21" t="s">
        <v>1792</v>
      </c>
      <c r="AU7" s="21" t="s">
        <v>671</v>
      </c>
      <c r="AV7" s="21" t="s">
        <v>671</v>
      </c>
      <c r="AW7" s="21" t="s">
        <v>671</v>
      </c>
      <c r="AX7" s="22">
        <v>44928</v>
      </c>
      <c r="AY7" s="21"/>
      <c r="AZ7" s="21"/>
      <c r="BA7" s="21"/>
      <c r="BB7" s="21"/>
      <c r="BC7" s="21"/>
      <c r="BD7" s="21"/>
      <c r="BE7" s="21"/>
      <c r="BF7" s="21"/>
      <c r="BG7" s="13"/>
      <c r="BH7" s="17"/>
      <c r="BI7" s="17"/>
      <c r="BJ7" s="17"/>
      <c r="BK7" s="17"/>
      <c r="BL7" s="17"/>
      <c r="BM7" s="17"/>
      <c r="BN7" s="17" t="s">
        <v>1793</v>
      </c>
      <c r="BO7" s="17"/>
      <c r="BP7" s="17" t="s">
        <v>386</v>
      </c>
      <c r="BQ7" s="17" t="s">
        <v>386</v>
      </c>
      <c r="BR7" s="17" t="s">
        <v>396</v>
      </c>
      <c r="BS7" s="17" t="s">
        <v>396</v>
      </c>
      <c r="BT7" s="17">
        <v>0</v>
      </c>
      <c r="BU7" s="17" t="s">
        <v>1793</v>
      </c>
      <c r="BV7" s="17" t="s">
        <v>671</v>
      </c>
      <c r="BW7" s="19" t="s">
        <v>396</v>
      </c>
      <c r="BX7" s="14" t="s">
        <v>386</v>
      </c>
      <c r="BY7" s="14" t="s">
        <v>386</v>
      </c>
      <c r="BZ7" s="52" t="s">
        <v>386</v>
      </c>
      <c r="CA7" s="52" t="s">
        <v>386</v>
      </c>
      <c r="CB7" s="64" t="s">
        <v>396</v>
      </c>
      <c r="CC7" s="64"/>
      <c r="CD7" s="64"/>
      <c r="CE7" s="64"/>
      <c r="CF7" s="17"/>
      <c r="CG7" s="17"/>
      <c r="CH7" s="17" t="s">
        <v>396</v>
      </c>
      <c r="CI7" s="17"/>
      <c r="CJ7" s="17" t="s">
        <v>396</v>
      </c>
      <c r="CK7" s="17" t="s">
        <v>401</v>
      </c>
      <c r="CL7" s="17"/>
      <c r="CM7" s="17"/>
      <c r="CN7" s="17"/>
      <c r="CO7" s="17"/>
      <c r="CP7" s="17"/>
    </row>
    <row r="8" spans="1:94" ht="66" hidden="1" customHeight="1">
      <c r="A8" s="12" t="s">
        <v>428</v>
      </c>
      <c r="B8" s="1" t="str">
        <f>_xlfn.XLOOKUP(A:A,'Dados Elevatórias'!D:D,'Dados Elevatórias'!B:B)</f>
        <v>PL-RJB-EAT0088</v>
      </c>
      <c r="C8" s="13" t="s">
        <v>1794</v>
      </c>
      <c r="D8" s="14" t="s">
        <v>1764</v>
      </c>
      <c r="E8" s="15" t="s">
        <v>1795</v>
      </c>
      <c r="F8" s="16" t="s">
        <v>1796</v>
      </c>
      <c r="G8" s="16"/>
      <c r="H8" s="14" t="s">
        <v>1783</v>
      </c>
      <c r="I8" s="14" t="s">
        <v>1797</v>
      </c>
      <c r="J8" s="17" t="s">
        <v>377</v>
      </c>
      <c r="K8" s="17">
        <v>1</v>
      </c>
      <c r="L8" s="14" t="s">
        <v>378</v>
      </c>
      <c r="M8" s="17">
        <v>1.5</v>
      </c>
      <c r="N8" s="17">
        <v>3510</v>
      </c>
      <c r="O8" s="17" t="s">
        <v>1798</v>
      </c>
      <c r="P8" s="17" t="s">
        <v>1799</v>
      </c>
      <c r="Q8" s="17" t="s">
        <v>1800</v>
      </c>
      <c r="R8" s="14" t="s">
        <v>898</v>
      </c>
      <c r="S8" s="17">
        <v>5.35</v>
      </c>
      <c r="T8" s="17">
        <v>135.88999999999999</v>
      </c>
      <c r="U8" s="14" t="s">
        <v>455</v>
      </c>
      <c r="V8" s="14"/>
      <c r="W8" s="14"/>
      <c r="X8" s="14" t="s">
        <v>411</v>
      </c>
      <c r="Y8" s="14"/>
      <c r="Z8" s="14" t="s">
        <v>1703</v>
      </c>
      <c r="AA8" s="32">
        <v>6.5</v>
      </c>
      <c r="AB8" s="19"/>
      <c r="AC8" s="17" t="s">
        <v>433</v>
      </c>
      <c r="AD8" s="17" t="s">
        <v>1801</v>
      </c>
      <c r="AE8" s="14">
        <v>420594529</v>
      </c>
      <c r="AF8" s="14">
        <v>73520772</v>
      </c>
      <c r="AG8" s="14"/>
      <c r="AH8" s="24" t="s">
        <v>434</v>
      </c>
      <c r="AI8" s="20" t="s">
        <v>435</v>
      </c>
      <c r="AJ8" s="17" t="s">
        <v>436</v>
      </c>
      <c r="AK8" s="17" t="s">
        <v>436</v>
      </c>
      <c r="AL8" s="17"/>
      <c r="AM8" s="17"/>
      <c r="AN8" s="17"/>
      <c r="AO8" s="17"/>
      <c r="AP8" s="21" t="s">
        <v>1802</v>
      </c>
      <c r="AQ8" s="21" t="s">
        <v>1803</v>
      </c>
      <c r="AR8" s="21" t="s">
        <v>1804</v>
      </c>
      <c r="AS8" s="21" t="s">
        <v>1805</v>
      </c>
      <c r="AT8" s="21" t="s">
        <v>1806</v>
      </c>
      <c r="AU8" s="16" t="s">
        <v>1807</v>
      </c>
      <c r="AV8" s="21"/>
      <c r="AW8" s="21" t="s">
        <v>840</v>
      </c>
      <c r="AX8" s="22">
        <v>44956</v>
      </c>
      <c r="AY8" s="21" t="s">
        <v>1808</v>
      </c>
      <c r="AZ8" s="16" t="s">
        <v>1809</v>
      </c>
      <c r="BA8" s="21">
        <v>4</v>
      </c>
      <c r="BB8" s="21">
        <v>25</v>
      </c>
      <c r="BC8" s="21"/>
      <c r="BD8" s="16" t="s">
        <v>1810</v>
      </c>
      <c r="BE8" s="21">
        <v>4</v>
      </c>
      <c r="BF8" s="21">
        <v>40</v>
      </c>
      <c r="BG8" s="22">
        <v>43359</v>
      </c>
      <c r="BH8" s="17" t="s">
        <v>1811</v>
      </c>
      <c r="BI8" s="17" t="s">
        <v>1812</v>
      </c>
      <c r="BJ8" s="17" t="s">
        <v>438</v>
      </c>
      <c r="BK8" s="17" t="s">
        <v>438</v>
      </c>
      <c r="BL8" s="17" t="s">
        <v>438</v>
      </c>
      <c r="BM8" s="17" t="s">
        <v>438</v>
      </c>
      <c r="BN8" s="17" t="s">
        <v>1813</v>
      </c>
      <c r="BO8" s="17"/>
      <c r="BP8" s="17" t="s">
        <v>1814</v>
      </c>
      <c r="BQ8" s="17" t="s">
        <v>386</v>
      </c>
      <c r="BR8" s="17" t="s">
        <v>396</v>
      </c>
      <c r="BS8" s="17" t="s">
        <v>386</v>
      </c>
      <c r="BT8" s="17">
        <v>0</v>
      </c>
      <c r="BU8" s="17" t="s">
        <v>1813</v>
      </c>
      <c r="BV8" s="17" t="s">
        <v>671</v>
      </c>
      <c r="BW8" s="14" t="s">
        <v>386</v>
      </c>
      <c r="BX8" s="14" t="s">
        <v>386</v>
      </c>
      <c r="BY8" s="19" t="s">
        <v>396</v>
      </c>
      <c r="BZ8" s="52" t="s">
        <v>386</v>
      </c>
      <c r="CA8" s="52" t="s">
        <v>386</v>
      </c>
      <c r="CB8" s="52" t="s">
        <v>396</v>
      </c>
      <c r="CC8" s="52"/>
      <c r="CD8" s="52"/>
      <c r="CE8" s="52"/>
      <c r="CF8" s="23">
        <v>45750</v>
      </c>
      <c r="CG8" s="23">
        <v>45689</v>
      </c>
      <c r="CH8" s="17" t="s">
        <v>396</v>
      </c>
      <c r="CI8" s="17" t="s">
        <v>438</v>
      </c>
      <c r="CJ8" s="17" t="s">
        <v>396</v>
      </c>
      <c r="CK8" s="17" t="s">
        <v>401</v>
      </c>
      <c r="CL8" s="17" t="s">
        <v>438</v>
      </c>
      <c r="CM8" s="17" t="s">
        <v>439</v>
      </c>
      <c r="CN8" s="17" t="s">
        <v>438</v>
      </c>
      <c r="CO8" s="17"/>
      <c r="CP8" s="24"/>
    </row>
    <row r="9" spans="1:94" ht="66" hidden="1" customHeight="1">
      <c r="A9" s="12" t="s">
        <v>440</v>
      </c>
      <c r="B9" s="1" t="str">
        <f>_xlfn.XLOOKUP(A:A,'Dados Elevatórias'!D:D,'Dados Elevatórias'!B:B)</f>
        <v>PL-RJB-EAT0736</v>
      </c>
      <c r="C9" s="13" t="s">
        <v>1815</v>
      </c>
      <c r="D9" s="14" t="s">
        <v>1764</v>
      </c>
      <c r="E9" s="15" t="s">
        <v>459</v>
      </c>
      <c r="F9" s="16" t="s">
        <v>1816</v>
      </c>
      <c r="G9" s="16"/>
      <c r="H9" s="14" t="s">
        <v>443</v>
      </c>
      <c r="I9" s="14" t="s">
        <v>1817</v>
      </c>
      <c r="J9" s="17" t="s">
        <v>444</v>
      </c>
      <c r="K9" s="17">
        <v>1</v>
      </c>
      <c r="L9" s="14" t="s">
        <v>378</v>
      </c>
      <c r="M9" s="17">
        <v>15</v>
      </c>
      <c r="N9" s="17">
        <v>3510</v>
      </c>
      <c r="O9" s="17" t="s">
        <v>1818</v>
      </c>
      <c r="P9" s="17">
        <v>687</v>
      </c>
      <c r="Q9" s="17" t="s">
        <v>1819</v>
      </c>
      <c r="R9" s="14" t="s">
        <v>484</v>
      </c>
      <c r="S9" s="17"/>
      <c r="T9" s="17"/>
      <c r="U9" s="14" t="s">
        <v>455</v>
      </c>
      <c r="V9" s="14"/>
      <c r="W9" s="14"/>
      <c r="X9" s="14" t="s">
        <v>411</v>
      </c>
      <c r="Y9" s="14"/>
      <c r="Z9" s="14" t="s">
        <v>1820</v>
      </c>
      <c r="AA9" s="32">
        <v>45</v>
      </c>
      <c r="AB9" s="19"/>
      <c r="AC9" s="17" t="s">
        <v>433</v>
      </c>
      <c r="AD9" s="17"/>
      <c r="AE9" s="14">
        <v>420630267</v>
      </c>
      <c r="AF9" s="14">
        <v>8663425</v>
      </c>
      <c r="AG9" s="14"/>
      <c r="AH9" s="24" t="s">
        <v>458</v>
      </c>
      <c r="AI9" s="20" t="s">
        <v>459</v>
      </c>
      <c r="AJ9" s="17"/>
      <c r="AK9" s="17" t="s">
        <v>669</v>
      </c>
      <c r="AL9" s="17"/>
      <c r="AM9" s="17"/>
      <c r="AN9" s="17"/>
      <c r="AO9" s="17"/>
      <c r="AP9" s="13" t="s">
        <v>1821</v>
      </c>
      <c r="AQ9" s="13" t="s">
        <v>1822</v>
      </c>
      <c r="AR9" s="13" t="s">
        <v>671</v>
      </c>
      <c r="AS9" s="13" t="s">
        <v>671</v>
      </c>
      <c r="AT9" s="13" t="s">
        <v>1823</v>
      </c>
      <c r="AU9" s="13"/>
      <c r="AV9" s="13"/>
      <c r="AW9" s="13"/>
      <c r="AX9" s="25">
        <v>44960</v>
      </c>
      <c r="AY9" s="13"/>
      <c r="AZ9" s="13"/>
      <c r="BA9" s="13"/>
      <c r="BB9" s="13"/>
      <c r="BC9" s="13"/>
      <c r="BD9" s="13"/>
      <c r="BE9" s="13"/>
      <c r="BF9" s="13"/>
      <c r="BG9" s="13"/>
      <c r="BH9" s="17" t="s">
        <v>671</v>
      </c>
      <c r="BI9" s="17" t="s">
        <v>671</v>
      </c>
      <c r="BJ9" s="17" t="s">
        <v>671</v>
      </c>
      <c r="BK9" s="17" t="s">
        <v>671</v>
      </c>
      <c r="BL9" s="17" t="s">
        <v>671</v>
      </c>
      <c r="BM9" s="17" t="s">
        <v>671</v>
      </c>
      <c r="BN9" s="17" t="s">
        <v>671</v>
      </c>
      <c r="BO9" s="17" t="s">
        <v>1793</v>
      </c>
      <c r="BP9" s="17" t="s">
        <v>386</v>
      </c>
      <c r="BQ9" s="17" t="s">
        <v>386</v>
      </c>
      <c r="BR9" s="17" t="s">
        <v>386</v>
      </c>
      <c r="BS9" s="17" t="s">
        <v>386</v>
      </c>
      <c r="BT9" s="17" t="s">
        <v>671</v>
      </c>
      <c r="BU9" s="17" t="s">
        <v>671</v>
      </c>
      <c r="BV9" s="17" t="s">
        <v>671</v>
      </c>
      <c r="BW9" s="14" t="s">
        <v>386</v>
      </c>
      <c r="BX9" s="14" t="s">
        <v>386</v>
      </c>
      <c r="BY9" s="19" t="s">
        <v>396</v>
      </c>
      <c r="BZ9" s="52" t="s">
        <v>386</v>
      </c>
      <c r="CA9" s="52" t="s">
        <v>386</v>
      </c>
      <c r="CB9" s="64" t="s">
        <v>396</v>
      </c>
      <c r="CC9" s="64" t="s">
        <v>397</v>
      </c>
      <c r="CD9" s="64" t="s">
        <v>466</v>
      </c>
      <c r="CE9" s="64" t="s">
        <v>467</v>
      </c>
      <c r="CF9" s="17" t="s">
        <v>386</v>
      </c>
      <c r="CG9" s="17" t="s">
        <v>386</v>
      </c>
      <c r="CH9" s="17" t="s">
        <v>386</v>
      </c>
      <c r="CI9" s="17" t="s">
        <v>386</v>
      </c>
      <c r="CJ9" s="17" t="s">
        <v>386</v>
      </c>
      <c r="CK9" s="17" t="s">
        <v>401</v>
      </c>
      <c r="CL9" s="17"/>
      <c r="CM9" s="17"/>
      <c r="CN9" s="17"/>
      <c r="CO9" s="17" t="s">
        <v>468</v>
      </c>
      <c r="CP9" s="24"/>
    </row>
    <row r="10" spans="1:94" ht="66" hidden="1" customHeight="1">
      <c r="A10" s="26" t="s">
        <v>1323</v>
      </c>
      <c r="B10" s="1" t="str">
        <f>_xlfn.XLOOKUP(A:A,'Dados Elevatórias'!D:D,'Dados Elevatórias'!B:B)</f>
        <v>PL-RJB-EAT0692</v>
      </c>
      <c r="C10" s="13" t="s">
        <v>1824</v>
      </c>
      <c r="D10" s="14" t="s">
        <v>1764</v>
      </c>
      <c r="E10" s="28" t="s">
        <v>1825</v>
      </c>
      <c r="F10" s="27" t="s">
        <v>1370</v>
      </c>
      <c r="G10" s="27"/>
      <c r="H10" s="16" t="s">
        <v>443</v>
      </c>
      <c r="I10" s="16" t="s">
        <v>1639</v>
      </c>
      <c r="J10" s="27" t="s">
        <v>444</v>
      </c>
      <c r="K10" s="27">
        <v>1</v>
      </c>
      <c r="L10" s="16" t="s">
        <v>378</v>
      </c>
      <c r="M10" s="27">
        <v>12.5</v>
      </c>
      <c r="N10" s="27">
        <v>3515</v>
      </c>
      <c r="O10" s="27" t="s">
        <v>1328</v>
      </c>
      <c r="P10" s="27" t="s">
        <v>1330</v>
      </c>
      <c r="Q10" s="27" t="s">
        <v>1331</v>
      </c>
      <c r="R10" s="16" t="s">
        <v>665</v>
      </c>
      <c r="S10" s="17"/>
      <c r="T10" s="17"/>
      <c r="U10" s="14" t="s">
        <v>455</v>
      </c>
      <c r="V10" s="14"/>
      <c r="W10" s="14"/>
      <c r="X10" s="14" t="s">
        <v>411</v>
      </c>
      <c r="Y10" s="14"/>
      <c r="Z10" s="14" t="s">
        <v>1703</v>
      </c>
      <c r="AA10" s="32">
        <v>24.5</v>
      </c>
      <c r="AB10" s="19"/>
      <c r="AC10" s="17" t="s">
        <v>433</v>
      </c>
      <c r="AD10" s="17"/>
      <c r="AE10" s="14"/>
      <c r="AF10" s="14"/>
      <c r="AG10" s="14"/>
      <c r="AH10" s="24"/>
      <c r="AI10" s="20"/>
      <c r="AJ10" s="17" t="s">
        <v>669</v>
      </c>
      <c r="AK10" s="17" t="s">
        <v>669</v>
      </c>
      <c r="AL10" s="17"/>
      <c r="AM10" s="17"/>
      <c r="AN10" s="17"/>
      <c r="AO10" s="17"/>
      <c r="AP10" s="21" t="s">
        <v>1826</v>
      </c>
      <c r="AQ10" s="21" t="s">
        <v>1827</v>
      </c>
      <c r="AR10" s="21" t="s">
        <v>671</v>
      </c>
      <c r="AS10" s="21" t="s">
        <v>1828</v>
      </c>
      <c r="AT10" s="21" t="s">
        <v>1829</v>
      </c>
      <c r="AU10" s="21" t="s">
        <v>1830</v>
      </c>
      <c r="AV10" s="21" t="s">
        <v>671</v>
      </c>
      <c r="AW10" s="21" t="s">
        <v>1831</v>
      </c>
      <c r="AX10" s="22">
        <v>44910</v>
      </c>
      <c r="AY10" s="13"/>
      <c r="AZ10" s="13"/>
      <c r="BA10" s="13"/>
      <c r="BB10" s="13"/>
      <c r="BC10" s="13"/>
      <c r="BD10" s="13"/>
      <c r="BE10" s="13"/>
      <c r="BF10" s="13"/>
      <c r="BG10" s="13"/>
      <c r="BH10" s="17" t="s">
        <v>1832</v>
      </c>
      <c r="BI10" s="17" t="s">
        <v>1833</v>
      </c>
      <c r="BJ10" s="17" t="s">
        <v>671</v>
      </c>
      <c r="BK10" s="17" t="s">
        <v>671</v>
      </c>
      <c r="BL10" s="17" t="s">
        <v>671</v>
      </c>
      <c r="BM10" s="17" t="s">
        <v>671</v>
      </c>
      <c r="BN10" s="17"/>
      <c r="BO10" s="17"/>
      <c r="BP10" s="17" t="s">
        <v>1834</v>
      </c>
      <c r="BQ10" s="17" t="s">
        <v>386</v>
      </c>
      <c r="BR10" s="17" t="s">
        <v>396</v>
      </c>
      <c r="BS10" s="17" t="s">
        <v>386</v>
      </c>
      <c r="BT10" s="17" t="s">
        <v>671</v>
      </c>
      <c r="BU10" s="17" t="s">
        <v>671</v>
      </c>
      <c r="BV10" s="17" t="s">
        <v>671</v>
      </c>
      <c r="BW10" s="14" t="s">
        <v>386</v>
      </c>
      <c r="BX10" s="14" t="s">
        <v>386</v>
      </c>
      <c r="BY10" s="19" t="s">
        <v>396</v>
      </c>
      <c r="BZ10" s="52" t="s">
        <v>386</v>
      </c>
      <c r="CA10" s="52" t="s">
        <v>386</v>
      </c>
      <c r="CB10" s="52" t="s">
        <v>396</v>
      </c>
      <c r="CC10" s="52"/>
      <c r="CD10" s="52"/>
      <c r="CE10" s="52"/>
      <c r="CF10" s="17"/>
      <c r="CG10" s="17"/>
      <c r="CH10" s="17" t="s">
        <v>396</v>
      </c>
      <c r="CI10" s="17"/>
      <c r="CJ10" s="17" t="s">
        <v>396</v>
      </c>
      <c r="CK10" s="17" t="s">
        <v>401</v>
      </c>
      <c r="CL10" s="17"/>
      <c r="CM10" s="17"/>
      <c r="CN10" s="17"/>
      <c r="CO10" s="17"/>
      <c r="CP10" s="24"/>
    </row>
    <row r="11" spans="1:94" ht="66" hidden="1" customHeight="1">
      <c r="A11" s="12" t="s">
        <v>469</v>
      </c>
      <c r="B11" s="1" t="str">
        <f>_xlfn.XLOOKUP(A:A,'Dados Elevatórias'!D:D,'Dados Elevatórias'!B:B)</f>
        <v>PL-RJB-EAT0688</v>
      </c>
      <c r="C11" s="13" t="s">
        <v>1835</v>
      </c>
      <c r="D11" s="14" t="s">
        <v>1764</v>
      </c>
      <c r="E11" s="15" t="s">
        <v>1836</v>
      </c>
      <c r="F11" s="16" t="s">
        <v>1003</v>
      </c>
      <c r="G11" s="16"/>
      <c r="H11" s="14" t="s">
        <v>1783</v>
      </c>
      <c r="I11" s="14" t="s">
        <v>1837</v>
      </c>
      <c r="J11" s="17" t="s">
        <v>444</v>
      </c>
      <c r="K11" s="17">
        <v>1</v>
      </c>
      <c r="L11" s="14" t="s">
        <v>378</v>
      </c>
      <c r="M11" s="17">
        <v>70</v>
      </c>
      <c r="N11" s="17" t="s">
        <v>1838</v>
      </c>
      <c r="O11" s="17"/>
      <c r="P11" s="17" t="s">
        <v>1839</v>
      </c>
      <c r="Q11" s="17"/>
      <c r="R11" s="14" t="s">
        <v>1192</v>
      </c>
      <c r="S11" s="17"/>
      <c r="T11" s="17"/>
      <c r="U11" s="17" t="s">
        <v>728</v>
      </c>
      <c r="V11" s="17"/>
      <c r="W11" s="14" t="s">
        <v>671</v>
      </c>
      <c r="X11" s="14" t="s">
        <v>671</v>
      </c>
      <c r="Y11" s="14" t="s">
        <v>671</v>
      </c>
      <c r="Z11" s="14" t="s">
        <v>727</v>
      </c>
      <c r="AA11" s="18"/>
      <c r="AB11" s="19"/>
      <c r="AC11" s="17"/>
      <c r="AD11" s="17"/>
      <c r="AE11" s="14">
        <v>430086325</v>
      </c>
      <c r="AF11" s="14">
        <v>8552185</v>
      </c>
      <c r="AG11" s="14"/>
      <c r="AH11" s="65"/>
      <c r="AI11" s="29"/>
      <c r="AJ11" s="17"/>
      <c r="AK11" s="17"/>
      <c r="AL11" s="17"/>
      <c r="AM11" s="17"/>
      <c r="AN11" s="17"/>
      <c r="AO11" s="17"/>
      <c r="AP11" s="13"/>
      <c r="AQ11" s="13" t="s">
        <v>1840</v>
      </c>
      <c r="AR11" s="13">
        <v>21</v>
      </c>
      <c r="AS11" s="13">
        <v>95</v>
      </c>
      <c r="AT11" s="13" t="s">
        <v>1841</v>
      </c>
      <c r="AU11" s="13" t="s">
        <v>1841</v>
      </c>
      <c r="AV11" s="13">
        <v>12</v>
      </c>
      <c r="AW11" s="13">
        <v>146</v>
      </c>
      <c r="AX11" s="25">
        <v>43390</v>
      </c>
      <c r="AY11" s="13"/>
      <c r="AZ11" s="13"/>
      <c r="BA11" s="13"/>
      <c r="BB11" s="13"/>
      <c r="BC11" s="13"/>
      <c r="BD11" s="13"/>
      <c r="BE11" s="13"/>
      <c r="BF11" s="13"/>
      <c r="BG11" s="13"/>
      <c r="BH11" s="17"/>
      <c r="BI11" s="17"/>
      <c r="BJ11" s="17"/>
      <c r="BK11" s="17"/>
      <c r="BL11" s="17"/>
      <c r="BM11" s="17"/>
      <c r="BN11" s="17"/>
      <c r="BO11" s="17"/>
      <c r="BP11" s="17"/>
      <c r="BQ11" s="17"/>
      <c r="BR11" s="17"/>
      <c r="BS11" s="17"/>
      <c r="BT11" s="17"/>
      <c r="BU11" s="17"/>
      <c r="BV11" s="17"/>
      <c r="BW11" s="14"/>
      <c r="BX11" s="14"/>
      <c r="BY11" s="14"/>
      <c r="BZ11" s="52"/>
      <c r="CA11" s="52"/>
      <c r="CB11" s="64"/>
      <c r="CC11" s="64"/>
      <c r="CD11" s="64"/>
      <c r="CE11" s="64"/>
      <c r="CF11" s="17"/>
      <c r="CG11" s="17"/>
      <c r="CH11" s="17"/>
      <c r="CI11" s="17"/>
      <c r="CJ11" s="17"/>
      <c r="CK11" s="17"/>
      <c r="CL11" s="17"/>
      <c r="CM11" s="17"/>
      <c r="CN11" s="17"/>
      <c r="CO11" s="17"/>
      <c r="CP11" s="24"/>
    </row>
    <row r="12" spans="1:94" ht="66" hidden="1" customHeight="1">
      <c r="A12" s="12" t="s">
        <v>478</v>
      </c>
      <c r="B12" s="1" t="str">
        <f>_xlfn.XLOOKUP(A:A,'Dados Elevatórias'!D:D,'Dados Elevatórias'!B:B)</f>
        <v>PL-RJB-EAT0083</v>
      </c>
      <c r="C12" s="13" t="s">
        <v>1842</v>
      </c>
      <c r="D12" s="14" t="s">
        <v>1764</v>
      </c>
      <c r="E12" s="15" t="s">
        <v>1843</v>
      </c>
      <c r="F12" s="16" t="s">
        <v>1844</v>
      </c>
      <c r="G12" s="16"/>
      <c r="H12" s="14" t="s">
        <v>1783</v>
      </c>
      <c r="I12" s="14" t="s">
        <v>1845</v>
      </c>
      <c r="J12" s="17" t="s">
        <v>377</v>
      </c>
      <c r="K12" s="17">
        <v>1</v>
      </c>
      <c r="L12" s="14" t="s">
        <v>378</v>
      </c>
      <c r="M12" s="17">
        <v>25</v>
      </c>
      <c r="N12" s="17">
        <v>3500</v>
      </c>
      <c r="O12" s="17" t="s">
        <v>482</v>
      </c>
      <c r="P12" s="17" t="s">
        <v>1846</v>
      </c>
      <c r="Q12" s="17" t="s">
        <v>483</v>
      </c>
      <c r="R12" s="14" t="s">
        <v>484</v>
      </c>
      <c r="S12" s="17">
        <v>7.99</v>
      </c>
      <c r="T12" s="17">
        <v>202.95</v>
      </c>
      <c r="U12" s="14" t="s">
        <v>455</v>
      </c>
      <c r="V12" s="14"/>
      <c r="W12" s="14" t="s">
        <v>799</v>
      </c>
      <c r="X12" s="14" t="s">
        <v>485</v>
      </c>
      <c r="Y12" s="14" t="s">
        <v>800</v>
      </c>
      <c r="Z12" s="14" t="s">
        <v>486</v>
      </c>
      <c r="AA12" s="18"/>
      <c r="AB12" s="19"/>
      <c r="AC12" s="17" t="s">
        <v>433</v>
      </c>
      <c r="AD12" s="17"/>
      <c r="AE12" s="14">
        <v>412787475</v>
      </c>
      <c r="AF12" s="14">
        <v>5241353</v>
      </c>
      <c r="AG12" s="14"/>
      <c r="AH12" s="24" t="s">
        <v>487</v>
      </c>
      <c r="AI12" s="20" t="s">
        <v>488</v>
      </c>
      <c r="AJ12" s="17" t="s">
        <v>489</v>
      </c>
      <c r="AK12" s="17" t="s">
        <v>490</v>
      </c>
      <c r="AL12" s="17"/>
      <c r="AM12" s="17"/>
      <c r="AN12" s="17"/>
      <c r="AO12" s="17"/>
      <c r="AP12" s="21" t="s">
        <v>1847</v>
      </c>
      <c r="AQ12" s="21" t="s">
        <v>1848</v>
      </c>
      <c r="AR12" s="21" t="s">
        <v>1849</v>
      </c>
      <c r="AS12" s="21" t="s">
        <v>1850</v>
      </c>
      <c r="AT12" s="21" t="s">
        <v>1851</v>
      </c>
      <c r="AU12" s="21" t="s">
        <v>1852</v>
      </c>
      <c r="AV12" s="21" t="s">
        <v>1850</v>
      </c>
      <c r="AW12" s="21" t="s">
        <v>1853</v>
      </c>
      <c r="AX12" s="22">
        <v>44955</v>
      </c>
      <c r="AY12" s="21" t="s">
        <v>1854</v>
      </c>
      <c r="AZ12" s="21" t="s">
        <v>1855</v>
      </c>
      <c r="BA12" s="21">
        <v>0</v>
      </c>
      <c r="BB12" s="21">
        <v>60</v>
      </c>
      <c r="BC12" s="21" t="s">
        <v>1856</v>
      </c>
      <c r="BD12" s="21" t="s">
        <v>1857</v>
      </c>
      <c r="BE12" s="21">
        <v>3</v>
      </c>
      <c r="BF12" s="21">
        <v>98</v>
      </c>
      <c r="BG12" s="22">
        <v>43293</v>
      </c>
      <c r="BH12" s="17" t="s">
        <v>671</v>
      </c>
      <c r="BI12" s="17" t="s">
        <v>671</v>
      </c>
      <c r="BJ12" s="17" t="s">
        <v>671</v>
      </c>
      <c r="BK12" s="17" t="s">
        <v>671</v>
      </c>
      <c r="BL12" s="17" t="s">
        <v>671</v>
      </c>
      <c r="BM12" s="17" t="s">
        <v>671</v>
      </c>
      <c r="BN12" s="17" t="s">
        <v>1858</v>
      </c>
      <c r="BO12" s="17"/>
      <c r="BP12" s="17" t="s">
        <v>386</v>
      </c>
      <c r="BQ12" s="17" t="s">
        <v>386</v>
      </c>
      <c r="BR12" s="17" t="s">
        <v>396</v>
      </c>
      <c r="BS12" s="17" t="s">
        <v>386</v>
      </c>
      <c r="BT12" s="17">
        <v>0</v>
      </c>
      <c r="BU12" s="17">
        <v>150</v>
      </c>
      <c r="BV12" s="17" t="s">
        <v>671</v>
      </c>
      <c r="BW12" s="19" t="s">
        <v>396</v>
      </c>
      <c r="BX12" s="14" t="s">
        <v>386</v>
      </c>
      <c r="BY12" s="14" t="s">
        <v>386</v>
      </c>
      <c r="BZ12" s="52" t="s">
        <v>386</v>
      </c>
      <c r="CA12" s="52" t="s">
        <v>386</v>
      </c>
      <c r="CB12" s="64" t="s">
        <v>396</v>
      </c>
      <c r="CC12" s="64" t="s">
        <v>491</v>
      </c>
      <c r="CD12" s="64" t="s">
        <v>492</v>
      </c>
      <c r="CE12" s="64"/>
      <c r="CF12" s="17"/>
      <c r="CG12" s="17"/>
      <c r="CH12" s="17" t="s">
        <v>396</v>
      </c>
      <c r="CI12" s="17"/>
      <c r="CJ12" s="17" t="s">
        <v>396</v>
      </c>
      <c r="CK12" s="17" t="s">
        <v>401</v>
      </c>
      <c r="CL12" s="17"/>
      <c r="CM12" s="17"/>
      <c r="CN12" s="17"/>
      <c r="CO12" s="17"/>
      <c r="CP12" s="24" t="s">
        <v>493</v>
      </c>
    </row>
    <row r="13" spans="1:94" ht="66" hidden="1" customHeight="1">
      <c r="A13" s="12" t="s">
        <v>689</v>
      </c>
      <c r="B13" s="1" t="str">
        <f>_xlfn.XLOOKUP(A:A,'Dados Elevatórias'!D:D,'Dados Elevatórias'!B:B)</f>
        <v>PL-RJB-EAT0011</v>
      </c>
      <c r="C13" s="13" t="s">
        <v>1859</v>
      </c>
      <c r="D13" s="14" t="s">
        <v>1764</v>
      </c>
      <c r="E13" s="15" t="s">
        <v>1860</v>
      </c>
      <c r="F13" s="16" t="s">
        <v>1861</v>
      </c>
      <c r="G13" s="16"/>
      <c r="H13" s="14" t="s">
        <v>1783</v>
      </c>
      <c r="I13" s="14" t="s">
        <v>1862</v>
      </c>
      <c r="J13" s="17" t="s">
        <v>377</v>
      </c>
      <c r="K13" s="17">
        <v>1</v>
      </c>
      <c r="L13" s="14" t="s">
        <v>378</v>
      </c>
      <c r="M13" s="17">
        <v>40</v>
      </c>
      <c r="N13" s="17">
        <v>3540</v>
      </c>
      <c r="O13" s="17" t="s">
        <v>1863</v>
      </c>
      <c r="P13" s="17" t="s">
        <v>1864</v>
      </c>
      <c r="Q13" s="17" t="s">
        <v>695</v>
      </c>
      <c r="R13" s="14" t="s">
        <v>484</v>
      </c>
      <c r="S13" s="17">
        <v>8</v>
      </c>
      <c r="T13" s="17">
        <v>203.2</v>
      </c>
      <c r="U13" s="14" t="s">
        <v>455</v>
      </c>
      <c r="V13" s="14"/>
      <c r="W13" s="14" t="s">
        <v>799</v>
      </c>
      <c r="X13" s="14" t="s">
        <v>485</v>
      </c>
      <c r="Y13" s="14" t="s">
        <v>800</v>
      </c>
      <c r="Z13" s="14" t="s">
        <v>486</v>
      </c>
      <c r="AA13" s="18">
        <v>160</v>
      </c>
      <c r="AB13" s="19">
        <v>70</v>
      </c>
      <c r="AC13" s="17" t="s">
        <v>433</v>
      </c>
      <c r="AD13" s="17"/>
      <c r="AE13" s="14">
        <v>411457794</v>
      </c>
      <c r="AF13" s="14">
        <v>7516646</v>
      </c>
      <c r="AG13" s="14"/>
      <c r="AH13" s="24" t="s">
        <v>696</v>
      </c>
      <c r="AI13" s="20" t="s">
        <v>697</v>
      </c>
      <c r="AJ13" s="17" t="s">
        <v>489</v>
      </c>
      <c r="AK13" s="17" t="s">
        <v>698</v>
      </c>
      <c r="AL13" s="17"/>
      <c r="AM13" s="17"/>
      <c r="AN13" s="17"/>
      <c r="AO13" s="17"/>
      <c r="AP13" s="21" t="s">
        <v>1865</v>
      </c>
      <c r="AQ13" s="30">
        <v>109110111</v>
      </c>
      <c r="AR13" s="21" t="s">
        <v>1866</v>
      </c>
      <c r="AS13" s="21" t="s">
        <v>642</v>
      </c>
      <c r="AT13" s="30">
        <v>206206205</v>
      </c>
      <c r="AU13" s="21" t="s">
        <v>1867</v>
      </c>
      <c r="AV13" s="21" t="s">
        <v>1849</v>
      </c>
      <c r="AW13" s="21" t="s">
        <v>1868</v>
      </c>
      <c r="AX13" s="22">
        <v>44964</v>
      </c>
      <c r="AY13" s="13" t="s">
        <v>1869</v>
      </c>
      <c r="AZ13" s="13" t="s">
        <v>1870</v>
      </c>
      <c r="BA13" s="13">
        <v>3</v>
      </c>
      <c r="BB13" s="13">
        <v>90</v>
      </c>
      <c r="BC13" s="13"/>
      <c r="BD13" s="13"/>
      <c r="BE13" s="13"/>
      <c r="BF13" s="13"/>
      <c r="BG13" s="25">
        <v>42469</v>
      </c>
      <c r="BH13" s="17" t="s">
        <v>671</v>
      </c>
      <c r="BI13" s="17" t="s">
        <v>671</v>
      </c>
      <c r="BJ13" s="17" t="s">
        <v>671</v>
      </c>
      <c r="BK13" s="17" t="s">
        <v>671</v>
      </c>
      <c r="BL13" s="17" t="s">
        <v>671</v>
      </c>
      <c r="BM13" s="17" t="s">
        <v>671</v>
      </c>
      <c r="BN13" s="17" t="s">
        <v>1780</v>
      </c>
      <c r="BO13" s="17"/>
      <c r="BP13" s="17" t="s">
        <v>386</v>
      </c>
      <c r="BQ13" s="17" t="s">
        <v>386</v>
      </c>
      <c r="BR13" s="17" t="s">
        <v>396</v>
      </c>
      <c r="BS13" s="17" t="s">
        <v>386</v>
      </c>
      <c r="BT13" s="17">
        <v>0</v>
      </c>
      <c r="BU13" s="17">
        <v>160</v>
      </c>
      <c r="BV13" s="17" t="s">
        <v>671</v>
      </c>
      <c r="BW13" s="19" t="s">
        <v>396</v>
      </c>
      <c r="BX13" s="14" t="s">
        <v>386</v>
      </c>
      <c r="BY13" s="14" t="s">
        <v>386</v>
      </c>
      <c r="BZ13" s="52" t="s">
        <v>386</v>
      </c>
      <c r="CA13" s="52" t="s">
        <v>386</v>
      </c>
      <c r="CB13" s="64" t="s">
        <v>396</v>
      </c>
      <c r="CC13" s="64"/>
      <c r="CD13" s="64"/>
      <c r="CE13" s="64"/>
      <c r="CF13" s="17"/>
      <c r="CG13" s="17"/>
      <c r="CH13" s="17" t="s">
        <v>396</v>
      </c>
      <c r="CI13" s="17"/>
      <c r="CJ13" s="17" t="s">
        <v>396</v>
      </c>
      <c r="CK13" s="17" t="s">
        <v>401</v>
      </c>
      <c r="CL13" s="17"/>
      <c r="CM13" s="17"/>
      <c r="CN13" s="17"/>
      <c r="CO13" s="17"/>
      <c r="CP13" s="24" t="s">
        <v>701</v>
      </c>
    </row>
    <row r="14" spans="1:94" ht="66" hidden="1" customHeight="1">
      <c r="A14" s="12" t="s">
        <v>657</v>
      </c>
      <c r="B14" s="1" t="str">
        <f>_xlfn.XLOOKUP(A:A,'Dados Elevatórias'!D:D,'Dados Elevatórias'!B:B)</f>
        <v>PL-RJB-EAT0684</v>
      </c>
      <c r="C14" s="13" t="s">
        <v>1871</v>
      </c>
      <c r="D14" s="14" t="s">
        <v>1764</v>
      </c>
      <c r="E14" s="15" t="s">
        <v>1872</v>
      </c>
      <c r="F14" s="16" t="s">
        <v>1873</v>
      </c>
      <c r="G14" s="16"/>
      <c r="H14" s="14" t="s">
        <v>576</v>
      </c>
      <c r="I14" s="14" t="s">
        <v>1874</v>
      </c>
      <c r="J14" s="17" t="s">
        <v>444</v>
      </c>
      <c r="K14" s="17">
        <v>1</v>
      </c>
      <c r="L14" s="14" t="s">
        <v>378</v>
      </c>
      <c r="M14" s="17">
        <v>7.5</v>
      </c>
      <c r="N14" s="17">
        <v>3510</v>
      </c>
      <c r="O14" s="17" t="s">
        <v>1373</v>
      </c>
      <c r="P14" s="17">
        <v>645</v>
      </c>
      <c r="Q14" s="17" t="s">
        <v>1875</v>
      </c>
      <c r="R14" s="14" t="s">
        <v>898</v>
      </c>
      <c r="S14" s="17"/>
      <c r="T14" s="17"/>
      <c r="U14" s="17" t="s">
        <v>455</v>
      </c>
      <c r="V14" s="17"/>
      <c r="W14" s="14"/>
      <c r="X14" s="14" t="s">
        <v>411</v>
      </c>
      <c r="Y14" s="14"/>
      <c r="Z14" s="14" t="s">
        <v>1703</v>
      </c>
      <c r="AA14" s="31">
        <v>32.5</v>
      </c>
      <c r="AB14" s="19"/>
      <c r="AC14" s="17" t="s">
        <v>433</v>
      </c>
      <c r="AD14" s="17"/>
      <c r="AE14" s="14"/>
      <c r="AF14" s="14"/>
      <c r="AG14" s="14"/>
      <c r="AH14" s="24"/>
      <c r="AI14" s="20"/>
      <c r="AJ14" s="17" t="s">
        <v>669</v>
      </c>
      <c r="AK14" s="17" t="s">
        <v>669</v>
      </c>
      <c r="AL14" s="17"/>
      <c r="AM14" s="17"/>
      <c r="AN14" s="17"/>
      <c r="AO14" s="17"/>
      <c r="AP14" s="21" t="s">
        <v>1876</v>
      </c>
      <c r="AQ14" s="21" t="s">
        <v>1877</v>
      </c>
      <c r="AR14" s="21" t="s">
        <v>671</v>
      </c>
      <c r="AS14" s="21" t="s">
        <v>1850</v>
      </c>
      <c r="AT14" s="30">
        <v>200201200</v>
      </c>
      <c r="AU14" s="21" t="s">
        <v>1878</v>
      </c>
      <c r="AV14" s="21" t="s">
        <v>671</v>
      </c>
      <c r="AW14" s="21" t="s">
        <v>854</v>
      </c>
      <c r="AX14" s="22">
        <v>44954</v>
      </c>
      <c r="AY14" s="13"/>
      <c r="AZ14" s="13"/>
      <c r="BA14" s="13"/>
      <c r="BB14" s="13"/>
      <c r="BC14" s="13"/>
      <c r="BD14" s="13"/>
      <c r="BE14" s="13"/>
      <c r="BF14" s="13"/>
      <c r="BG14" s="13"/>
      <c r="BH14" s="17" t="s">
        <v>1879</v>
      </c>
      <c r="BI14" s="17" t="s">
        <v>1880</v>
      </c>
      <c r="BJ14" s="17" t="s">
        <v>671</v>
      </c>
      <c r="BK14" s="17" t="s">
        <v>671</v>
      </c>
      <c r="BL14" s="17" t="s">
        <v>671</v>
      </c>
      <c r="BM14" s="17" t="s">
        <v>671</v>
      </c>
      <c r="BN14" s="17" t="s">
        <v>671</v>
      </c>
      <c r="BO14" s="17" t="s">
        <v>1881</v>
      </c>
      <c r="BP14" s="17" t="s">
        <v>1882</v>
      </c>
      <c r="BQ14" s="17" t="s">
        <v>386</v>
      </c>
      <c r="BR14" s="17" t="s">
        <v>386</v>
      </c>
      <c r="BS14" s="17" t="s">
        <v>386</v>
      </c>
      <c r="BT14" s="17" t="s">
        <v>671</v>
      </c>
      <c r="BU14" s="17" t="s">
        <v>671</v>
      </c>
      <c r="BV14" s="17" t="s">
        <v>1883</v>
      </c>
      <c r="BW14" s="14" t="s">
        <v>386</v>
      </c>
      <c r="BX14" s="14" t="s">
        <v>386</v>
      </c>
      <c r="BY14" s="19" t="s">
        <v>396</v>
      </c>
      <c r="BZ14" s="52" t="s">
        <v>386</v>
      </c>
      <c r="CA14" s="52" t="s">
        <v>386</v>
      </c>
      <c r="CB14" s="52" t="s">
        <v>396</v>
      </c>
      <c r="CC14" s="52"/>
      <c r="CD14" s="52"/>
      <c r="CE14" s="52"/>
      <c r="CF14" s="17" t="s">
        <v>671</v>
      </c>
      <c r="CG14" s="17"/>
      <c r="CH14" s="17" t="s">
        <v>671</v>
      </c>
      <c r="CI14" s="17" t="s">
        <v>671</v>
      </c>
      <c r="CJ14" s="17" t="s">
        <v>671</v>
      </c>
      <c r="CK14" s="17" t="s">
        <v>401</v>
      </c>
      <c r="CL14" s="17"/>
      <c r="CM14" s="17"/>
      <c r="CN14" s="17"/>
      <c r="CO14" s="17"/>
      <c r="CP14" s="17"/>
    </row>
    <row r="15" spans="1:94" ht="66" hidden="1" customHeight="1">
      <c r="A15" s="149" t="s">
        <v>549</v>
      </c>
      <c r="B15" s="1" t="str">
        <f>_xlfn.XLOOKUP(A:A,'Dados Elevatórias'!D:D,'Dados Elevatórias'!B:B)</f>
        <v>PL-RJB-EAT0689</v>
      </c>
      <c r="C15" s="13" t="s">
        <v>1884</v>
      </c>
      <c r="D15" s="14" t="s">
        <v>1764</v>
      </c>
      <c r="E15" s="15" t="s">
        <v>1885</v>
      </c>
      <c r="F15" s="16" t="s">
        <v>1578</v>
      </c>
      <c r="G15" s="16"/>
      <c r="H15" s="14" t="s">
        <v>1783</v>
      </c>
      <c r="I15" s="17" t="s">
        <v>1886</v>
      </c>
      <c r="J15" s="17" t="s">
        <v>377</v>
      </c>
      <c r="K15" s="17">
        <v>1</v>
      </c>
      <c r="L15" s="14" t="s">
        <v>378</v>
      </c>
      <c r="M15" s="17">
        <v>50</v>
      </c>
      <c r="N15" s="17">
        <v>1750</v>
      </c>
      <c r="O15" s="17" t="s">
        <v>555</v>
      </c>
      <c r="P15" s="14"/>
      <c r="Q15" s="17" t="s">
        <v>572</v>
      </c>
      <c r="R15" s="14" t="s">
        <v>1887</v>
      </c>
      <c r="S15" s="17"/>
      <c r="T15" s="17">
        <v>247</v>
      </c>
      <c r="U15" s="14" t="s">
        <v>455</v>
      </c>
      <c r="V15" s="14"/>
      <c r="W15" s="14" t="s">
        <v>799</v>
      </c>
      <c r="X15" s="14" t="s">
        <v>411</v>
      </c>
      <c r="Y15" s="14"/>
      <c r="Z15" s="14" t="s">
        <v>1820</v>
      </c>
      <c r="AA15" s="32">
        <v>360</v>
      </c>
      <c r="AB15" s="19"/>
      <c r="AC15" s="17" t="s">
        <v>563</v>
      </c>
      <c r="AD15" s="17"/>
      <c r="AE15" s="14">
        <v>430053078</v>
      </c>
      <c r="AF15" s="14">
        <v>7891998</v>
      </c>
      <c r="AG15" s="14"/>
      <c r="AH15" s="24" t="s">
        <v>564</v>
      </c>
      <c r="AI15" s="33" t="s">
        <v>565</v>
      </c>
      <c r="AJ15" s="17"/>
      <c r="AK15" s="17"/>
      <c r="AL15" s="17"/>
      <c r="AM15" s="17"/>
      <c r="AN15" s="17"/>
      <c r="AO15" s="17"/>
      <c r="AP15" s="21" t="s">
        <v>1888</v>
      </c>
      <c r="AQ15" s="21" t="s">
        <v>1889</v>
      </c>
      <c r="AR15" s="21" t="s">
        <v>1889</v>
      </c>
      <c r="AS15" s="21" t="s">
        <v>1889</v>
      </c>
      <c r="AT15" s="21" t="s">
        <v>671</v>
      </c>
      <c r="AU15" s="21" t="s">
        <v>671</v>
      </c>
      <c r="AV15" s="21" t="s">
        <v>671</v>
      </c>
      <c r="AW15" s="21" t="s">
        <v>671</v>
      </c>
      <c r="AX15" s="22">
        <v>44932</v>
      </c>
      <c r="AY15" s="13"/>
      <c r="AZ15" s="13"/>
      <c r="BA15" s="13"/>
      <c r="BB15" s="13"/>
      <c r="BC15" s="13"/>
      <c r="BD15" s="13"/>
      <c r="BE15" s="13"/>
      <c r="BF15" s="13"/>
      <c r="BG15" s="13"/>
      <c r="BH15" s="17"/>
      <c r="BI15" s="17"/>
      <c r="BJ15" s="17"/>
      <c r="BK15" s="17"/>
      <c r="BL15" s="17"/>
      <c r="BM15" s="17"/>
      <c r="BN15" s="17"/>
      <c r="BO15" s="17"/>
      <c r="BP15" s="17"/>
      <c r="BQ15" s="17"/>
      <c r="BR15" s="17"/>
      <c r="BS15" s="17"/>
      <c r="BT15" s="17"/>
      <c r="BU15" s="17"/>
      <c r="BV15" s="17"/>
      <c r="BW15" s="66" t="s">
        <v>396</v>
      </c>
      <c r="BX15" s="14" t="s">
        <v>386</v>
      </c>
      <c r="BY15" s="14" t="s">
        <v>386</v>
      </c>
      <c r="BZ15" s="52" t="s">
        <v>386</v>
      </c>
      <c r="CA15" s="52"/>
      <c r="CB15" s="173" t="s">
        <v>396</v>
      </c>
      <c r="CC15" s="52" t="s">
        <v>566</v>
      </c>
      <c r="CD15" s="52" t="s">
        <v>567</v>
      </c>
      <c r="CE15" s="52" t="s">
        <v>518</v>
      </c>
      <c r="CF15" s="17"/>
      <c r="CG15" s="17"/>
      <c r="CH15" s="17"/>
      <c r="CI15" s="17"/>
      <c r="CJ15" s="17"/>
      <c r="CK15" s="17"/>
      <c r="CL15" s="17"/>
      <c r="CM15" s="17"/>
      <c r="CN15" s="17"/>
      <c r="CO15" s="17"/>
      <c r="CP15" s="24"/>
    </row>
    <row r="16" spans="1:94" ht="66" hidden="1" customHeight="1">
      <c r="A16" s="149"/>
      <c r="B16" s="1" t="s">
        <v>179</v>
      </c>
      <c r="C16" s="13" t="s">
        <v>1884</v>
      </c>
      <c r="D16" s="14" t="s">
        <v>1764</v>
      </c>
      <c r="E16" s="15" t="s">
        <v>1885</v>
      </c>
      <c r="F16" s="16" t="s">
        <v>1578</v>
      </c>
      <c r="G16" s="16"/>
      <c r="H16" s="14" t="s">
        <v>1783</v>
      </c>
      <c r="I16" s="17" t="s">
        <v>1886</v>
      </c>
      <c r="J16" s="17" t="s">
        <v>377</v>
      </c>
      <c r="K16" s="17">
        <v>2</v>
      </c>
      <c r="L16" s="14" t="s">
        <v>378</v>
      </c>
      <c r="M16" s="17">
        <v>50</v>
      </c>
      <c r="N16" s="17">
        <v>1750</v>
      </c>
      <c r="O16" s="17" t="s">
        <v>568</v>
      </c>
      <c r="P16" s="14" t="s">
        <v>1887</v>
      </c>
      <c r="Q16" s="17" t="s">
        <v>559</v>
      </c>
      <c r="R16" s="14" t="s">
        <v>1887</v>
      </c>
      <c r="S16" s="17"/>
      <c r="T16" s="17">
        <v>247</v>
      </c>
      <c r="U16" s="14" t="s">
        <v>455</v>
      </c>
      <c r="V16" s="14"/>
      <c r="W16" s="14" t="s">
        <v>799</v>
      </c>
      <c r="X16" s="14" t="s">
        <v>411</v>
      </c>
      <c r="Y16" s="14"/>
      <c r="Z16" s="14" t="s">
        <v>1820</v>
      </c>
      <c r="AA16" s="18"/>
      <c r="AB16" s="19"/>
      <c r="AC16" s="17" t="s">
        <v>563</v>
      </c>
      <c r="AD16" s="17"/>
      <c r="AE16" s="14">
        <v>430053078</v>
      </c>
      <c r="AF16" s="14">
        <v>7891998</v>
      </c>
      <c r="AG16" s="14"/>
      <c r="AH16" s="24" t="s">
        <v>1890</v>
      </c>
      <c r="AI16" s="33" t="s">
        <v>565</v>
      </c>
      <c r="AJ16" s="17"/>
      <c r="AK16" s="17"/>
      <c r="AL16" s="17"/>
      <c r="AM16" s="17"/>
      <c r="AN16" s="17"/>
      <c r="AO16" s="17"/>
      <c r="AP16" s="21" t="s">
        <v>1891</v>
      </c>
      <c r="AQ16" s="21" t="s">
        <v>1892</v>
      </c>
      <c r="AR16" s="21" t="s">
        <v>1893</v>
      </c>
      <c r="AS16" s="21" t="s">
        <v>1894</v>
      </c>
      <c r="AT16" s="21" t="s">
        <v>671</v>
      </c>
      <c r="AU16" s="21" t="s">
        <v>671</v>
      </c>
      <c r="AV16" s="21" t="s">
        <v>671</v>
      </c>
      <c r="AW16" s="21" t="s">
        <v>671</v>
      </c>
      <c r="AX16" s="22">
        <v>44932</v>
      </c>
      <c r="AY16" s="13"/>
      <c r="AZ16" s="13"/>
      <c r="BA16" s="13"/>
      <c r="BB16" s="13"/>
      <c r="BC16" s="13"/>
      <c r="BD16" s="13"/>
      <c r="BE16" s="13"/>
      <c r="BF16" s="13"/>
      <c r="BG16" s="13"/>
      <c r="BH16" s="17"/>
      <c r="BI16" s="17"/>
      <c r="BJ16" s="17"/>
      <c r="BK16" s="17"/>
      <c r="BL16" s="17"/>
      <c r="BM16" s="17"/>
      <c r="BN16" s="17"/>
      <c r="BO16" s="17"/>
      <c r="BP16" s="17"/>
      <c r="BQ16" s="17"/>
      <c r="BR16" s="17"/>
      <c r="BS16" s="17"/>
      <c r="BT16" s="17"/>
      <c r="BU16" s="17"/>
      <c r="BV16" s="17"/>
      <c r="BW16" s="19" t="s">
        <v>396</v>
      </c>
      <c r="BX16" s="14" t="s">
        <v>386</v>
      </c>
      <c r="BY16" s="14" t="s">
        <v>386</v>
      </c>
      <c r="BZ16" s="52" t="s">
        <v>386</v>
      </c>
      <c r="CA16" s="52"/>
      <c r="CB16" s="173"/>
      <c r="CC16" s="52"/>
      <c r="CD16" s="52"/>
      <c r="CE16" s="52"/>
      <c r="CF16" s="17"/>
      <c r="CG16" s="17"/>
      <c r="CH16" s="17"/>
      <c r="CI16" s="17"/>
      <c r="CJ16" s="17"/>
      <c r="CK16" s="17"/>
      <c r="CL16" s="17"/>
      <c r="CM16" s="17"/>
      <c r="CN16" s="17"/>
      <c r="CO16" s="17"/>
      <c r="CP16" s="24"/>
    </row>
    <row r="17" spans="1:94" ht="66" hidden="1" customHeight="1">
      <c r="A17" s="149"/>
      <c r="B17" s="1" t="s">
        <v>179</v>
      </c>
      <c r="C17" s="13" t="s">
        <v>1884</v>
      </c>
      <c r="D17" s="14" t="s">
        <v>1764</v>
      </c>
      <c r="E17" s="15" t="s">
        <v>1885</v>
      </c>
      <c r="F17" s="16" t="s">
        <v>1578</v>
      </c>
      <c r="G17" s="16"/>
      <c r="H17" s="14" t="s">
        <v>1783</v>
      </c>
      <c r="I17" s="17" t="s">
        <v>1886</v>
      </c>
      <c r="J17" s="17" t="s">
        <v>377</v>
      </c>
      <c r="K17" s="17">
        <v>3</v>
      </c>
      <c r="L17" s="14" t="s">
        <v>570</v>
      </c>
      <c r="M17" s="17">
        <v>50</v>
      </c>
      <c r="N17" s="17">
        <v>1750</v>
      </c>
      <c r="O17" s="17" t="s">
        <v>571</v>
      </c>
      <c r="P17" s="14" t="s">
        <v>1887</v>
      </c>
      <c r="Q17" s="17" t="s">
        <v>1895</v>
      </c>
      <c r="R17" s="14" t="s">
        <v>1887</v>
      </c>
      <c r="S17" s="17"/>
      <c r="T17" s="17">
        <v>247</v>
      </c>
      <c r="U17" s="14" t="s">
        <v>455</v>
      </c>
      <c r="V17" s="14"/>
      <c r="W17" s="14" t="s">
        <v>799</v>
      </c>
      <c r="X17" s="14" t="s">
        <v>411</v>
      </c>
      <c r="Y17" s="14"/>
      <c r="Z17" s="14" t="s">
        <v>1820</v>
      </c>
      <c r="AA17" s="18"/>
      <c r="AB17" s="19"/>
      <c r="AC17" s="17" t="s">
        <v>563</v>
      </c>
      <c r="AD17" s="17"/>
      <c r="AE17" s="14">
        <v>430053078</v>
      </c>
      <c r="AF17" s="14">
        <v>7891998</v>
      </c>
      <c r="AG17" s="14"/>
      <c r="AH17" s="24" t="s">
        <v>1890</v>
      </c>
      <c r="AI17" s="33" t="s">
        <v>565</v>
      </c>
      <c r="AJ17" s="17"/>
      <c r="AK17" s="17"/>
      <c r="AL17" s="17"/>
      <c r="AM17" s="17"/>
      <c r="AN17" s="17"/>
      <c r="AO17" s="17"/>
      <c r="AP17" s="21" t="s">
        <v>1896</v>
      </c>
      <c r="AQ17" s="21" t="s">
        <v>1897</v>
      </c>
      <c r="AR17" s="21" t="s">
        <v>1893</v>
      </c>
      <c r="AS17" s="21" t="s">
        <v>1894</v>
      </c>
      <c r="AT17" s="21" t="s">
        <v>671</v>
      </c>
      <c r="AU17" s="21" t="s">
        <v>671</v>
      </c>
      <c r="AV17" s="21" t="s">
        <v>671</v>
      </c>
      <c r="AW17" s="21" t="s">
        <v>671</v>
      </c>
      <c r="AX17" s="22">
        <v>44932</v>
      </c>
      <c r="AY17" s="13"/>
      <c r="AZ17" s="13"/>
      <c r="BA17" s="13"/>
      <c r="BB17" s="13"/>
      <c r="BC17" s="13"/>
      <c r="BD17" s="13"/>
      <c r="BE17" s="13"/>
      <c r="BF17" s="13"/>
      <c r="BG17" s="13"/>
      <c r="BH17" s="17"/>
      <c r="BI17" s="17"/>
      <c r="BJ17" s="17"/>
      <c r="BK17" s="17"/>
      <c r="BL17" s="17"/>
      <c r="BM17" s="17"/>
      <c r="BN17" s="17"/>
      <c r="BO17" s="17"/>
      <c r="BP17" s="17"/>
      <c r="BQ17" s="17"/>
      <c r="BR17" s="17"/>
      <c r="BS17" s="17"/>
      <c r="BT17" s="17"/>
      <c r="BU17" s="17"/>
      <c r="BV17" s="17"/>
      <c r="BW17" s="66" t="s">
        <v>396</v>
      </c>
      <c r="BX17" s="14" t="s">
        <v>386</v>
      </c>
      <c r="BY17" s="14" t="s">
        <v>386</v>
      </c>
      <c r="BZ17" s="52" t="s">
        <v>386</v>
      </c>
      <c r="CA17" s="52"/>
      <c r="CB17" s="173"/>
      <c r="CC17" s="52"/>
      <c r="CD17" s="52"/>
      <c r="CE17" s="52"/>
      <c r="CF17" s="17"/>
      <c r="CG17" s="17"/>
      <c r="CH17" s="17"/>
      <c r="CI17" s="17"/>
      <c r="CJ17" s="17"/>
      <c r="CK17" s="17"/>
      <c r="CL17" s="17"/>
      <c r="CM17" s="17"/>
      <c r="CN17" s="17"/>
      <c r="CO17" s="17"/>
      <c r="CP17" s="24"/>
    </row>
    <row r="18" spans="1:94" ht="66" hidden="1" customHeight="1">
      <c r="A18" s="12" t="s">
        <v>1898</v>
      </c>
      <c r="B18" s="1" t="e">
        <f>_xlfn.XLOOKUP(A:A,'Dados Elevatórias'!D:D,'Dados Elevatórias'!B:B)</f>
        <v>#N/A</v>
      </c>
      <c r="C18" s="13" t="s">
        <v>1899</v>
      </c>
      <c r="D18" s="14" t="s">
        <v>1764</v>
      </c>
      <c r="E18" s="15" t="s">
        <v>1900</v>
      </c>
      <c r="F18" s="16" t="s">
        <v>1578</v>
      </c>
      <c r="G18" s="16"/>
      <c r="H18" s="14" t="s">
        <v>1783</v>
      </c>
      <c r="I18" s="17" t="s">
        <v>1901</v>
      </c>
      <c r="J18" s="17" t="s">
        <v>377</v>
      </c>
      <c r="K18" s="17">
        <v>1</v>
      </c>
      <c r="L18" s="14" t="s">
        <v>378</v>
      </c>
      <c r="M18" s="17">
        <v>20</v>
      </c>
      <c r="N18" s="17">
        <v>3560</v>
      </c>
      <c r="O18" s="17" t="s">
        <v>1902</v>
      </c>
      <c r="P18" s="17"/>
      <c r="Q18" s="17"/>
      <c r="R18" s="14" t="s">
        <v>1406</v>
      </c>
      <c r="S18" s="17"/>
      <c r="T18" s="17">
        <v>310</v>
      </c>
      <c r="U18" s="14" t="s">
        <v>1769</v>
      </c>
      <c r="V18" s="14" t="s">
        <v>386</v>
      </c>
      <c r="W18" s="14" t="s">
        <v>799</v>
      </c>
      <c r="X18" s="14" t="s">
        <v>411</v>
      </c>
      <c r="Y18" s="14"/>
      <c r="Z18" s="14" t="s">
        <v>1703</v>
      </c>
      <c r="AA18" s="32">
        <v>58</v>
      </c>
      <c r="AB18" s="19"/>
      <c r="AC18" s="17" t="s">
        <v>433</v>
      </c>
      <c r="AD18" s="17"/>
      <c r="AE18" s="14">
        <v>430139021</v>
      </c>
      <c r="AF18" s="14">
        <v>9622957</v>
      </c>
      <c r="AG18" s="14"/>
      <c r="AH18" s="24" t="s">
        <v>1903</v>
      </c>
      <c r="AI18" s="33" t="s">
        <v>1904</v>
      </c>
      <c r="AJ18" s="17"/>
      <c r="AK18" s="17" t="s">
        <v>1905</v>
      </c>
      <c r="AL18" s="17"/>
      <c r="AM18" s="17"/>
      <c r="AN18" s="17"/>
      <c r="AO18" s="17"/>
      <c r="AP18" s="21" t="s">
        <v>1906</v>
      </c>
      <c r="AQ18" s="21" t="s">
        <v>1907</v>
      </c>
      <c r="AR18" s="21"/>
      <c r="AS18" s="21"/>
      <c r="AT18" s="21"/>
      <c r="AU18" s="21"/>
      <c r="AV18" s="21"/>
      <c r="AW18" s="21"/>
      <c r="AX18" s="22">
        <v>44942</v>
      </c>
      <c r="AY18" s="13"/>
      <c r="AZ18" s="13"/>
      <c r="BA18" s="13"/>
      <c r="BB18" s="13"/>
      <c r="BC18" s="13"/>
      <c r="BD18" s="13"/>
      <c r="BE18" s="13"/>
      <c r="BF18" s="13"/>
      <c r="BG18" s="13"/>
      <c r="BH18" s="17" t="s">
        <v>671</v>
      </c>
      <c r="BI18" s="17" t="s">
        <v>671</v>
      </c>
      <c r="BJ18" s="17" t="s">
        <v>671</v>
      </c>
      <c r="BK18" s="17" t="s">
        <v>671</v>
      </c>
      <c r="BL18" s="17" t="s">
        <v>671</v>
      </c>
      <c r="BM18" s="17" t="s">
        <v>671</v>
      </c>
      <c r="BN18" s="17" t="s">
        <v>1793</v>
      </c>
      <c r="BO18" s="17"/>
      <c r="BP18" s="17" t="s">
        <v>671</v>
      </c>
      <c r="BQ18" s="17" t="s">
        <v>386</v>
      </c>
      <c r="BR18" s="17" t="s">
        <v>386</v>
      </c>
      <c r="BS18" s="17" t="s">
        <v>386</v>
      </c>
      <c r="BT18" s="17">
        <v>0</v>
      </c>
      <c r="BU18" s="17" t="s">
        <v>1793</v>
      </c>
      <c r="BV18" s="17"/>
      <c r="BW18" s="19" t="s">
        <v>396</v>
      </c>
      <c r="BX18" s="14" t="s">
        <v>386</v>
      </c>
      <c r="BY18" s="14" t="s">
        <v>386</v>
      </c>
      <c r="BZ18" s="52" t="s">
        <v>386</v>
      </c>
      <c r="CA18" s="52" t="s">
        <v>386</v>
      </c>
      <c r="CB18" s="52" t="s">
        <v>396</v>
      </c>
      <c r="CC18" s="52"/>
      <c r="CD18" s="52"/>
      <c r="CE18" s="52"/>
      <c r="CF18" s="17"/>
      <c r="CG18" s="17"/>
      <c r="CH18" s="17"/>
      <c r="CI18" s="17"/>
      <c r="CJ18" s="17"/>
      <c r="CK18" s="17"/>
      <c r="CL18" s="17"/>
      <c r="CM18" s="17"/>
      <c r="CN18" s="17"/>
      <c r="CO18" s="17"/>
      <c r="CP18" s="24"/>
    </row>
    <row r="19" spans="1:94" ht="66" hidden="1" customHeight="1">
      <c r="A19" s="12" t="s">
        <v>672</v>
      </c>
      <c r="B19" s="1" t="str">
        <f>_xlfn.XLOOKUP(A:A,'Dados Elevatórias'!D:D,'Dados Elevatórias'!B:B)</f>
        <v>PL-RJB-EAT0048</v>
      </c>
      <c r="C19" s="13" t="s">
        <v>1908</v>
      </c>
      <c r="D19" s="14" t="s">
        <v>1764</v>
      </c>
      <c r="E19" s="15" t="s">
        <v>1909</v>
      </c>
      <c r="F19" s="16" t="s">
        <v>1910</v>
      </c>
      <c r="G19" s="16"/>
      <c r="H19" s="14" t="s">
        <v>1783</v>
      </c>
      <c r="I19" s="14" t="s">
        <v>1911</v>
      </c>
      <c r="J19" s="17" t="s">
        <v>377</v>
      </c>
      <c r="K19" s="17">
        <v>1</v>
      </c>
      <c r="L19" s="14" t="s">
        <v>378</v>
      </c>
      <c r="M19" s="17">
        <v>20</v>
      </c>
      <c r="N19" s="17">
        <v>3535</v>
      </c>
      <c r="O19" s="17"/>
      <c r="P19" s="17" t="s">
        <v>1912</v>
      </c>
      <c r="Q19" s="17" t="s">
        <v>674</v>
      </c>
      <c r="R19" s="14" t="s">
        <v>484</v>
      </c>
      <c r="S19" s="17">
        <v>6.57</v>
      </c>
      <c r="T19" s="17">
        <v>166.88</v>
      </c>
      <c r="U19" s="14" t="s">
        <v>455</v>
      </c>
      <c r="V19" s="14"/>
      <c r="W19" s="14"/>
      <c r="X19" s="14" t="s">
        <v>411</v>
      </c>
      <c r="Y19" s="14"/>
      <c r="Z19" s="14" t="s">
        <v>1703</v>
      </c>
      <c r="AA19" s="18" t="s">
        <v>1913</v>
      </c>
      <c r="AB19" s="19">
        <v>60</v>
      </c>
      <c r="AC19" s="17"/>
      <c r="AD19" s="17"/>
      <c r="AE19" s="14">
        <v>413110570</v>
      </c>
      <c r="AF19" s="14">
        <v>5028144</v>
      </c>
      <c r="AG19" s="14"/>
      <c r="AH19" s="24" t="s">
        <v>681</v>
      </c>
      <c r="AI19" s="20" t="s">
        <v>682</v>
      </c>
      <c r="AJ19" s="17" t="s">
        <v>489</v>
      </c>
      <c r="AK19" s="17" t="s">
        <v>683</v>
      </c>
      <c r="AL19" s="17"/>
      <c r="AM19" s="17"/>
      <c r="AN19" s="17"/>
      <c r="AO19" s="17"/>
      <c r="AP19" s="21" t="s">
        <v>1914</v>
      </c>
      <c r="AQ19" s="21" t="s">
        <v>1915</v>
      </c>
      <c r="AR19" s="21">
        <v>2</v>
      </c>
      <c r="AS19" s="21">
        <v>45</v>
      </c>
      <c r="AT19" s="21" t="s">
        <v>1916</v>
      </c>
      <c r="AU19" s="21" t="s">
        <v>1917</v>
      </c>
      <c r="AV19" s="21"/>
      <c r="AW19" s="21" t="s">
        <v>1918</v>
      </c>
      <c r="AX19" s="22">
        <v>44964</v>
      </c>
      <c r="AY19" s="13" t="s">
        <v>1919</v>
      </c>
      <c r="AZ19" s="13" t="s">
        <v>1920</v>
      </c>
      <c r="BA19" s="13"/>
      <c r="BB19" s="13">
        <v>50</v>
      </c>
      <c r="BC19" s="13" t="s">
        <v>1921</v>
      </c>
      <c r="BD19" s="13" t="s">
        <v>1922</v>
      </c>
      <c r="BE19" s="13">
        <v>9</v>
      </c>
      <c r="BF19" s="13">
        <v>65</v>
      </c>
      <c r="BG19" s="25">
        <v>42490</v>
      </c>
      <c r="BH19" s="17" t="s">
        <v>671</v>
      </c>
      <c r="BI19" s="17" t="s">
        <v>671</v>
      </c>
      <c r="BJ19" s="17" t="s">
        <v>671</v>
      </c>
      <c r="BK19" s="17" t="s">
        <v>671</v>
      </c>
      <c r="BL19" s="17" t="s">
        <v>671</v>
      </c>
      <c r="BM19" s="17" t="s">
        <v>671</v>
      </c>
      <c r="BN19" s="17" t="s">
        <v>1923</v>
      </c>
      <c r="BO19" s="17"/>
      <c r="BP19" s="17"/>
      <c r="BQ19" s="17" t="s">
        <v>386</v>
      </c>
      <c r="BR19" s="17" t="s">
        <v>396</v>
      </c>
      <c r="BS19" s="17" t="s">
        <v>386</v>
      </c>
      <c r="BT19" s="17">
        <v>0</v>
      </c>
      <c r="BU19" s="17" t="s">
        <v>1923</v>
      </c>
      <c r="BV19" s="17"/>
      <c r="BW19" s="19" t="s">
        <v>396</v>
      </c>
      <c r="BX19" s="14" t="s">
        <v>386</v>
      </c>
      <c r="BY19" s="14" t="s">
        <v>386</v>
      </c>
      <c r="BZ19" s="52" t="s">
        <v>386</v>
      </c>
      <c r="CA19" s="52" t="s">
        <v>386</v>
      </c>
      <c r="CB19" s="64" t="s">
        <v>396</v>
      </c>
      <c r="CC19" s="64"/>
      <c r="CD19" s="64"/>
      <c r="CE19" s="64"/>
      <c r="CF19" s="17"/>
      <c r="CG19" s="17"/>
      <c r="CH19" s="17" t="s">
        <v>396</v>
      </c>
      <c r="CI19" s="17"/>
      <c r="CJ19" s="17" t="s">
        <v>396</v>
      </c>
      <c r="CK19" s="17" t="s">
        <v>1924</v>
      </c>
      <c r="CL19" s="17"/>
      <c r="CM19" s="17"/>
      <c r="CN19" s="17"/>
      <c r="CO19" s="17"/>
      <c r="CP19" s="24" t="s">
        <v>688</v>
      </c>
    </row>
    <row r="20" spans="1:94" ht="66" hidden="1" customHeight="1">
      <c r="A20" s="12" t="s">
        <v>717</v>
      </c>
      <c r="B20" s="1" t="str">
        <f>_xlfn.XLOOKUP(A:A,'Dados Elevatórias'!D:D,'Dados Elevatórias'!B:B)</f>
        <v>PL-RJB-EAT0056</v>
      </c>
      <c r="C20" s="13" t="s">
        <v>1925</v>
      </c>
      <c r="D20" s="14" t="s">
        <v>1764</v>
      </c>
      <c r="E20" s="15" t="s">
        <v>1926</v>
      </c>
      <c r="F20" s="16" t="s">
        <v>1767</v>
      </c>
      <c r="G20" s="16"/>
      <c r="H20" s="14" t="s">
        <v>1767</v>
      </c>
      <c r="I20" s="14" t="s">
        <v>1927</v>
      </c>
      <c r="J20" s="17" t="s">
        <v>444</v>
      </c>
      <c r="K20" s="17">
        <v>1</v>
      </c>
      <c r="L20" s="14" t="s">
        <v>378</v>
      </c>
      <c r="M20" s="17">
        <v>4</v>
      </c>
      <c r="N20" s="17" t="s">
        <v>1838</v>
      </c>
      <c r="O20" s="17" t="s">
        <v>671</v>
      </c>
      <c r="P20" s="17" t="s">
        <v>1928</v>
      </c>
      <c r="Q20" s="17"/>
      <c r="R20" s="14" t="s">
        <v>1929</v>
      </c>
      <c r="S20" s="17"/>
      <c r="T20" s="17" t="s">
        <v>1930</v>
      </c>
      <c r="U20" s="17" t="s">
        <v>728</v>
      </c>
      <c r="V20" s="17"/>
      <c r="W20" s="14" t="s">
        <v>671</v>
      </c>
      <c r="X20" s="14" t="s">
        <v>1931</v>
      </c>
      <c r="Y20" s="14" t="s">
        <v>671</v>
      </c>
      <c r="Z20" s="14" t="s">
        <v>727</v>
      </c>
      <c r="AA20" s="18">
        <v>34</v>
      </c>
      <c r="AB20" s="19">
        <v>22</v>
      </c>
      <c r="AC20" s="17" t="s">
        <v>433</v>
      </c>
      <c r="AD20" s="17"/>
      <c r="AE20" s="14">
        <v>420149824</v>
      </c>
      <c r="AF20" s="14">
        <v>5404178</v>
      </c>
      <c r="AG20" s="14"/>
      <c r="AH20" s="24" t="s">
        <v>732</v>
      </c>
      <c r="AI20" s="20" t="s">
        <v>733</v>
      </c>
      <c r="AJ20" s="17"/>
      <c r="AK20" s="17"/>
      <c r="AL20" s="17"/>
      <c r="AM20" s="17"/>
      <c r="AN20" s="17"/>
      <c r="AO20" s="17"/>
      <c r="AP20" s="21" t="s">
        <v>1932</v>
      </c>
      <c r="AQ20" s="21" t="s">
        <v>1933</v>
      </c>
      <c r="AR20" s="21" t="s">
        <v>671</v>
      </c>
      <c r="AS20" s="21" t="s">
        <v>1934</v>
      </c>
      <c r="AT20" s="21" t="s">
        <v>1935</v>
      </c>
      <c r="AU20" s="21" t="s">
        <v>1936</v>
      </c>
      <c r="AV20" s="21" t="s">
        <v>671</v>
      </c>
      <c r="AW20" s="21" t="s">
        <v>1937</v>
      </c>
      <c r="AX20" s="22">
        <v>44962</v>
      </c>
      <c r="AY20" s="21" t="s">
        <v>1938</v>
      </c>
      <c r="AZ20" s="21" t="s">
        <v>1939</v>
      </c>
      <c r="BA20" s="21"/>
      <c r="BB20" s="21">
        <v>30</v>
      </c>
      <c r="BC20" s="21"/>
      <c r="BD20" s="21"/>
      <c r="BE20" s="21"/>
      <c r="BF20" s="21"/>
      <c r="BG20" s="22">
        <v>43416</v>
      </c>
      <c r="BH20" s="17"/>
      <c r="BI20" s="17"/>
      <c r="BJ20" s="17" t="s">
        <v>671</v>
      </c>
      <c r="BK20" s="17" t="s">
        <v>671</v>
      </c>
      <c r="BL20" s="17" t="s">
        <v>671</v>
      </c>
      <c r="BM20" s="17" t="s">
        <v>671</v>
      </c>
      <c r="BN20" s="17" t="s">
        <v>1923</v>
      </c>
      <c r="BO20" s="17"/>
      <c r="BP20" s="17" t="s">
        <v>1940</v>
      </c>
      <c r="BQ20" s="17" t="s">
        <v>386</v>
      </c>
      <c r="BR20" s="17" t="s">
        <v>396</v>
      </c>
      <c r="BS20" s="17" t="s">
        <v>396</v>
      </c>
      <c r="BT20" s="17">
        <v>0</v>
      </c>
      <c r="BU20" s="17" t="s">
        <v>1923</v>
      </c>
      <c r="BV20" s="17" t="s">
        <v>1883</v>
      </c>
      <c r="BW20" s="14" t="s">
        <v>386</v>
      </c>
      <c r="BX20" s="14" t="s">
        <v>386</v>
      </c>
      <c r="BY20" s="19" t="s">
        <v>396</v>
      </c>
      <c r="BZ20" s="52" t="s">
        <v>386</v>
      </c>
      <c r="CA20" s="52" t="s">
        <v>386</v>
      </c>
      <c r="CB20" s="64" t="s">
        <v>396</v>
      </c>
      <c r="CC20" s="64"/>
      <c r="CD20" s="64"/>
      <c r="CE20" s="64"/>
      <c r="CF20" s="17"/>
      <c r="CG20" s="17"/>
      <c r="CH20" s="17" t="s">
        <v>396</v>
      </c>
      <c r="CI20" s="17"/>
      <c r="CJ20" s="17" t="s">
        <v>396</v>
      </c>
      <c r="CK20" s="17" t="s">
        <v>1924</v>
      </c>
      <c r="CL20" s="17"/>
      <c r="CM20" s="17"/>
      <c r="CN20" s="17"/>
      <c r="CO20" s="17" t="s">
        <v>735</v>
      </c>
      <c r="CP20" s="24" t="s">
        <v>736</v>
      </c>
    </row>
    <row r="21" spans="1:94" ht="66" hidden="1" customHeight="1">
      <c r="A21" s="12" t="s">
        <v>783</v>
      </c>
      <c r="B21" s="1" t="str">
        <f>_xlfn.XLOOKUP(A:A,'Dados Elevatórias'!D:D,'Dados Elevatórias'!B:B)</f>
        <v>PL-RJB-EAT0108</v>
      </c>
      <c r="C21" s="13" t="s">
        <v>1941</v>
      </c>
      <c r="D21" s="14" t="s">
        <v>1764</v>
      </c>
      <c r="E21" s="15" t="s">
        <v>1942</v>
      </c>
      <c r="F21" s="16" t="s">
        <v>1592</v>
      </c>
      <c r="G21" s="16"/>
      <c r="H21" s="14" t="s">
        <v>1783</v>
      </c>
      <c r="I21" s="14" t="s">
        <v>1943</v>
      </c>
      <c r="J21" s="17" t="s">
        <v>377</v>
      </c>
      <c r="K21" s="17">
        <v>1</v>
      </c>
      <c r="L21" s="14" t="s">
        <v>378</v>
      </c>
      <c r="M21" s="17">
        <v>4.5</v>
      </c>
      <c r="N21" s="17" t="s">
        <v>1944</v>
      </c>
      <c r="O21" s="17" t="s">
        <v>1945</v>
      </c>
      <c r="P21" s="17" t="s">
        <v>1946</v>
      </c>
      <c r="Q21" s="17" t="s">
        <v>1947</v>
      </c>
      <c r="R21" s="14" t="s">
        <v>1192</v>
      </c>
      <c r="S21" s="17"/>
      <c r="T21" s="17" t="s">
        <v>1930</v>
      </c>
      <c r="U21" s="17" t="s">
        <v>728</v>
      </c>
      <c r="V21" s="17"/>
      <c r="W21" s="14" t="s">
        <v>671</v>
      </c>
      <c r="X21" s="14" t="s">
        <v>1931</v>
      </c>
      <c r="Y21" s="14" t="s">
        <v>671</v>
      </c>
      <c r="Z21" s="14" t="s">
        <v>727</v>
      </c>
      <c r="AA21" s="18" t="s">
        <v>1948</v>
      </c>
      <c r="AB21" s="19">
        <v>23</v>
      </c>
      <c r="AC21" s="17" t="s">
        <v>433</v>
      </c>
      <c r="AD21" s="17"/>
      <c r="AE21" s="17">
        <v>420268697</v>
      </c>
      <c r="AF21" s="14" t="s">
        <v>789</v>
      </c>
      <c r="AG21" s="14"/>
      <c r="AH21" s="24" t="s">
        <v>790</v>
      </c>
      <c r="AI21" s="20" t="s">
        <v>791</v>
      </c>
      <c r="AJ21" s="17"/>
      <c r="AK21" s="17"/>
      <c r="AL21" s="17"/>
      <c r="AM21" s="17"/>
      <c r="AN21" s="17">
        <v>1800</v>
      </c>
      <c r="AO21" s="17"/>
      <c r="AP21" s="21" t="s">
        <v>1949</v>
      </c>
      <c r="AQ21" s="21" t="s">
        <v>1950</v>
      </c>
      <c r="AR21" s="21">
        <v>1</v>
      </c>
      <c r="AS21" s="21" t="s">
        <v>1951</v>
      </c>
      <c r="AT21" s="21" t="s">
        <v>1952</v>
      </c>
      <c r="AU21" s="21" t="s">
        <v>1953</v>
      </c>
      <c r="AV21" s="21" t="s">
        <v>1954</v>
      </c>
      <c r="AW21" s="21" t="s">
        <v>1831</v>
      </c>
      <c r="AX21" s="22">
        <v>44956</v>
      </c>
      <c r="AY21" s="13" t="s">
        <v>1955</v>
      </c>
      <c r="AZ21" s="13" t="s">
        <v>1956</v>
      </c>
      <c r="BA21" s="13"/>
      <c r="BB21" s="13"/>
      <c r="BC21" s="13"/>
      <c r="BD21" s="13"/>
      <c r="BE21" s="13"/>
      <c r="BF21" s="13"/>
      <c r="BG21" s="25">
        <v>42623</v>
      </c>
      <c r="BH21" s="17" t="s">
        <v>671</v>
      </c>
      <c r="BI21" s="17" t="s">
        <v>671</v>
      </c>
      <c r="BJ21" s="17" t="s">
        <v>671</v>
      </c>
      <c r="BK21" s="17" t="s">
        <v>671</v>
      </c>
      <c r="BL21" s="17" t="s">
        <v>671</v>
      </c>
      <c r="BM21" s="17" t="s">
        <v>671</v>
      </c>
      <c r="BN21" s="17" t="s">
        <v>1793</v>
      </c>
      <c r="BO21" s="17"/>
      <c r="BP21" s="17" t="s">
        <v>671</v>
      </c>
      <c r="BQ21" s="17" t="s">
        <v>671</v>
      </c>
      <c r="BR21" s="17" t="s">
        <v>396</v>
      </c>
      <c r="BS21" s="17" t="s">
        <v>386</v>
      </c>
      <c r="BT21" s="17">
        <v>0</v>
      </c>
      <c r="BU21" s="17" t="s">
        <v>1793</v>
      </c>
      <c r="BV21" s="17" t="s">
        <v>671</v>
      </c>
      <c r="BW21" s="14" t="s">
        <v>386</v>
      </c>
      <c r="BX21" s="19" t="s">
        <v>396</v>
      </c>
      <c r="BY21" s="14" t="s">
        <v>386</v>
      </c>
      <c r="BZ21" s="52" t="s">
        <v>386</v>
      </c>
      <c r="CA21" s="52" t="s">
        <v>386</v>
      </c>
      <c r="CB21" s="52" t="s">
        <v>1957</v>
      </c>
      <c r="CC21" s="52"/>
      <c r="CD21" s="52"/>
      <c r="CE21" s="52"/>
      <c r="CF21" s="17"/>
      <c r="CG21" s="17"/>
      <c r="CH21" s="17" t="s">
        <v>396</v>
      </c>
      <c r="CI21" s="17"/>
      <c r="CJ21" s="17" t="s">
        <v>396</v>
      </c>
      <c r="CK21" s="17" t="s">
        <v>1924</v>
      </c>
      <c r="CL21" s="17">
        <v>35</v>
      </c>
      <c r="CM21" s="17">
        <v>46</v>
      </c>
      <c r="CN21" s="17"/>
      <c r="CO21" s="17"/>
      <c r="CP21" s="24"/>
    </row>
    <row r="22" spans="1:94" ht="66" hidden="1" customHeight="1">
      <c r="A22" s="12" t="s">
        <v>792</v>
      </c>
      <c r="B22" s="1" t="str">
        <f>_xlfn.XLOOKUP(A:A,'Dados Elevatórias'!D:D,'Dados Elevatórias'!B:B)</f>
        <v>PL-RJB-EAT0741</v>
      </c>
      <c r="C22" s="13" t="s">
        <v>1958</v>
      </c>
      <c r="D22" s="14" t="s">
        <v>1764</v>
      </c>
      <c r="E22" s="15" t="s">
        <v>1959</v>
      </c>
      <c r="F22" s="16" t="s">
        <v>792</v>
      </c>
      <c r="G22" s="16"/>
      <c r="H22" s="14" t="s">
        <v>605</v>
      </c>
      <c r="I22" s="14" t="s">
        <v>1960</v>
      </c>
      <c r="J22" s="17" t="s">
        <v>444</v>
      </c>
      <c r="K22" s="17">
        <v>1</v>
      </c>
      <c r="L22" s="14" t="s">
        <v>378</v>
      </c>
      <c r="M22" s="17">
        <v>75</v>
      </c>
      <c r="N22" s="17">
        <v>3500</v>
      </c>
      <c r="O22" s="17"/>
      <c r="P22" s="17" t="s">
        <v>796</v>
      </c>
      <c r="Q22" s="17"/>
      <c r="R22" s="14" t="s">
        <v>484</v>
      </c>
      <c r="S22" s="17">
        <v>10</v>
      </c>
      <c r="T22" s="17">
        <v>254</v>
      </c>
      <c r="U22" s="14" t="s">
        <v>1769</v>
      </c>
      <c r="V22" s="14" t="s">
        <v>396</v>
      </c>
      <c r="W22" s="14" t="s">
        <v>799</v>
      </c>
      <c r="X22" s="14" t="s">
        <v>485</v>
      </c>
      <c r="Y22" s="14" t="s">
        <v>800</v>
      </c>
      <c r="Z22" s="14" t="s">
        <v>486</v>
      </c>
      <c r="AA22" s="31" t="s">
        <v>1961</v>
      </c>
      <c r="AB22" s="19">
        <v>80</v>
      </c>
      <c r="AC22" s="17" t="s">
        <v>802</v>
      </c>
      <c r="AD22" s="17"/>
      <c r="AE22" s="14">
        <v>400139840</v>
      </c>
      <c r="AF22" s="14">
        <v>1999622</v>
      </c>
      <c r="AG22" s="14"/>
      <c r="AH22" s="24" t="s">
        <v>803</v>
      </c>
      <c r="AI22" s="20" t="s">
        <v>804</v>
      </c>
      <c r="AJ22" s="17"/>
      <c r="AK22" s="17"/>
      <c r="AL22" s="17"/>
      <c r="AM22" s="17"/>
      <c r="AN22" s="17"/>
      <c r="AO22" s="17"/>
      <c r="AP22" s="21" t="s">
        <v>1962</v>
      </c>
      <c r="AQ22" s="21" t="s">
        <v>1963</v>
      </c>
      <c r="AR22" s="21">
        <v>0</v>
      </c>
      <c r="AS22" s="21">
        <v>85</v>
      </c>
      <c r="AT22" s="21">
        <v>220</v>
      </c>
      <c r="AU22" s="21" t="s">
        <v>1964</v>
      </c>
      <c r="AV22" s="21">
        <v>10</v>
      </c>
      <c r="AW22" s="21">
        <v>100</v>
      </c>
      <c r="AX22" s="22">
        <v>44956</v>
      </c>
      <c r="AY22" s="13" t="s">
        <v>1965</v>
      </c>
      <c r="AZ22" s="13" t="s">
        <v>1966</v>
      </c>
      <c r="BA22" s="13"/>
      <c r="BB22" s="13">
        <v>40</v>
      </c>
      <c r="BC22" s="13" t="s">
        <v>1965</v>
      </c>
      <c r="BD22" s="13"/>
      <c r="BE22" s="13">
        <v>4</v>
      </c>
      <c r="BF22" s="13">
        <v>110</v>
      </c>
      <c r="BG22" s="25">
        <v>42562</v>
      </c>
      <c r="BH22" s="17" t="s">
        <v>1967</v>
      </c>
      <c r="BI22" s="17" t="s">
        <v>1967</v>
      </c>
      <c r="BJ22" s="17" t="s">
        <v>1967</v>
      </c>
      <c r="BK22" s="17" t="s">
        <v>1967</v>
      </c>
      <c r="BL22" s="17" t="s">
        <v>1967</v>
      </c>
      <c r="BM22" s="17" t="s">
        <v>1967</v>
      </c>
      <c r="BN22" s="17" t="s">
        <v>1967</v>
      </c>
      <c r="BO22" s="17"/>
      <c r="BP22" s="17" t="s">
        <v>1967</v>
      </c>
      <c r="BQ22" s="17" t="s">
        <v>1967</v>
      </c>
      <c r="BR22" s="17"/>
      <c r="BS22" s="17" t="s">
        <v>386</v>
      </c>
      <c r="BT22" s="17"/>
      <c r="BU22" s="17"/>
      <c r="BV22" s="17"/>
      <c r="BW22" s="19" t="s">
        <v>396</v>
      </c>
      <c r="BX22" s="14" t="s">
        <v>386</v>
      </c>
      <c r="BY22" s="14" t="s">
        <v>386</v>
      </c>
      <c r="BZ22" s="52" t="s">
        <v>386</v>
      </c>
      <c r="CA22" s="64" t="s">
        <v>396</v>
      </c>
      <c r="CB22" s="52" t="s">
        <v>396</v>
      </c>
      <c r="CC22" s="52" t="s">
        <v>398</v>
      </c>
      <c r="CD22" s="52"/>
      <c r="CE22" s="52"/>
      <c r="CF22" s="17"/>
      <c r="CG22" s="17"/>
      <c r="CH22" s="17"/>
      <c r="CI22" s="17"/>
      <c r="CJ22" s="17"/>
      <c r="CK22" s="17" t="s">
        <v>1924</v>
      </c>
      <c r="CL22" s="17"/>
      <c r="CM22" s="17"/>
      <c r="CN22" s="17"/>
      <c r="CO22" s="17" t="s">
        <v>792</v>
      </c>
      <c r="CP22" s="24" t="s">
        <v>809</v>
      </c>
    </row>
    <row r="23" spans="1:94" ht="66" hidden="1" customHeight="1">
      <c r="A23" s="12" t="s">
        <v>869</v>
      </c>
      <c r="B23" s="1" t="str">
        <f>_xlfn.XLOOKUP(A:A,'Dados Elevatórias'!D:D,'Dados Elevatórias'!B:B)</f>
        <v>PL-RJB-EAT0069</v>
      </c>
      <c r="C23" s="13" t="s">
        <v>1968</v>
      </c>
      <c r="D23" s="14" t="s">
        <v>1764</v>
      </c>
      <c r="E23" s="27" t="s">
        <v>1969</v>
      </c>
      <c r="F23" s="16" t="s">
        <v>1970</v>
      </c>
      <c r="G23" s="16"/>
      <c r="H23" s="14" t="s">
        <v>1767</v>
      </c>
      <c r="I23" s="14" t="s">
        <v>1971</v>
      </c>
      <c r="J23" s="17" t="s">
        <v>377</v>
      </c>
      <c r="K23" s="17">
        <v>1</v>
      </c>
      <c r="L23" s="14" t="s">
        <v>378</v>
      </c>
      <c r="M23" s="17">
        <v>20</v>
      </c>
      <c r="N23" s="17">
        <v>3500</v>
      </c>
      <c r="O23" s="17"/>
      <c r="P23" s="17" t="s">
        <v>1912</v>
      </c>
      <c r="Q23" s="17" t="s">
        <v>1972</v>
      </c>
      <c r="R23" s="14" t="s">
        <v>484</v>
      </c>
      <c r="S23" s="17">
        <v>6.57</v>
      </c>
      <c r="T23" s="17">
        <v>166.88</v>
      </c>
      <c r="U23" s="14" t="s">
        <v>1769</v>
      </c>
      <c r="V23" s="14"/>
      <c r="W23" s="14" t="s">
        <v>799</v>
      </c>
      <c r="X23" s="14" t="s">
        <v>485</v>
      </c>
      <c r="Y23" s="14" t="s">
        <v>800</v>
      </c>
      <c r="Z23" s="14" t="s">
        <v>486</v>
      </c>
      <c r="AA23" s="18" t="s">
        <v>1973</v>
      </c>
      <c r="AB23" s="19">
        <v>60</v>
      </c>
      <c r="AC23" s="17"/>
      <c r="AD23" s="17"/>
      <c r="AE23" s="14">
        <v>413497046</v>
      </c>
      <c r="AF23" s="14">
        <v>7667390</v>
      </c>
      <c r="AG23" s="14"/>
      <c r="AH23" s="17" t="s">
        <v>876</v>
      </c>
      <c r="AI23" s="14" t="s">
        <v>877</v>
      </c>
      <c r="AJ23" s="17" t="s">
        <v>489</v>
      </c>
      <c r="AK23" s="17" t="s">
        <v>489</v>
      </c>
      <c r="AL23" s="17"/>
      <c r="AM23" s="17"/>
      <c r="AN23" s="17"/>
      <c r="AO23" s="17"/>
      <c r="AP23" s="21" t="s">
        <v>1974</v>
      </c>
      <c r="AQ23" s="21" t="s">
        <v>1975</v>
      </c>
      <c r="AR23" s="21" t="s">
        <v>1976</v>
      </c>
      <c r="AS23" s="21" t="s">
        <v>1977</v>
      </c>
      <c r="AT23" s="21" t="s">
        <v>1978</v>
      </c>
      <c r="AU23" s="21" t="s">
        <v>1979</v>
      </c>
      <c r="AV23" s="21" t="s">
        <v>1804</v>
      </c>
      <c r="AW23" s="21" t="s">
        <v>1980</v>
      </c>
      <c r="AX23" s="22">
        <v>44929</v>
      </c>
      <c r="AY23" s="13" t="s">
        <v>1981</v>
      </c>
      <c r="AZ23" s="13" t="s">
        <v>1982</v>
      </c>
      <c r="BA23" s="13">
        <v>5</v>
      </c>
      <c r="BB23" s="13">
        <v>46</v>
      </c>
      <c r="BC23" s="13" t="s">
        <v>1983</v>
      </c>
      <c r="BD23" s="13" t="s">
        <v>1984</v>
      </c>
      <c r="BE23" s="13">
        <v>15</v>
      </c>
      <c r="BF23" s="13">
        <v>80</v>
      </c>
      <c r="BG23" s="25">
        <v>42374</v>
      </c>
      <c r="BH23" s="17" t="s">
        <v>671</v>
      </c>
      <c r="BI23" s="17" t="s">
        <v>671</v>
      </c>
      <c r="BJ23" s="17" t="s">
        <v>671</v>
      </c>
      <c r="BK23" s="17" t="s">
        <v>671</v>
      </c>
      <c r="BL23" s="17" t="s">
        <v>671</v>
      </c>
      <c r="BM23" s="17" t="s">
        <v>671</v>
      </c>
      <c r="BN23" s="17" t="s">
        <v>1780</v>
      </c>
      <c r="BO23" s="17"/>
      <c r="BP23" s="17" t="s">
        <v>671</v>
      </c>
      <c r="BQ23" s="17" t="s">
        <v>671</v>
      </c>
      <c r="BR23" s="17" t="s">
        <v>396</v>
      </c>
      <c r="BS23" s="17" t="s">
        <v>386</v>
      </c>
      <c r="BT23" s="17">
        <v>0</v>
      </c>
      <c r="BU23" s="17" t="s">
        <v>1780</v>
      </c>
      <c r="BV23" s="17" t="s">
        <v>671</v>
      </c>
      <c r="BW23" s="19" t="s">
        <v>396</v>
      </c>
      <c r="BX23" s="14" t="s">
        <v>386</v>
      </c>
      <c r="BY23" s="14" t="s">
        <v>386</v>
      </c>
      <c r="BZ23" s="14" t="s">
        <v>386</v>
      </c>
      <c r="CA23" s="14" t="s">
        <v>386</v>
      </c>
      <c r="CB23" s="19" t="s">
        <v>396</v>
      </c>
      <c r="CC23" s="19" t="s">
        <v>397</v>
      </c>
      <c r="CD23" s="19" t="s">
        <v>398</v>
      </c>
      <c r="CE23" s="19"/>
      <c r="CF23" s="17"/>
      <c r="CG23" s="17"/>
      <c r="CH23" s="17" t="s">
        <v>396</v>
      </c>
      <c r="CI23" s="17"/>
      <c r="CJ23" s="17" t="s">
        <v>396</v>
      </c>
      <c r="CK23" s="17" t="s">
        <v>1924</v>
      </c>
      <c r="CL23" s="17"/>
      <c r="CM23" s="17"/>
      <c r="CN23" s="17"/>
      <c r="CO23" s="17"/>
      <c r="CP23" s="17" t="s">
        <v>880</v>
      </c>
    </row>
    <row r="24" spans="1:94" ht="66" hidden="1" customHeight="1">
      <c r="A24" s="12" t="s">
        <v>899</v>
      </c>
      <c r="B24" s="1" t="str">
        <f>_xlfn.XLOOKUP(A:A,'Dados Elevatórias'!D:D,'Dados Elevatórias'!B:B)</f>
        <v>PL-RJB-EAT0062</v>
      </c>
      <c r="C24" s="13" t="s">
        <v>1985</v>
      </c>
      <c r="D24" s="14" t="s">
        <v>1764</v>
      </c>
      <c r="E24" s="15" t="s">
        <v>1986</v>
      </c>
      <c r="F24" s="16" t="s">
        <v>1987</v>
      </c>
      <c r="G24" s="16"/>
      <c r="H24" s="14" t="s">
        <v>1783</v>
      </c>
      <c r="I24" s="14" t="s">
        <v>1988</v>
      </c>
      <c r="J24" s="17" t="s">
        <v>377</v>
      </c>
      <c r="K24" s="17">
        <v>1</v>
      </c>
      <c r="L24" s="14" t="s">
        <v>378</v>
      </c>
      <c r="M24" s="17">
        <v>5</v>
      </c>
      <c r="N24" s="17">
        <v>3500</v>
      </c>
      <c r="O24" s="17">
        <v>90201166</v>
      </c>
      <c r="P24" s="17">
        <v>620</v>
      </c>
      <c r="Q24" s="17"/>
      <c r="R24" s="14" t="s">
        <v>898</v>
      </c>
      <c r="S24" s="17">
        <v>6.37</v>
      </c>
      <c r="T24" s="17">
        <v>161.80000000000001</v>
      </c>
      <c r="U24" s="14" t="s">
        <v>455</v>
      </c>
      <c r="V24" s="14"/>
      <c r="W24" s="14"/>
      <c r="X24" s="14" t="s">
        <v>411</v>
      </c>
      <c r="Y24" s="14"/>
      <c r="Z24" s="14" t="s">
        <v>1820</v>
      </c>
      <c r="AA24" s="18">
        <v>17.010000000000002</v>
      </c>
      <c r="AB24" s="19">
        <v>45</v>
      </c>
      <c r="AC24" s="17" t="s">
        <v>1989</v>
      </c>
      <c r="AD24" s="17"/>
      <c r="AE24" s="14">
        <v>413424336</v>
      </c>
      <c r="AF24" s="14">
        <v>2417316</v>
      </c>
      <c r="AG24" s="14"/>
      <c r="AH24" s="24" t="s">
        <v>906</v>
      </c>
      <c r="AI24" s="20" t="s">
        <v>907</v>
      </c>
      <c r="AJ24" s="17"/>
      <c r="AK24" s="17"/>
      <c r="AL24" s="17"/>
      <c r="AM24" s="17"/>
      <c r="AN24" s="17"/>
      <c r="AO24" s="17"/>
      <c r="AP24" s="21" t="s">
        <v>1990</v>
      </c>
      <c r="AQ24" s="21" t="s">
        <v>1991</v>
      </c>
      <c r="AR24" s="21"/>
      <c r="AS24" s="21">
        <v>28</v>
      </c>
      <c r="AT24" s="21" t="s">
        <v>1990</v>
      </c>
      <c r="AU24" s="21" t="s">
        <v>1992</v>
      </c>
      <c r="AV24" s="21">
        <v>1</v>
      </c>
      <c r="AW24" s="21">
        <v>45</v>
      </c>
      <c r="AX24" s="22">
        <v>43158</v>
      </c>
      <c r="AY24" s="13" t="s">
        <v>1993</v>
      </c>
      <c r="AZ24" s="13" t="s">
        <v>1994</v>
      </c>
      <c r="BA24" s="13"/>
      <c r="BB24" s="13"/>
      <c r="BC24" s="13"/>
      <c r="BD24" s="13"/>
      <c r="BE24" s="13"/>
      <c r="BF24" s="13"/>
      <c r="BG24" s="25">
        <v>42639</v>
      </c>
      <c r="BH24" s="17"/>
      <c r="BI24" s="17"/>
      <c r="BJ24" s="17"/>
      <c r="BK24" s="17"/>
      <c r="BL24" s="17"/>
      <c r="BM24" s="17"/>
      <c r="BN24" s="17"/>
      <c r="BO24" s="17"/>
      <c r="BP24" s="17"/>
      <c r="BQ24" s="17"/>
      <c r="BR24" s="17"/>
      <c r="BS24" s="17"/>
      <c r="BT24" s="17"/>
      <c r="BU24" s="17"/>
      <c r="BV24" s="17"/>
      <c r="BW24" s="19" t="s">
        <v>396</v>
      </c>
      <c r="BX24" s="14"/>
      <c r="BY24" s="14" t="s">
        <v>386</v>
      </c>
      <c r="BZ24" s="52"/>
      <c r="CA24" s="52"/>
      <c r="CB24" s="52" t="s">
        <v>396</v>
      </c>
      <c r="CC24" s="52"/>
      <c r="CD24" s="52"/>
      <c r="CE24" s="52"/>
      <c r="CF24" s="17"/>
      <c r="CG24" s="17"/>
      <c r="CH24" s="17"/>
      <c r="CI24" s="17"/>
      <c r="CJ24" s="17"/>
      <c r="CK24" s="17"/>
      <c r="CL24" s="17"/>
      <c r="CM24" s="17"/>
      <c r="CN24" s="17"/>
      <c r="CO24" s="17"/>
      <c r="CP24" s="24" t="s">
        <v>911</v>
      </c>
    </row>
    <row r="25" spans="1:94" ht="66" hidden="1" customHeight="1">
      <c r="A25" s="12" t="s">
        <v>912</v>
      </c>
      <c r="B25" s="1" t="str">
        <f>_xlfn.XLOOKUP(A:A,'Dados Elevatórias'!D:D,'Dados Elevatórias'!B:B)</f>
        <v>PL-RJB-EAT0693</v>
      </c>
      <c r="C25" s="13" t="s">
        <v>1995</v>
      </c>
      <c r="D25" s="14" t="s">
        <v>1764</v>
      </c>
      <c r="E25" s="15" t="s">
        <v>1996</v>
      </c>
      <c r="F25" s="16" t="s">
        <v>1997</v>
      </c>
      <c r="G25" s="16"/>
      <c r="H25" s="14" t="s">
        <v>443</v>
      </c>
      <c r="I25" s="14" t="s">
        <v>1998</v>
      </c>
      <c r="J25" s="17" t="s">
        <v>444</v>
      </c>
      <c r="K25" s="17">
        <v>1</v>
      </c>
      <c r="L25" s="14" t="s">
        <v>378</v>
      </c>
      <c r="M25" s="17">
        <v>10</v>
      </c>
      <c r="N25" s="17">
        <v>3520</v>
      </c>
      <c r="O25" s="17" t="s">
        <v>1999</v>
      </c>
      <c r="P25" s="17"/>
      <c r="Q25" s="17" t="s">
        <v>918</v>
      </c>
      <c r="R25" s="14" t="s">
        <v>898</v>
      </c>
      <c r="S25" s="17"/>
      <c r="T25" s="17"/>
      <c r="U25" s="14" t="s">
        <v>455</v>
      </c>
      <c r="V25" s="14"/>
      <c r="W25" s="14"/>
      <c r="X25" s="14" t="s">
        <v>411</v>
      </c>
      <c r="Y25" s="14"/>
      <c r="Z25" s="14" t="s">
        <v>1820</v>
      </c>
      <c r="AA25" s="18"/>
      <c r="AB25" s="19"/>
      <c r="AC25" s="17" t="s">
        <v>433</v>
      </c>
      <c r="AD25" s="17"/>
      <c r="AE25" s="14"/>
      <c r="AF25" s="14"/>
      <c r="AG25" s="14"/>
      <c r="AH25" s="24"/>
      <c r="AI25" s="20"/>
      <c r="AJ25" s="17" t="s">
        <v>669</v>
      </c>
      <c r="AK25" s="17" t="s">
        <v>669</v>
      </c>
      <c r="AL25" s="17"/>
      <c r="AM25" s="17"/>
      <c r="AN25" s="17"/>
      <c r="AO25" s="17"/>
      <c r="AP25" s="21" t="s">
        <v>2000</v>
      </c>
      <c r="AQ25" s="21" t="s">
        <v>2001</v>
      </c>
      <c r="AR25" s="21" t="s">
        <v>671</v>
      </c>
      <c r="AS25" s="21" t="s">
        <v>2002</v>
      </c>
      <c r="AT25" s="21" t="s">
        <v>2003</v>
      </c>
      <c r="AU25" s="21"/>
      <c r="AV25" s="21"/>
      <c r="AW25" s="21"/>
      <c r="AX25" s="22">
        <v>44962</v>
      </c>
      <c r="AY25" s="13"/>
      <c r="AZ25" s="13"/>
      <c r="BA25" s="13"/>
      <c r="BB25" s="13"/>
      <c r="BC25" s="13"/>
      <c r="BD25" s="13"/>
      <c r="BE25" s="13"/>
      <c r="BF25" s="13"/>
      <c r="BG25" s="13"/>
      <c r="BH25" s="17" t="s">
        <v>414</v>
      </c>
      <c r="BI25" s="17"/>
      <c r="BJ25" s="17" t="s">
        <v>671</v>
      </c>
      <c r="BK25" s="17" t="s">
        <v>671</v>
      </c>
      <c r="BL25" s="17" t="s">
        <v>671</v>
      </c>
      <c r="BM25" s="17" t="s">
        <v>671</v>
      </c>
      <c r="BN25" s="17" t="s">
        <v>671</v>
      </c>
      <c r="BO25" s="17" t="s">
        <v>1611</v>
      </c>
      <c r="BP25" s="17" t="s">
        <v>2004</v>
      </c>
      <c r="BQ25" s="17" t="s">
        <v>386</v>
      </c>
      <c r="BR25" s="17" t="s">
        <v>386</v>
      </c>
      <c r="BS25" s="17" t="s">
        <v>386</v>
      </c>
      <c r="BT25" s="17" t="s">
        <v>671</v>
      </c>
      <c r="BU25" s="17" t="s">
        <v>671</v>
      </c>
      <c r="BV25" s="17" t="s">
        <v>671</v>
      </c>
      <c r="BW25" s="14" t="s">
        <v>386</v>
      </c>
      <c r="BX25" s="14" t="s">
        <v>386</v>
      </c>
      <c r="BY25" s="19" t="s">
        <v>396</v>
      </c>
      <c r="BZ25" s="52" t="s">
        <v>386</v>
      </c>
      <c r="CA25" s="52" t="s">
        <v>386</v>
      </c>
      <c r="CB25" s="64" t="s">
        <v>396</v>
      </c>
      <c r="CC25" s="64"/>
      <c r="CD25" s="64"/>
      <c r="CE25" s="64"/>
      <c r="CF25" s="17"/>
      <c r="CG25" s="17"/>
      <c r="CH25" s="17" t="s">
        <v>671</v>
      </c>
      <c r="CI25" s="17" t="s">
        <v>671</v>
      </c>
      <c r="CJ25" s="17" t="s">
        <v>671</v>
      </c>
      <c r="CK25" s="17" t="s">
        <v>401</v>
      </c>
      <c r="CL25" s="17"/>
      <c r="CM25" s="17"/>
      <c r="CN25" s="17"/>
      <c r="CO25" s="17"/>
      <c r="CP25" s="24"/>
    </row>
    <row r="26" spans="1:94" ht="66" hidden="1" customHeight="1">
      <c r="A26" s="12" t="s">
        <v>919</v>
      </c>
      <c r="B26" s="1" t="str">
        <f>_xlfn.XLOOKUP(A:A,'Dados Elevatórias'!D:D,'Dados Elevatórias'!B:B)</f>
        <v>PL-RJB-EAT0104</v>
      </c>
      <c r="C26" s="13" t="s">
        <v>2005</v>
      </c>
      <c r="D26" s="14" t="s">
        <v>1764</v>
      </c>
      <c r="E26" s="15" t="s">
        <v>2006</v>
      </c>
      <c r="F26" s="16" t="s">
        <v>921</v>
      </c>
      <c r="G26" s="16"/>
      <c r="H26" s="14" t="s">
        <v>1783</v>
      </c>
      <c r="I26" s="14" t="s">
        <v>2007</v>
      </c>
      <c r="J26" s="17" t="s">
        <v>444</v>
      </c>
      <c r="K26" s="17">
        <v>1</v>
      </c>
      <c r="L26" s="14" t="s">
        <v>378</v>
      </c>
      <c r="M26" s="17">
        <v>3</v>
      </c>
      <c r="N26" s="17">
        <v>3500</v>
      </c>
      <c r="O26" s="17" t="s">
        <v>2008</v>
      </c>
      <c r="P26" s="17" t="s">
        <v>2009</v>
      </c>
      <c r="Q26" s="17" t="s">
        <v>2010</v>
      </c>
      <c r="R26" s="14" t="s">
        <v>760</v>
      </c>
      <c r="S26" s="17"/>
      <c r="T26" s="17" t="s">
        <v>1930</v>
      </c>
      <c r="U26" s="17" t="s">
        <v>728</v>
      </c>
      <c r="V26" s="17"/>
      <c r="W26" s="14" t="s">
        <v>671</v>
      </c>
      <c r="X26" s="14" t="s">
        <v>485</v>
      </c>
      <c r="Y26" s="14" t="s">
        <v>671</v>
      </c>
      <c r="Z26" s="14" t="s">
        <v>727</v>
      </c>
      <c r="AA26" s="18" t="s">
        <v>2011</v>
      </c>
      <c r="AB26" s="19">
        <v>40</v>
      </c>
      <c r="AC26" s="17" t="s">
        <v>433</v>
      </c>
      <c r="AD26" s="17"/>
      <c r="AE26" s="14">
        <v>420758197</v>
      </c>
      <c r="AF26" s="14">
        <v>7802169</v>
      </c>
      <c r="AG26" s="14"/>
      <c r="AH26" s="24" t="s">
        <v>932</v>
      </c>
      <c r="AI26" s="20" t="s">
        <v>933</v>
      </c>
      <c r="AJ26" s="17" t="s">
        <v>489</v>
      </c>
      <c r="AK26" s="17" t="s">
        <v>489</v>
      </c>
      <c r="AL26" s="17"/>
      <c r="AM26" s="17"/>
      <c r="AN26" s="17">
        <v>475</v>
      </c>
      <c r="AO26" s="17">
        <v>95</v>
      </c>
      <c r="AP26" s="13" t="s">
        <v>2012</v>
      </c>
      <c r="AQ26" s="13" t="s">
        <v>2013</v>
      </c>
      <c r="AR26" s="13" t="s">
        <v>2014</v>
      </c>
      <c r="AS26" s="13" t="s">
        <v>2015</v>
      </c>
      <c r="AT26" s="13"/>
      <c r="AU26" s="13"/>
      <c r="AV26" s="13"/>
      <c r="AW26" s="13"/>
      <c r="AX26" s="25">
        <v>44949</v>
      </c>
      <c r="AY26" s="13" t="s">
        <v>2016</v>
      </c>
      <c r="AZ26" s="13" t="s">
        <v>2017</v>
      </c>
      <c r="BA26" s="13"/>
      <c r="BB26" s="13"/>
      <c r="BC26" s="13"/>
      <c r="BD26" s="13"/>
      <c r="BE26" s="13"/>
      <c r="BF26" s="13"/>
      <c r="BG26" s="25">
        <v>42412</v>
      </c>
      <c r="BH26" s="17" t="s">
        <v>1832</v>
      </c>
      <c r="BI26" s="17" t="s">
        <v>2018</v>
      </c>
      <c r="BJ26" s="17" t="s">
        <v>671</v>
      </c>
      <c r="BK26" s="17" t="s">
        <v>671</v>
      </c>
      <c r="BL26" s="17" t="s">
        <v>671</v>
      </c>
      <c r="BM26" s="17" t="s">
        <v>671</v>
      </c>
      <c r="BN26" s="17" t="s">
        <v>1923</v>
      </c>
      <c r="BO26" s="17"/>
      <c r="BP26" s="17" t="s">
        <v>2019</v>
      </c>
      <c r="BQ26" s="17" t="s">
        <v>386</v>
      </c>
      <c r="BR26" s="17" t="s">
        <v>386</v>
      </c>
      <c r="BS26" s="17" t="s">
        <v>396</v>
      </c>
      <c r="BT26" s="17">
        <v>0</v>
      </c>
      <c r="BU26" s="17" t="s">
        <v>1923</v>
      </c>
      <c r="BV26" s="17" t="s">
        <v>1883</v>
      </c>
      <c r="BW26" s="14" t="s">
        <v>386</v>
      </c>
      <c r="BX26" s="14" t="s">
        <v>386</v>
      </c>
      <c r="BY26" s="19" t="s">
        <v>396</v>
      </c>
      <c r="BZ26" s="52" t="s">
        <v>386</v>
      </c>
      <c r="CA26" s="52" t="s">
        <v>386</v>
      </c>
      <c r="CB26" s="64" t="s">
        <v>396</v>
      </c>
      <c r="CC26" s="64"/>
      <c r="CD26" s="64"/>
      <c r="CE26" s="64"/>
      <c r="CF26" s="17"/>
      <c r="CG26" s="17"/>
      <c r="CH26" s="17" t="s">
        <v>396</v>
      </c>
      <c r="CI26" s="17"/>
      <c r="CJ26" s="17" t="s">
        <v>396</v>
      </c>
      <c r="CK26" s="17" t="s">
        <v>401</v>
      </c>
      <c r="CL26" s="17">
        <v>44</v>
      </c>
      <c r="CM26" s="17">
        <v>68</v>
      </c>
      <c r="CN26" s="17"/>
      <c r="CO26" s="17" t="s">
        <v>919</v>
      </c>
      <c r="CP26" s="24" t="s">
        <v>934</v>
      </c>
    </row>
    <row r="27" spans="1:94" ht="66" hidden="1" customHeight="1">
      <c r="A27" s="12" t="s">
        <v>935</v>
      </c>
      <c r="B27" s="1" t="str">
        <f>_xlfn.XLOOKUP(A:A,'Dados Elevatórias'!D:D,'Dados Elevatórias'!B:B)</f>
        <v>PL-RJB-EAT0117</v>
      </c>
      <c r="C27" s="13" t="s">
        <v>2020</v>
      </c>
      <c r="D27" s="14" t="s">
        <v>1764</v>
      </c>
      <c r="E27" s="34" t="s">
        <v>2021</v>
      </c>
      <c r="F27" s="16" t="s">
        <v>1796</v>
      </c>
      <c r="G27" s="16"/>
      <c r="H27" s="14" t="s">
        <v>1783</v>
      </c>
      <c r="I27" s="14" t="s">
        <v>2022</v>
      </c>
      <c r="J27" s="17" t="s">
        <v>377</v>
      </c>
      <c r="K27" s="17">
        <v>1</v>
      </c>
      <c r="L27" s="14" t="s">
        <v>378</v>
      </c>
      <c r="M27" s="17">
        <v>15</v>
      </c>
      <c r="N27" s="17">
        <v>3535</v>
      </c>
      <c r="O27" s="17" t="s">
        <v>1902</v>
      </c>
      <c r="P27" s="17" t="s">
        <v>2023</v>
      </c>
      <c r="Q27" s="17" t="s">
        <v>2024</v>
      </c>
      <c r="R27" s="14" t="s">
        <v>1929</v>
      </c>
      <c r="S27" s="17"/>
      <c r="T27" s="17" t="s">
        <v>1930</v>
      </c>
      <c r="U27" s="17" t="s">
        <v>728</v>
      </c>
      <c r="V27" s="17"/>
      <c r="W27" s="14" t="s">
        <v>671</v>
      </c>
      <c r="X27" s="14" t="s">
        <v>485</v>
      </c>
      <c r="Y27" s="14" t="s">
        <v>671</v>
      </c>
      <c r="Z27" s="14" t="s">
        <v>727</v>
      </c>
      <c r="AA27" s="18">
        <v>50</v>
      </c>
      <c r="AB27" s="19">
        <v>55</v>
      </c>
      <c r="AC27" s="17" t="s">
        <v>433</v>
      </c>
      <c r="AD27" s="17"/>
      <c r="AE27" s="14">
        <v>420203527</v>
      </c>
      <c r="AF27" s="14">
        <v>6277280</v>
      </c>
      <c r="AG27" s="14"/>
      <c r="AH27" s="24" t="s">
        <v>943</v>
      </c>
      <c r="AI27" s="20" t="s">
        <v>944</v>
      </c>
      <c r="AJ27" s="17" t="s">
        <v>489</v>
      </c>
      <c r="AK27" s="17" t="s">
        <v>489</v>
      </c>
      <c r="AL27" s="17"/>
      <c r="AM27" s="17"/>
      <c r="AN27" s="17"/>
      <c r="AO27" s="17"/>
      <c r="AP27" s="21" t="s">
        <v>2025</v>
      </c>
      <c r="AQ27" s="21" t="s">
        <v>2026</v>
      </c>
      <c r="AR27" s="21" t="s">
        <v>671</v>
      </c>
      <c r="AS27" s="21" t="s">
        <v>1791</v>
      </c>
      <c r="AT27" s="21" t="s">
        <v>2027</v>
      </c>
      <c r="AU27" s="21" t="s">
        <v>2028</v>
      </c>
      <c r="AV27" s="21" t="s">
        <v>671</v>
      </c>
      <c r="AW27" s="21" t="s">
        <v>2029</v>
      </c>
      <c r="AX27" s="22">
        <v>44957</v>
      </c>
      <c r="AY27" s="13" t="s">
        <v>2030</v>
      </c>
      <c r="AZ27" s="13" t="s">
        <v>2031</v>
      </c>
      <c r="BA27" s="13"/>
      <c r="BB27" s="13">
        <v>40</v>
      </c>
      <c r="BC27" s="13" t="s">
        <v>2030</v>
      </c>
      <c r="BD27" s="13" t="s">
        <v>2032</v>
      </c>
      <c r="BE27" s="13">
        <v>20</v>
      </c>
      <c r="BF27" s="13">
        <v>100</v>
      </c>
      <c r="BG27" s="25">
        <v>42721</v>
      </c>
      <c r="BH27" s="17"/>
      <c r="BI27" s="17"/>
      <c r="BJ27" s="17" t="s">
        <v>671</v>
      </c>
      <c r="BK27" s="17" t="s">
        <v>671</v>
      </c>
      <c r="BL27" s="17" t="s">
        <v>671</v>
      </c>
      <c r="BM27" s="17" t="s">
        <v>671</v>
      </c>
      <c r="BN27" s="17" t="s">
        <v>671</v>
      </c>
      <c r="BO27" s="17"/>
      <c r="BP27" s="17"/>
      <c r="BQ27" s="17"/>
      <c r="BR27" s="17"/>
      <c r="BS27" s="17"/>
      <c r="BT27" s="17"/>
      <c r="BU27" s="17"/>
      <c r="BV27" s="17"/>
      <c r="BW27" s="14"/>
      <c r="BX27" s="19" t="s">
        <v>396</v>
      </c>
      <c r="BY27" s="14" t="s">
        <v>386</v>
      </c>
      <c r="BZ27" s="52"/>
      <c r="CA27" s="52"/>
      <c r="CB27" s="52" t="s">
        <v>396</v>
      </c>
      <c r="CC27" s="52"/>
      <c r="CD27" s="52"/>
      <c r="CE27" s="52"/>
      <c r="CF27" s="17"/>
      <c r="CG27" s="17"/>
      <c r="CH27" s="17"/>
      <c r="CI27" s="17"/>
      <c r="CJ27" s="17"/>
      <c r="CK27" s="17"/>
      <c r="CL27" s="17"/>
      <c r="CM27" s="17"/>
      <c r="CN27" s="17"/>
      <c r="CO27" s="17"/>
      <c r="CP27" s="24"/>
    </row>
    <row r="28" spans="1:94" ht="66" hidden="1" customHeight="1">
      <c r="A28" s="12" t="s">
        <v>946</v>
      </c>
      <c r="B28" s="1" t="str">
        <f>_xlfn.XLOOKUP(A:A,'Dados Elevatórias'!D:D,'Dados Elevatórias'!B:B)</f>
        <v>PL-RJB-EAT0075</v>
      </c>
      <c r="C28" s="13" t="s">
        <v>2033</v>
      </c>
      <c r="D28" s="14" t="s">
        <v>1764</v>
      </c>
      <c r="E28" s="15" t="s">
        <v>2034</v>
      </c>
      <c r="F28" s="16" t="s">
        <v>946</v>
      </c>
      <c r="G28" s="16"/>
      <c r="H28" s="14" t="s">
        <v>421</v>
      </c>
      <c r="I28" s="14" t="s">
        <v>2035</v>
      </c>
      <c r="J28" s="17" t="s">
        <v>377</v>
      </c>
      <c r="K28" s="17">
        <v>1</v>
      </c>
      <c r="L28" s="14" t="s">
        <v>378</v>
      </c>
      <c r="M28" s="17">
        <v>25</v>
      </c>
      <c r="N28" s="17">
        <v>3530</v>
      </c>
      <c r="O28" s="17" t="s">
        <v>2036</v>
      </c>
      <c r="P28" s="17" t="s">
        <v>1846</v>
      </c>
      <c r="Q28" s="17" t="s">
        <v>2037</v>
      </c>
      <c r="R28" s="14" t="s">
        <v>484</v>
      </c>
      <c r="S28" s="17">
        <v>8.0299999999999994</v>
      </c>
      <c r="T28" s="17">
        <v>203.96</v>
      </c>
      <c r="U28" s="14" t="s">
        <v>455</v>
      </c>
      <c r="V28" s="14"/>
      <c r="W28" s="14" t="s">
        <v>799</v>
      </c>
      <c r="X28" s="14" t="s">
        <v>485</v>
      </c>
      <c r="Y28" s="14" t="s">
        <v>800</v>
      </c>
      <c r="Z28" s="14" t="s">
        <v>486</v>
      </c>
      <c r="AA28" s="18">
        <v>50</v>
      </c>
      <c r="AB28" s="19">
        <v>90</v>
      </c>
      <c r="AC28" s="17" t="s">
        <v>433</v>
      </c>
      <c r="AD28" s="17"/>
      <c r="AE28" s="14">
        <v>411189247</v>
      </c>
      <c r="AF28" s="14">
        <v>5003079</v>
      </c>
      <c r="AG28" s="14"/>
      <c r="AH28" s="24" t="s">
        <v>950</v>
      </c>
      <c r="AI28" s="20" t="s">
        <v>951</v>
      </c>
      <c r="AJ28" s="17" t="s">
        <v>698</v>
      </c>
      <c r="AK28" s="17" t="s">
        <v>489</v>
      </c>
      <c r="AL28" s="17"/>
      <c r="AM28" s="17"/>
      <c r="AN28" s="17"/>
      <c r="AO28" s="17"/>
      <c r="AP28" s="21" t="s">
        <v>2038</v>
      </c>
      <c r="AQ28" s="21" t="s">
        <v>2039</v>
      </c>
      <c r="AR28" s="21" t="s">
        <v>2040</v>
      </c>
      <c r="AS28" s="21" t="s">
        <v>2041</v>
      </c>
      <c r="AT28" s="21" t="s">
        <v>2042</v>
      </c>
      <c r="AU28" s="21" t="s">
        <v>2043</v>
      </c>
      <c r="AV28" s="21" t="s">
        <v>2040</v>
      </c>
      <c r="AW28" s="21" t="s">
        <v>642</v>
      </c>
      <c r="AX28" s="22">
        <v>44957</v>
      </c>
      <c r="AY28" s="13" t="s">
        <v>2044</v>
      </c>
      <c r="AZ28" s="13" t="s">
        <v>2045</v>
      </c>
      <c r="BA28" s="13"/>
      <c r="BB28" s="13">
        <v>60</v>
      </c>
      <c r="BC28" s="13" t="s">
        <v>2044</v>
      </c>
      <c r="BD28" s="13" t="s">
        <v>2046</v>
      </c>
      <c r="BE28" s="13"/>
      <c r="BF28" s="13">
        <v>90</v>
      </c>
      <c r="BG28" s="25">
        <v>42443</v>
      </c>
      <c r="BH28" s="17" t="s">
        <v>671</v>
      </c>
      <c r="BI28" s="17" t="s">
        <v>671</v>
      </c>
      <c r="BJ28" s="17" t="s">
        <v>671</v>
      </c>
      <c r="BK28" s="17" t="s">
        <v>671</v>
      </c>
      <c r="BL28" s="17" t="s">
        <v>671</v>
      </c>
      <c r="BM28" s="17" t="s">
        <v>671</v>
      </c>
      <c r="BN28" s="17" t="s">
        <v>1858</v>
      </c>
      <c r="BO28" s="17"/>
      <c r="BP28" s="17" t="s">
        <v>671</v>
      </c>
      <c r="BQ28" s="17" t="s">
        <v>386</v>
      </c>
      <c r="BR28" s="17" t="s">
        <v>396</v>
      </c>
      <c r="BS28" s="17" t="s">
        <v>386</v>
      </c>
      <c r="BT28" s="17">
        <v>0</v>
      </c>
      <c r="BU28" s="17" t="s">
        <v>1858</v>
      </c>
      <c r="BV28" s="17" t="s">
        <v>671</v>
      </c>
      <c r="BW28" s="19" t="s">
        <v>396</v>
      </c>
      <c r="BX28" s="14" t="s">
        <v>386</v>
      </c>
      <c r="BY28" s="14" t="s">
        <v>386</v>
      </c>
      <c r="BZ28" s="52" t="s">
        <v>386</v>
      </c>
      <c r="CA28" s="52" t="s">
        <v>386</v>
      </c>
      <c r="CB28" s="64" t="s">
        <v>396</v>
      </c>
      <c r="CC28" s="64" t="s">
        <v>491</v>
      </c>
      <c r="CD28" s="64" t="s">
        <v>952</v>
      </c>
      <c r="CE28" s="64"/>
      <c r="CF28" s="17"/>
      <c r="CG28" s="17"/>
      <c r="CH28" s="17" t="s">
        <v>396</v>
      </c>
      <c r="CI28" s="17"/>
      <c r="CJ28" s="17" t="s">
        <v>396</v>
      </c>
      <c r="CK28" s="17" t="s">
        <v>1924</v>
      </c>
      <c r="CL28" s="17"/>
      <c r="CM28" s="17"/>
      <c r="CN28" s="17"/>
      <c r="CO28" s="17"/>
      <c r="CP28" s="24" t="s">
        <v>953</v>
      </c>
    </row>
    <row r="29" spans="1:94" ht="66" hidden="1" customHeight="1">
      <c r="A29" s="12" t="s">
        <v>954</v>
      </c>
      <c r="B29" s="1" t="str">
        <f>_xlfn.XLOOKUP(A:A,'Dados Elevatórias'!D:D,'Dados Elevatórias'!B:B)</f>
        <v>PL-RJB-EAT0066</v>
      </c>
      <c r="C29" s="13" t="s">
        <v>2047</v>
      </c>
      <c r="D29" s="14" t="s">
        <v>1764</v>
      </c>
      <c r="E29" s="34" t="s">
        <v>955</v>
      </c>
      <c r="F29" s="16" t="s">
        <v>962</v>
      </c>
      <c r="G29" s="16"/>
      <c r="H29" s="14" t="s">
        <v>1767</v>
      </c>
      <c r="I29" s="14" t="s">
        <v>2048</v>
      </c>
      <c r="J29" s="17" t="s">
        <v>444</v>
      </c>
      <c r="K29" s="17">
        <v>1</v>
      </c>
      <c r="L29" s="14" t="s">
        <v>378</v>
      </c>
      <c r="M29" s="17">
        <v>12.5</v>
      </c>
      <c r="N29" s="17">
        <v>3530</v>
      </c>
      <c r="O29" s="17" t="s">
        <v>2049</v>
      </c>
      <c r="P29" s="17" t="s">
        <v>2050</v>
      </c>
      <c r="Q29" s="17" t="s">
        <v>2051</v>
      </c>
      <c r="R29" s="14" t="s">
        <v>1929</v>
      </c>
      <c r="S29" s="17" t="s">
        <v>662</v>
      </c>
      <c r="T29" s="17" t="s">
        <v>662</v>
      </c>
      <c r="U29" s="17" t="s">
        <v>728</v>
      </c>
      <c r="V29" s="17"/>
      <c r="W29" s="14" t="s">
        <v>671</v>
      </c>
      <c r="X29" s="14" t="s">
        <v>485</v>
      </c>
      <c r="Y29" s="14" t="s">
        <v>671</v>
      </c>
      <c r="Z29" s="14" t="s">
        <v>727</v>
      </c>
      <c r="AA29" s="18" t="s">
        <v>2052</v>
      </c>
      <c r="AB29" s="19">
        <v>75</v>
      </c>
      <c r="AC29" s="17" t="s">
        <v>433</v>
      </c>
      <c r="AD29" s="17"/>
      <c r="AE29" s="17">
        <v>400379484</v>
      </c>
      <c r="AF29" s="31">
        <v>5668080</v>
      </c>
      <c r="AG29" s="31"/>
      <c r="AH29" s="24" t="s">
        <v>960</v>
      </c>
      <c r="AI29" s="20" t="s">
        <v>961</v>
      </c>
      <c r="AJ29" s="17" t="s">
        <v>489</v>
      </c>
      <c r="AK29" s="17" t="s">
        <v>489</v>
      </c>
      <c r="AL29" s="17"/>
      <c r="AM29" s="17"/>
      <c r="AN29" s="17"/>
      <c r="AO29" s="17"/>
      <c r="AP29" s="21" t="s">
        <v>2053</v>
      </c>
      <c r="AQ29" s="21" t="s">
        <v>2054</v>
      </c>
      <c r="AR29" s="21"/>
      <c r="AS29" s="21"/>
      <c r="AT29" s="21"/>
      <c r="AU29" s="21"/>
      <c r="AV29" s="21"/>
      <c r="AW29" s="21"/>
      <c r="AX29" s="22">
        <v>44962</v>
      </c>
      <c r="AY29" s="13"/>
      <c r="AZ29" s="13"/>
      <c r="BA29" s="13"/>
      <c r="BB29" s="13"/>
      <c r="BC29" s="13"/>
      <c r="BD29" s="13"/>
      <c r="BE29" s="13"/>
      <c r="BF29" s="13"/>
      <c r="BG29" s="13"/>
      <c r="BH29" s="17" t="s">
        <v>2055</v>
      </c>
      <c r="BI29" s="17" t="s">
        <v>2056</v>
      </c>
      <c r="BJ29" s="17" t="s">
        <v>671</v>
      </c>
      <c r="BK29" s="17" t="s">
        <v>671</v>
      </c>
      <c r="BL29" s="17" t="s">
        <v>671</v>
      </c>
      <c r="BM29" s="17" t="s">
        <v>671</v>
      </c>
      <c r="BN29" s="17" t="s">
        <v>1793</v>
      </c>
      <c r="BO29" s="17"/>
      <c r="BP29" s="17" t="s">
        <v>1813</v>
      </c>
      <c r="BQ29" s="17" t="s">
        <v>386</v>
      </c>
      <c r="BR29" s="17" t="s">
        <v>396</v>
      </c>
      <c r="BS29" s="17"/>
      <c r="BT29" s="17">
        <v>0</v>
      </c>
      <c r="BU29" s="17" t="s">
        <v>1793</v>
      </c>
      <c r="BV29" s="17" t="s">
        <v>1883</v>
      </c>
      <c r="BW29" s="14" t="s">
        <v>386</v>
      </c>
      <c r="BX29" s="14" t="s">
        <v>396</v>
      </c>
      <c r="BY29" s="19" t="s">
        <v>386</v>
      </c>
      <c r="BZ29" s="52" t="s">
        <v>386</v>
      </c>
      <c r="CA29" s="52" t="s">
        <v>386</v>
      </c>
      <c r="CB29" s="52" t="s">
        <v>396</v>
      </c>
      <c r="CC29" s="52"/>
      <c r="CD29" s="52"/>
      <c r="CE29" s="52"/>
      <c r="CF29" s="17"/>
      <c r="CG29" s="17"/>
      <c r="CH29" s="17" t="s">
        <v>396</v>
      </c>
      <c r="CI29" s="17"/>
      <c r="CJ29" s="17" t="s">
        <v>396</v>
      </c>
      <c r="CK29" s="17" t="s">
        <v>1924</v>
      </c>
      <c r="CL29" s="17"/>
      <c r="CM29" s="17"/>
      <c r="CN29" s="17"/>
      <c r="CO29" s="17" t="s">
        <v>962</v>
      </c>
      <c r="CP29" s="24" t="s">
        <v>963</v>
      </c>
    </row>
    <row r="30" spans="1:94" ht="66" hidden="1" customHeight="1">
      <c r="A30" s="12" t="s">
        <v>970</v>
      </c>
      <c r="B30" s="1" t="str">
        <f>_xlfn.XLOOKUP(A:A,'Dados Elevatórias'!D:D,'Dados Elevatórias'!B:B)</f>
        <v>PL-RJB-EAT0065</v>
      </c>
      <c r="C30" s="13" t="s">
        <v>2057</v>
      </c>
      <c r="D30" s="14" t="s">
        <v>1764</v>
      </c>
      <c r="E30" s="15" t="s">
        <v>2058</v>
      </c>
      <c r="F30" s="16" t="s">
        <v>1370</v>
      </c>
      <c r="G30" s="16"/>
      <c r="H30" s="14" t="s">
        <v>1783</v>
      </c>
      <c r="I30" s="14" t="s">
        <v>2059</v>
      </c>
      <c r="J30" s="17" t="s">
        <v>377</v>
      </c>
      <c r="K30" s="17">
        <v>1</v>
      </c>
      <c r="L30" s="14" t="s">
        <v>378</v>
      </c>
      <c r="M30" s="17">
        <v>5</v>
      </c>
      <c r="N30" s="17">
        <v>3510</v>
      </c>
      <c r="O30" s="17"/>
      <c r="P30" s="17">
        <v>618</v>
      </c>
      <c r="Q30" s="17" t="s">
        <v>972</v>
      </c>
      <c r="R30" s="14" t="s">
        <v>898</v>
      </c>
      <c r="S30" s="17">
        <v>6.1</v>
      </c>
      <c r="T30" s="17">
        <v>154.94</v>
      </c>
      <c r="U30" s="14" t="s">
        <v>455</v>
      </c>
      <c r="V30" s="14"/>
      <c r="W30" s="14"/>
      <c r="X30" s="14" t="s">
        <v>411</v>
      </c>
      <c r="Y30" s="14"/>
      <c r="Z30" s="14" t="s">
        <v>1820</v>
      </c>
      <c r="AA30" s="18" t="s">
        <v>2060</v>
      </c>
      <c r="AB30" s="19">
        <v>40</v>
      </c>
      <c r="AC30" s="17" t="s">
        <v>433</v>
      </c>
      <c r="AD30" s="17"/>
      <c r="AE30" s="14">
        <v>411456713</v>
      </c>
      <c r="AF30" s="14">
        <v>4454750</v>
      </c>
      <c r="AG30" s="14"/>
      <c r="AH30" s="24" t="s">
        <v>977</v>
      </c>
      <c r="AI30" s="20" t="s">
        <v>978</v>
      </c>
      <c r="AJ30" s="17" t="s">
        <v>669</v>
      </c>
      <c r="AK30" s="17" t="s">
        <v>669</v>
      </c>
      <c r="AL30" s="17"/>
      <c r="AM30" s="17"/>
      <c r="AN30" s="17"/>
      <c r="AO30" s="17">
        <v>20</v>
      </c>
      <c r="AP30" s="30">
        <v>214214215</v>
      </c>
      <c r="AQ30" s="21" t="s">
        <v>2061</v>
      </c>
      <c r="AR30" s="21" t="s">
        <v>1849</v>
      </c>
      <c r="AS30" s="21" t="s">
        <v>2062</v>
      </c>
      <c r="AT30" s="30">
        <v>214214215</v>
      </c>
      <c r="AU30" s="21" t="s">
        <v>2063</v>
      </c>
      <c r="AV30" s="21" t="s">
        <v>1849</v>
      </c>
      <c r="AW30" s="21" t="s">
        <v>840</v>
      </c>
      <c r="AX30" s="22">
        <v>45002</v>
      </c>
      <c r="AY30" s="13" t="s">
        <v>2064</v>
      </c>
      <c r="AZ30" s="13" t="s">
        <v>2065</v>
      </c>
      <c r="BA30" s="13">
        <v>3</v>
      </c>
      <c r="BB30" s="13">
        <v>20</v>
      </c>
      <c r="BC30" s="13" t="s">
        <v>2064</v>
      </c>
      <c r="BD30" s="25">
        <v>41589</v>
      </c>
      <c r="BE30" s="13">
        <v>5</v>
      </c>
      <c r="BF30" s="13">
        <v>45</v>
      </c>
      <c r="BG30" s="25">
        <v>40785</v>
      </c>
      <c r="BH30" s="17"/>
      <c r="BI30" s="17"/>
      <c r="BJ30" s="17" t="s">
        <v>671</v>
      </c>
      <c r="BK30" s="17" t="s">
        <v>671</v>
      </c>
      <c r="BL30" s="17" t="s">
        <v>671</v>
      </c>
      <c r="BM30" s="17" t="s">
        <v>671</v>
      </c>
      <c r="BN30" s="17" t="s">
        <v>2066</v>
      </c>
      <c r="BO30" s="17"/>
      <c r="BP30" s="17" t="s">
        <v>1882</v>
      </c>
      <c r="BQ30" s="17" t="s">
        <v>386</v>
      </c>
      <c r="BR30" s="17" t="s">
        <v>396</v>
      </c>
      <c r="BS30" s="17" t="s">
        <v>386</v>
      </c>
      <c r="BT30" s="17">
        <v>0</v>
      </c>
      <c r="BU30" s="17" t="s">
        <v>2066</v>
      </c>
      <c r="BV30" s="17" t="s">
        <v>1883</v>
      </c>
      <c r="BW30" s="19" t="s">
        <v>396</v>
      </c>
      <c r="BX30" s="52" t="s">
        <v>386</v>
      </c>
      <c r="BY30" s="52" t="s">
        <v>386</v>
      </c>
      <c r="BZ30" s="52" t="s">
        <v>386</v>
      </c>
      <c r="CA30" s="52" t="s">
        <v>386</v>
      </c>
      <c r="CB30" s="64" t="s">
        <v>396</v>
      </c>
      <c r="CC30" s="64"/>
      <c r="CD30" s="64"/>
      <c r="CE30" s="64"/>
      <c r="CF30" s="17"/>
      <c r="CG30" s="17"/>
      <c r="CH30" s="17" t="s">
        <v>396</v>
      </c>
      <c r="CI30" s="17"/>
      <c r="CJ30" s="17" t="s">
        <v>396</v>
      </c>
      <c r="CK30" s="17" t="s">
        <v>1924</v>
      </c>
      <c r="CL30" s="17"/>
      <c r="CM30" s="17"/>
      <c r="CN30" s="17"/>
      <c r="CO30" s="17"/>
      <c r="CP30" s="24" t="s">
        <v>980</v>
      </c>
    </row>
    <row r="31" spans="1:94" ht="66" hidden="1" customHeight="1">
      <c r="A31" s="12" t="s">
        <v>981</v>
      </c>
      <c r="B31" s="1" t="str">
        <f>_xlfn.XLOOKUP(A:A,'Dados Elevatórias'!D:D,'Dados Elevatórias'!B:B)</f>
        <v>PL-RJB-EAT0082</v>
      </c>
      <c r="C31" s="13" t="s">
        <v>2067</v>
      </c>
      <c r="D31" s="14" t="s">
        <v>1764</v>
      </c>
      <c r="E31" s="15" t="s">
        <v>2068</v>
      </c>
      <c r="F31" s="16" t="s">
        <v>2069</v>
      </c>
      <c r="G31" s="16"/>
      <c r="H31" s="14" t="s">
        <v>1783</v>
      </c>
      <c r="I31" s="14" t="s">
        <v>2070</v>
      </c>
      <c r="J31" s="17" t="s">
        <v>377</v>
      </c>
      <c r="K31" s="17">
        <v>1</v>
      </c>
      <c r="L31" s="14" t="s">
        <v>378</v>
      </c>
      <c r="M31" s="17">
        <v>7.5</v>
      </c>
      <c r="N31" s="17">
        <v>3480</v>
      </c>
      <c r="O31" s="17" t="s">
        <v>2071</v>
      </c>
      <c r="P31" s="17">
        <v>645</v>
      </c>
      <c r="Q31" s="17" t="s">
        <v>1999</v>
      </c>
      <c r="R31" s="14" t="s">
        <v>898</v>
      </c>
      <c r="S31" s="17"/>
      <c r="T31" s="17" t="s">
        <v>1930</v>
      </c>
      <c r="U31" s="14" t="s">
        <v>455</v>
      </c>
      <c r="V31" s="14"/>
      <c r="W31" s="14"/>
      <c r="X31" s="14" t="s">
        <v>411</v>
      </c>
      <c r="Y31" s="14"/>
      <c r="Z31" s="14" t="s">
        <v>1703</v>
      </c>
      <c r="AA31" s="31">
        <v>32.5</v>
      </c>
      <c r="AB31" s="19">
        <v>40</v>
      </c>
      <c r="AC31" s="17" t="s">
        <v>433</v>
      </c>
      <c r="AD31" s="17"/>
      <c r="AE31" s="14">
        <v>410417203</v>
      </c>
      <c r="AF31" s="17" t="s">
        <v>985</v>
      </c>
      <c r="AG31" s="17"/>
      <c r="AH31" s="24" t="s">
        <v>986</v>
      </c>
      <c r="AI31" s="20" t="s">
        <v>987</v>
      </c>
      <c r="AJ31" s="17" t="s">
        <v>988</v>
      </c>
      <c r="AK31" s="17" t="s">
        <v>683</v>
      </c>
      <c r="AL31" s="17"/>
      <c r="AM31" s="17"/>
      <c r="AN31" s="17"/>
      <c r="AO31" s="17"/>
      <c r="AP31" s="21" t="s">
        <v>2072</v>
      </c>
      <c r="AQ31" s="21" t="s">
        <v>2073</v>
      </c>
      <c r="AR31" s="21">
        <v>1</v>
      </c>
      <c r="AS31" s="21">
        <v>40</v>
      </c>
      <c r="AT31" s="21"/>
      <c r="AU31" s="21"/>
      <c r="AV31" s="21">
        <v>1</v>
      </c>
      <c r="AW31" s="21">
        <v>45</v>
      </c>
      <c r="AX31" s="22">
        <v>44964</v>
      </c>
      <c r="AY31" s="13" t="s">
        <v>2074</v>
      </c>
      <c r="AZ31" s="13" t="s">
        <v>2075</v>
      </c>
      <c r="BA31" s="13"/>
      <c r="BB31" s="13">
        <v>50</v>
      </c>
      <c r="BC31" s="13"/>
      <c r="BD31" s="13"/>
      <c r="BE31" s="13"/>
      <c r="BF31" s="13">
        <v>60</v>
      </c>
      <c r="BG31" s="25">
        <v>42825</v>
      </c>
      <c r="BH31" s="17" t="s">
        <v>671</v>
      </c>
      <c r="BI31" s="17" t="s">
        <v>671</v>
      </c>
      <c r="BJ31" s="17" t="s">
        <v>671</v>
      </c>
      <c r="BK31" s="17" t="s">
        <v>671</v>
      </c>
      <c r="BL31" s="17" t="s">
        <v>671</v>
      </c>
      <c r="BM31" s="17" t="s">
        <v>671</v>
      </c>
      <c r="BN31" s="17" t="s">
        <v>1858</v>
      </c>
      <c r="BO31" s="17"/>
      <c r="BP31" s="17" t="s">
        <v>671</v>
      </c>
      <c r="BQ31" s="17" t="s">
        <v>386</v>
      </c>
      <c r="BR31" s="17" t="s">
        <v>396</v>
      </c>
      <c r="BS31" s="17" t="s">
        <v>386</v>
      </c>
      <c r="BT31" s="17">
        <v>0</v>
      </c>
      <c r="BU31" s="17" t="s">
        <v>1858</v>
      </c>
      <c r="BV31" s="17" t="s">
        <v>671</v>
      </c>
      <c r="BW31" s="19" t="s">
        <v>396</v>
      </c>
      <c r="BX31" s="14" t="s">
        <v>386</v>
      </c>
      <c r="BY31" s="14" t="s">
        <v>386</v>
      </c>
      <c r="BZ31" s="52" t="s">
        <v>386</v>
      </c>
      <c r="CA31" s="52" t="s">
        <v>386</v>
      </c>
      <c r="CB31" s="64" t="s">
        <v>396</v>
      </c>
      <c r="CC31" s="64" t="s">
        <v>491</v>
      </c>
      <c r="CD31" s="64" t="s">
        <v>952</v>
      </c>
      <c r="CE31" s="64"/>
      <c r="CF31" s="17"/>
      <c r="CG31" s="17"/>
      <c r="CH31" s="17" t="s">
        <v>396</v>
      </c>
      <c r="CI31" s="17"/>
      <c r="CJ31" s="17" t="s">
        <v>396</v>
      </c>
      <c r="CK31" s="17" t="s">
        <v>1924</v>
      </c>
      <c r="CL31" s="17"/>
      <c r="CM31" s="17"/>
      <c r="CN31" s="17"/>
      <c r="CO31" s="17"/>
      <c r="CP31" s="24" t="s">
        <v>989</v>
      </c>
    </row>
    <row r="32" spans="1:94" ht="66" hidden="1" customHeight="1">
      <c r="A32" s="12" t="s">
        <v>990</v>
      </c>
      <c r="B32" s="1" t="str">
        <f>_xlfn.XLOOKUP(A:A,'Dados Elevatórias'!D:D,'Dados Elevatórias'!B:B)</f>
        <v>PL-RJB-EAT0110</v>
      </c>
      <c r="C32" s="13" t="s">
        <v>2076</v>
      </c>
      <c r="D32" s="14" t="s">
        <v>1764</v>
      </c>
      <c r="E32" s="15" t="s">
        <v>2077</v>
      </c>
      <c r="F32" s="16" t="s">
        <v>2078</v>
      </c>
      <c r="G32" s="16"/>
      <c r="H32" s="14" t="s">
        <v>1783</v>
      </c>
      <c r="I32" s="14" t="s">
        <v>2079</v>
      </c>
      <c r="J32" s="17" t="s">
        <v>377</v>
      </c>
      <c r="K32" s="17">
        <v>1</v>
      </c>
      <c r="L32" s="14" t="s">
        <v>378</v>
      </c>
      <c r="M32" s="17">
        <v>3</v>
      </c>
      <c r="N32" s="17" t="s">
        <v>1944</v>
      </c>
      <c r="O32" s="17" t="s">
        <v>2080</v>
      </c>
      <c r="P32" s="17" t="s">
        <v>2081</v>
      </c>
      <c r="Q32" s="17" t="s">
        <v>2082</v>
      </c>
      <c r="R32" s="14" t="s">
        <v>1192</v>
      </c>
      <c r="S32" s="17"/>
      <c r="T32" s="17"/>
      <c r="U32" s="17" t="s">
        <v>728</v>
      </c>
      <c r="V32" s="17"/>
      <c r="W32" s="14"/>
      <c r="X32" s="14"/>
      <c r="Y32" s="14"/>
      <c r="Z32" s="14" t="s">
        <v>727</v>
      </c>
      <c r="AA32" s="32" t="s">
        <v>2083</v>
      </c>
      <c r="AB32" s="19">
        <v>23</v>
      </c>
      <c r="AC32" s="17" t="s">
        <v>433</v>
      </c>
      <c r="AD32" s="17"/>
      <c r="AE32" s="14">
        <v>430171491</v>
      </c>
      <c r="AF32" s="14">
        <v>9732192</v>
      </c>
      <c r="AG32" s="14"/>
      <c r="AH32" s="24" t="s">
        <v>994</v>
      </c>
      <c r="AI32" s="20" t="s">
        <v>995</v>
      </c>
      <c r="AJ32" s="17" t="s">
        <v>489</v>
      </c>
      <c r="AK32" s="17" t="s">
        <v>489</v>
      </c>
      <c r="AL32" s="17"/>
      <c r="AM32" s="17"/>
      <c r="AN32" s="17"/>
      <c r="AO32" s="17"/>
      <c r="AP32" s="21" t="s">
        <v>2084</v>
      </c>
      <c r="AQ32" s="21" t="s">
        <v>2085</v>
      </c>
      <c r="AR32" s="21" t="s">
        <v>768</v>
      </c>
      <c r="AS32" s="21" t="s">
        <v>2086</v>
      </c>
      <c r="AT32" s="21" t="s">
        <v>1906</v>
      </c>
      <c r="AU32" s="21" t="s">
        <v>2063</v>
      </c>
      <c r="AV32" s="21" t="s">
        <v>2002</v>
      </c>
      <c r="AW32" s="21" t="s">
        <v>2087</v>
      </c>
      <c r="AX32" s="22">
        <v>44962</v>
      </c>
      <c r="AY32" s="13"/>
      <c r="AZ32" s="13"/>
      <c r="BA32" s="13"/>
      <c r="BB32" s="13"/>
      <c r="BC32" s="13"/>
      <c r="BD32" s="13"/>
      <c r="BE32" s="13"/>
      <c r="BF32" s="13"/>
      <c r="BG32" s="13"/>
      <c r="BH32" s="17" t="s">
        <v>671</v>
      </c>
      <c r="BI32" s="17" t="s">
        <v>671</v>
      </c>
      <c r="BJ32" s="17" t="s">
        <v>671</v>
      </c>
      <c r="BK32" s="17" t="s">
        <v>671</v>
      </c>
      <c r="BL32" s="17" t="s">
        <v>671</v>
      </c>
      <c r="BM32" s="17" t="s">
        <v>671</v>
      </c>
      <c r="BN32" s="17" t="s">
        <v>2066</v>
      </c>
      <c r="BO32" s="17"/>
      <c r="BP32" s="17" t="s">
        <v>671</v>
      </c>
      <c r="BQ32" s="17" t="s">
        <v>386</v>
      </c>
      <c r="BR32" s="17" t="s">
        <v>396</v>
      </c>
      <c r="BS32" s="17" t="s">
        <v>386</v>
      </c>
      <c r="BT32" s="17">
        <v>0</v>
      </c>
      <c r="BU32" s="17" t="s">
        <v>2066</v>
      </c>
      <c r="BV32" s="17" t="s">
        <v>671</v>
      </c>
      <c r="BW32" s="14" t="s">
        <v>386</v>
      </c>
      <c r="BX32" s="19" t="s">
        <v>396</v>
      </c>
      <c r="BY32" s="14" t="s">
        <v>386</v>
      </c>
      <c r="BZ32" s="52" t="s">
        <v>386</v>
      </c>
      <c r="CA32" s="52" t="s">
        <v>386</v>
      </c>
      <c r="CB32" s="64" t="s">
        <v>396</v>
      </c>
      <c r="CC32" s="64"/>
      <c r="CD32" s="64"/>
      <c r="CE32" s="64"/>
      <c r="CF32" s="17"/>
      <c r="CG32" s="17"/>
      <c r="CH32" s="17" t="s">
        <v>396</v>
      </c>
      <c r="CI32" s="17"/>
      <c r="CJ32" s="17" t="s">
        <v>396</v>
      </c>
      <c r="CK32" s="17" t="s">
        <v>1924</v>
      </c>
      <c r="CL32" s="17"/>
      <c r="CM32" s="17"/>
      <c r="CN32" s="17"/>
      <c r="CO32" s="17"/>
      <c r="CP32" s="24" t="s">
        <v>996</v>
      </c>
    </row>
    <row r="33" spans="1:94" ht="66" hidden="1" customHeight="1">
      <c r="A33" s="12" t="s">
        <v>997</v>
      </c>
      <c r="B33" s="1" t="str">
        <f>_xlfn.XLOOKUP(A:A,'Dados Elevatórias'!D:D,'Dados Elevatórias'!B:B)</f>
        <v>PL-RJB-EAT0691</v>
      </c>
      <c r="C33" s="13" t="s">
        <v>2088</v>
      </c>
      <c r="D33" s="14" t="s">
        <v>1764</v>
      </c>
      <c r="E33" s="15" t="s">
        <v>2089</v>
      </c>
      <c r="F33" s="16" t="s">
        <v>1370</v>
      </c>
      <c r="G33" s="16"/>
      <c r="H33" s="14" t="s">
        <v>1783</v>
      </c>
      <c r="I33" s="14" t="s">
        <v>2090</v>
      </c>
      <c r="J33" s="35" t="s">
        <v>377</v>
      </c>
      <c r="K33" s="17">
        <v>1</v>
      </c>
      <c r="L33" s="14" t="s">
        <v>378</v>
      </c>
      <c r="M33" s="17">
        <v>7.5</v>
      </c>
      <c r="N33" s="17">
        <v>1715</v>
      </c>
      <c r="O33" s="17"/>
      <c r="P33" s="17" t="s">
        <v>1864</v>
      </c>
      <c r="Q33" s="17"/>
      <c r="R33" s="14" t="s">
        <v>484</v>
      </c>
      <c r="S33" s="17">
        <v>7.7</v>
      </c>
      <c r="T33" s="17">
        <v>195.58</v>
      </c>
      <c r="U33" s="14" t="s">
        <v>1769</v>
      </c>
      <c r="V33" s="14" t="s">
        <v>386</v>
      </c>
      <c r="W33" s="14" t="s">
        <v>799</v>
      </c>
      <c r="X33" s="14" t="s">
        <v>485</v>
      </c>
      <c r="Y33" s="14" t="s">
        <v>800</v>
      </c>
      <c r="Z33" s="14" t="s">
        <v>486</v>
      </c>
      <c r="AA33" s="18"/>
      <c r="AB33" s="19"/>
      <c r="AC33" s="17" t="s">
        <v>433</v>
      </c>
      <c r="AD33" s="17"/>
      <c r="AE33" s="14">
        <v>430001397</v>
      </c>
      <c r="AF33" s="14"/>
      <c r="AG33" s="14"/>
      <c r="AH33" s="24"/>
      <c r="AI33" s="33"/>
      <c r="AJ33" s="17" t="s">
        <v>489</v>
      </c>
      <c r="AK33" s="17" t="s">
        <v>489</v>
      </c>
      <c r="AL33" s="17"/>
      <c r="AM33" s="17"/>
      <c r="AN33" s="17"/>
      <c r="AO33" s="17"/>
      <c r="AP33" s="21" t="s">
        <v>2091</v>
      </c>
      <c r="AQ33" s="21" t="s">
        <v>2092</v>
      </c>
      <c r="AR33" s="21" t="s">
        <v>1774</v>
      </c>
      <c r="AS33" s="21" t="s">
        <v>1831</v>
      </c>
      <c r="AT33" s="21" t="s">
        <v>2042</v>
      </c>
      <c r="AU33" s="21"/>
      <c r="AV33" s="21"/>
      <c r="AW33" s="21"/>
      <c r="AX33" s="22">
        <v>44964</v>
      </c>
      <c r="AY33" s="13"/>
      <c r="AZ33" s="13"/>
      <c r="BA33" s="13"/>
      <c r="BB33" s="13"/>
      <c r="BC33" s="13"/>
      <c r="BD33" s="13"/>
      <c r="BE33" s="13"/>
      <c r="BF33" s="13"/>
      <c r="BG33" s="13"/>
      <c r="BH33" s="17" t="s">
        <v>671</v>
      </c>
      <c r="BI33" s="17" t="s">
        <v>671</v>
      </c>
      <c r="BJ33" s="17" t="s">
        <v>671</v>
      </c>
      <c r="BK33" s="17" t="s">
        <v>671</v>
      </c>
      <c r="BL33" s="17" t="s">
        <v>671</v>
      </c>
      <c r="BM33" s="17" t="s">
        <v>671</v>
      </c>
      <c r="BN33" s="17" t="s">
        <v>2093</v>
      </c>
      <c r="BO33" s="17"/>
      <c r="BP33" s="17" t="s">
        <v>671</v>
      </c>
      <c r="BQ33" s="17" t="s">
        <v>386</v>
      </c>
      <c r="BR33" s="17" t="s">
        <v>396</v>
      </c>
      <c r="BS33" s="17" t="s">
        <v>396</v>
      </c>
      <c r="BT33" s="17">
        <v>0</v>
      </c>
      <c r="BU33" s="17" t="s">
        <v>2093</v>
      </c>
      <c r="BV33" s="17" t="s">
        <v>1883</v>
      </c>
      <c r="BW33" s="19" t="s">
        <v>396</v>
      </c>
      <c r="BX33" s="14" t="s">
        <v>386</v>
      </c>
      <c r="BY33" s="14" t="s">
        <v>386</v>
      </c>
      <c r="BZ33" s="52" t="s">
        <v>386</v>
      </c>
      <c r="CA33" s="52" t="s">
        <v>386</v>
      </c>
      <c r="CB33" s="64" t="s">
        <v>396</v>
      </c>
      <c r="CC33" s="64"/>
      <c r="CD33" s="64"/>
      <c r="CE33" s="64"/>
      <c r="CF33" s="17"/>
      <c r="CG33" s="17"/>
      <c r="CH33" s="17" t="s">
        <v>396</v>
      </c>
      <c r="CI33" s="17"/>
      <c r="CJ33" s="17" t="s">
        <v>396</v>
      </c>
      <c r="CK33" s="17" t="s">
        <v>1924</v>
      </c>
      <c r="CL33" s="17"/>
      <c r="CM33" s="17"/>
      <c r="CN33" s="17"/>
      <c r="CO33" s="17"/>
      <c r="CP33" s="24"/>
    </row>
    <row r="34" spans="1:94" ht="66" hidden="1" customHeight="1">
      <c r="A34" s="149" t="s">
        <v>1003</v>
      </c>
      <c r="B34" s="1" t="str">
        <f>_xlfn.XLOOKUP(A:A,'Dados Elevatórias'!D:D,'Dados Elevatórias'!B:B)</f>
        <v>PL-RJB-EAT0745</v>
      </c>
      <c r="C34" s="151" t="s">
        <v>2094</v>
      </c>
      <c r="D34" s="140" t="s">
        <v>1764</v>
      </c>
      <c r="E34" s="155" t="s">
        <v>2095</v>
      </c>
      <c r="F34" s="156" t="s">
        <v>1003</v>
      </c>
      <c r="G34" s="157"/>
      <c r="H34" s="140" t="s">
        <v>1783</v>
      </c>
      <c r="I34" s="140" t="s">
        <v>2096</v>
      </c>
      <c r="J34" s="138" t="s">
        <v>444</v>
      </c>
      <c r="K34" s="138">
        <v>1</v>
      </c>
      <c r="L34" s="140" t="s">
        <v>378</v>
      </c>
      <c r="M34" s="138">
        <v>25</v>
      </c>
      <c r="N34" s="138">
        <v>3500</v>
      </c>
      <c r="O34" s="138">
        <v>60201192</v>
      </c>
      <c r="P34" s="138" t="s">
        <v>1864</v>
      </c>
      <c r="Q34" s="138"/>
      <c r="R34" s="140" t="s">
        <v>484</v>
      </c>
      <c r="S34" s="138">
        <v>6.02</v>
      </c>
      <c r="T34" s="138">
        <v>153</v>
      </c>
      <c r="U34" s="140" t="s">
        <v>1769</v>
      </c>
      <c r="V34" s="140" t="s">
        <v>386</v>
      </c>
      <c r="W34" s="140" t="s">
        <v>799</v>
      </c>
      <c r="X34" s="140" t="s">
        <v>485</v>
      </c>
      <c r="Y34" s="140" t="s">
        <v>800</v>
      </c>
      <c r="Z34" s="140" t="s">
        <v>486</v>
      </c>
      <c r="AA34" s="141" t="s">
        <v>2097</v>
      </c>
      <c r="AB34" s="150">
        <v>45</v>
      </c>
      <c r="AC34" s="138"/>
      <c r="AD34" s="138"/>
      <c r="AE34" s="140">
        <v>420149935</v>
      </c>
      <c r="AF34" s="140">
        <v>4784298</v>
      </c>
      <c r="AG34" s="140"/>
      <c r="AH34" s="136" t="s">
        <v>1012</v>
      </c>
      <c r="AI34" s="161" t="s">
        <v>1013</v>
      </c>
      <c r="AJ34" s="138"/>
      <c r="AK34" s="138"/>
      <c r="AL34" s="138"/>
      <c r="AM34" s="138"/>
      <c r="AN34" s="138"/>
      <c r="AO34" s="138"/>
      <c r="AP34" s="153" t="s">
        <v>2098</v>
      </c>
      <c r="AQ34" s="153" t="s">
        <v>2099</v>
      </c>
      <c r="AR34" s="153"/>
      <c r="AS34" s="153"/>
      <c r="AT34" s="153"/>
      <c r="AU34" s="153"/>
      <c r="AV34" s="153"/>
      <c r="AW34" s="153"/>
      <c r="AX34" s="152">
        <v>43279</v>
      </c>
      <c r="AY34" s="151" t="s">
        <v>2100</v>
      </c>
      <c r="AZ34" s="151" t="s">
        <v>2101</v>
      </c>
      <c r="BA34" s="151">
        <v>3</v>
      </c>
      <c r="BB34" s="151">
        <v>25</v>
      </c>
      <c r="BC34" s="151"/>
      <c r="BD34" s="151" t="s">
        <v>2102</v>
      </c>
      <c r="BE34" s="151">
        <v>7</v>
      </c>
      <c r="BF34" s="151">
        <v>70</v>
      </c>
      <c r="BG34" s="160">
        <v>42088</v>
      </c>
      <c r="BH34" s="138"/>
      <c r="BI34" s="138"/>
      <c r="BJ34" s="138"/>
      <c r="BK34" s="138"/>
      <c r="BL34" s="138"/>
      <c r="BM34" s="138"/>
      <c r="BN34" s="138"/>
      <c r="BO34" s="138"/>
      <c r="BP34" s="138"/>
      <c r="BQ34" s="138"/>
      <c r="BR34" s="138"/>
      <c r="BS34" s="138"/>
      <c r="BT34" s="138"/>
      <c r="BU34" s="138"/>
      <c r="BV34" s="138"/>
      <c r="BW34" s="150" t="s">
        <v>396</v>
      </c>
      <c r="BX34" s="140" t="s">
        <v>386</v>
      </c>
      <c r="BY34" s="140" t="s">
        <v>386</v>
      </c>
      <c r="BZ34" s="173" t="s">
        <v>386</v>
      </c>
      <c r="CA34" s="173"/>
      <c r="CB34" s="173" t="s">
        <v>396</v>
      </c>
      <c r="CC34" s="174" t="s">
        <v>491</v>
      </c>
      <c r="CD34" s="174" t="s">
        <v>952</v>
      </c>
      <c r="CE34" s="173"/>
      <c r="CF34" s="138"/>
      <c r="CG34" s="138"/>
      <c r="CH34" s="138"/>
      <c r="CI34" s="138"/>
      <c r="CJ34" s="138"/>
      <c r="CK34" s="138"/>
      <c r="CL34" s="138"/>
      <c r="CM34" s="138"/>
      <c r="CN34" s="138"/>
      <c r="CO34" s="17" t="s">
        <v>1003</v>
      </c>
      <c r="CP34" s="136" t="s">
        <v>1014</v>
      </c>
    </row>
    <row r="35" spans="1:94" ht="66" hidden="1" customHeight="1">
      <c r="A35" s="149" t="s">
        <v>1003</v>
      </c>
      <c r="B35" s="1" t="str">
        <f>_xlfn.XLOOKUP(A:A,'Dados Elevatórias'!D:D,'Dados Elevatórias'!B:B)</f>
        <v>PL-RJB-EAT0745</v>
      </c>
      <c r="C35" s="151"/>
      <c r="D35" s="140"/>
      <c r="E35" s="155"/>
      <c r="F35" s="156"/>
      <c r="G35" s="159"/>
      <c r="H35" s="140"/>
      <c r="I35" s="140"/>
      <c r="J35" s="138"/>
      <c r="K35" s="138"/>
      <c r="L35" s="140"/>
      <c r="M35" s="138"/>
      <c r="N35" s="138"/>
      <c r="O35" s="138"/>
      <c r="P35" s="138"/>
      <c r="Q35" s="138"/>
      <c r="R35" s="140"/>
      <c r="S35" s="138"/>
      <c r="T35" s="138"/>
      <c r="U35" s="140"/>
      <c r="V35" s="140"/>
      <c r="W35" s="140"/>
      <c r="X35" s="140"/>
      <c r="Y35" s="140"/>
      <c r="Z35" s="140"/>
      <c r="AA35" s="141"/>
      <c r="AB35" s="150"/>
      <c r="AC35" s="138"/>
      <c r="AD35" s="138"/>
      <c r="AE35" s="140"/>
      <c r="AF35" s="140"/>
      <c r="AG35" s="140"/>
      <c r="AH35" s="136"/>
      <c r="AI35" s="161"/>
      <c r="AJ35" s="138"/>
      <c r="AK35" s="138"/>
      <c r="AL35" s="138"/>
      <c r="AM35" s="138"/>
      <c r="AN35" s="138"/>
      <c r="AO35" s="138"/>
      <c r="AP35" s="153"/>
      <c r="AQ35" s="153"/>
      <c r="AR35" s="153"/>
      <c r="AS35" s="153"/>
      <c r="AT35" s="153"/>
      <c r="AU35" s="153"/>
      <c r="AV35" s="153"/>
      <c r="AW35" s="153"/>
      <c r="AX35" s="152"/>
      <c r="AY35" s="151"/>
      <c r="AZ35" s="151"/>
      <c r="BA35" s="151"/>
      <c r="BB35" s="151"/>
      <c r="BC35" s="151"/>
      <c r="BD35" s="151"/>
      <c r="BE35" s="151"/>
      <c r="BF35" s="151"/>
      <c r="BG35" s="160"/>
      <c r="BH35" s="138"/>
      <c r="BI35" s="138"/>
      <c r="BJ35" s="138"/>
      <c r="BK35" s="138"/>
      <c r="BL35" s="138"/>
      <c r="BM35" s="138"/>
      <c r="BN35" s="138"/>
      <c r="BO35" s="138"/>
      <c r="BP35" s="138"/>
      <c r="BQ35" s="138"/>
      <c r="BR35" s="138"/>
      <c r="BS35" s="138"/>
      <c r="BT35" s="138"/>
      <c r="BU35" s="138"/>
      <c r="BV35" s="138"/>
      <c r="BW35" s="150"/>
      <c r="BX35" s="140"/>
      <c r="BY35" s="140"/>
      <c r="BZ35" s="173"/>
      <c r="CA35" s="173"/>
      <c r="CB35" s="173"/>
      <c r="CC35" s="174"/>
      <c r="CD35" s="174"/>
      <c r="CE35" s="173"/>
      <c r="CF35" s="138"/>
      <c r="CG35" s="138"/>
      <c r="CH35" s="138"/>
      <c r="CI35" s="138"/>
      <c r="CJ35" s="138"/>
      <c r="CK35" s="138"/>
      <c r="CL35" s="138"/>
      <c r="CM35" s="138"/>
      <c r="CN35" s="138"/>
      <c r="CO35" s="17" t="s">
        <v>2103</v>
      </c>
      <c r="CP35" s="136"/>
    </row>
    <row r="36" spans="1:94" ht="66" hidden="1" customHeight="1">
      <c r="A36" s="12" t="s">
        <v>1024</v>
      </c>
      <c r="B36" s="1" t="str">
        <f>_xlfn.XLOOKUP(A:A,'Dados Elevatórias'!D:D,'Dados Elevatórias'!B:B)</f>
        <v>PL-RJB-EAT1013</v>
      </c>
      <c r="C36" s="13" t="s">
        <v>2104</v>
      </c>
      <c r="D36" s="14" t="s">
        <v>1764</v>
      </c>
      <c r="E36" s="15" t="s">
        <v>2105</v>
      </c>
      <c r="F36" s="16" t="s">
        <v>2106</v>
      </c>
      <c r="G36" s="16"/>
      <c r="H36" s="14" t="s">
        <v>443</v>
      </c>
      <c r="I36" s="17" t="s">
        <v>2107</v>
      </c>
      <c r="J36" s="17" t="s">
        <v>377</v>
      </c>
      <c r="K36" s="17">
        <v>1</v>
      </c>
      <c r="L36" s="14" t="s">
        <v>378</v>
      </c>
      <c r="M36" s="17">
        <v>7.5</v>
      </c>
      <c r="N36" s="17">
        <v>3500</v>
      </c>
      <c r="O36" s="17"/>
      <c r="P36" s="17">
        <v>645</v>
      </c>
      <c r="Q36" s="17"/>
      <c r="R36" s="14" t="s">
        <v>898</v>
      </c>
      <c r="S36" s="17">
        <v>7.48</v>
      </c>
      <c r="T36" s="17">
        <v>190</v>
      </c>
      <c r="U36" s="14" t="s">
        <v>455</v>
      </c>
      <c r="V36" s="14"/>
      <c r="W36" s="14"/>
      <c r="X36" s="14"/>
      <c r="Y36" s="14"/>
      <c r="Z36" s="14" t="s">
        <v>1820</v>
      </c>
      <c r="AA36" s="32">
        <v>32.5</v>
      </c>
      <c r="AB36" s="19"/>
      <c r="AC36" s="17"/>
      <c r="AD36" s="17"/>
      <c r="AE36" s="14"/>
      <c r="AF36" s="14"/>
      <c r="AG36" s="14"/>
      <c r="AH36" s="24"/>
      <c r="AI36" s="20"/>
      <c r="AJ36" s="17"/>
      <c r="AK36" s="17"/>
      <c r="AL36" s="17"/>
      <c r="AM36" s="17"/>
      <c r="AN36" s="17"/>
      <c r="AO36" s="17"/>
      <c r="AP36" s="21"/>
      <c r="AQ36" s="21"/>
      <c r="AR36" s="21"/>
      <c r="AS36" s="21"/>
      <c r="AT36" s="21"/>
      <c r="AU36" s="21"/>
      <c r="AV36" s="21"/>
      <c r="AW36" s="21"/>
      <c r="AX36" s="21"/>
      <c r="AY36" s="13"/>
      <c r="AZ36" s="13"/>
      <c r="BA36" s="13"/>
      <c r="BB36" s="13"/>
      <c r="BC36" s="13"/>
      <c r="BD36" s="13"/>
      <c r="BE36" s="13"/>
      <c r="BF36" s="13"/>
      <c r="BG36" s="13"/>
      <c r="BH36" s="17"/>
      <c r="BI36" s="17"/>
      <c r="BJ36" s="17"/>
      <c r="BK36" s="17"/>
      <c r="BL36" s="17"/>
      <c r="BM36" s="17"/>
      <c r="BN36" s="17"/>
      <c r="BO36" s="17"/>
      <c r="BP36" s="17"/>
      <c r="BQ36" s="17"/>
      <c r="BR36" s="17"/>
      <c r="BS36" s="17"/>
      <c r="BT36" s="17"/>
      <c r="BU36" s="17"/>
      <c r="BV36" s="17"/>
      <c r="BW36" s="19" t="s">
        <v>396</v>
      </c>
      <c r="BX36" s="14" t="s">
        <v>386</v>
      </c>
      <c r="BY36" s="14" t="s">
        <v>386</v>
      </c>
      <c r="BZ36" s="52" t="s">
        <v>386</v>
      </c>
      <c r="CA36" s="52"/>
      <c r="CB36" s="52" t="s">
        <v>396</v>
      </c>
      <c r="CC36" s="52"/>
      <c r="CD36" s="52"/>
      <c r="CE36" s="52"/>
      <c r="CF36" s="17"/>
      <c r="CG36" s="17"/>
      <c r="CH36" s="17"/>
      <c r="CI36" s="17"/>
      <c r="CJ36" s="17"/>
      <c r="CK36" s="17"/>
      <c r="CL36" s="17"/>
      <c r="CM36" s="17"/>
      <c r="CN36" s="17"/>
      <c r="CO36" s="17"/>
      <c r="CP36" s="24"/>
    </row>
    <row r="37" spans="1:94" ht="66" hidden="1" customHeight="1">
      <c r="A37" s="12" t="s">
        <v>1033</v>
      </c>
      <c r="B37" s="1" t="str">
        <f>_xlfn.XLOOKUP(A:A,'Dados Elevatórias'!D:D,'Dados Elevatórias'!B:B)</f>
        <v>PL-RJB-EAT0087</v>
      </c>
      <c r="C37" s="13" t="s">
        <v>2108</v>
      </c>
      <c r="D37" s="14" t="s">
        <v>1764</v>
      </c>
      <c r="E37" s="15" t="s">
        <v>2109</v>
      </c>
      <c r="F37" s="16" t="s">
        <v>1370</v>
      </c>
      <c r="G37" s="16"/>
      <c r="H37" s="14" t="s">
        <v>1767</v>
      </c>
      <c r="I37" s="14" t="s">
        <v>2110</v>
      </c>
      <c r="J37" s="17" t="s">
        <v>377</v>
      </c>
      <c r="K37" s="17">
        <v>1</v>
      </c>
      <c r="L37" s="14" t="s">
        <v>378</v>
      </c>
      <c r="M37" s="17">
        <v>7.5</v>
      </c>
      <c r="N37" s="17" t="s">
        <v>1944</v>
      </c>
      <c r="O37" s="17" t="s">
        <v>2111</v>
      </c>
      <c r="P37" s="17" t="s">
        <v>2112</v>
      </c>
      <c r="Q37" s="17" t="s">
        <v>2113</v>
      </c>
      <c r="R37" s="14" t="s">
        <v>1192</v>
      </c>
      <c r="S37" s="14" t="s">
        <v>1192</v>
      </c>
      <c r="T37" s="17"/>
      <c r="U37" s="17" t="s">
        <v>728</v>
      </c>
      <c r="V37" s="17"/>
      <c r="W37" s="14" t="s">
        <v>671</v>
      </c>
      <c r="X37" s="14" t="s">
        <v>671</v>
      </c>
      <c r="Y37" s="14" t="s">
        <v>671</v>
      </c>
      <c r="Z37" s="14" t="s">
        <v>727</v>
      </c>
      <c r="AA37" s="18" t="s">
        <v>2114</v>
      </c>
      <c r="AB37" s="19">
        <v>60</v>
      </c>
      <c r="AC37" s="17" t="s">
        <v>433</v>
      </c>
      <c r="AD37" s="17"/>
      <c r="AE37" s="14">
        <v>411112102</v>
      </c>
      <c r="AF37" s="14">
        <v>2580837</v>
      </c>
      <c r="AG37" s="14"/>
      <c r="AH37" s="24" t="s">
        <v>1035</v>
      </c>
      <c r="AI37" s="36"/>
      <c r="AJ37" s="17" t="s">
        <v>489</v>
      </c>
      <c r="AK37" s="17" t="s">
        <v>988</v>
      </c>
      <c r="AL37" s="17"/>
      <c r="AM37" s="17"/>
      <c r="AN37" s="17"/>
      <c r="AO37" s="17"/>
      <c r="AP37" s="21" t="s">
        <v>2115</v>
      </c>
      <c r="AQ37" s="21" t="s">
        <v>2116</v>
      </c>
      <c r="AR37" s="21">
        <v>14</v>
      </c>
      <c r="AS37" s="21">
        <v>55</v>
      </c>
      <c r="AT37" s="21" t="s">
        <v>2117</v>
      </c>
      <c r="AU37" s="21" t="s">
        <v>2118</v>
      </c>
      <c r="AV37" s="21"/>
      <c r="AW37" s="21"/>
      <c r="AX37" s="22">
        <v>44953</v>
      </c>
      <c r="AY37" s="21" t="s">
        <v>2119</v>
      </c>
      <c r="AZ37" s="21" t="s">
        <v>2120</v>
      </c>
      <c r="BA37" s="21">
        <v>12</v>
      </c>
      <c r="BB37" s="21">
        <v>60</v>
      </c>
      <c r="BC37" s="21" t="s">
        <v>2121</v>
      </c>
      <c r="BD37" s="21" t="s">
        <v>2122</v>
      </c>
      <c r="BE37" s="21">
        <v>16</v>
      </c>
      <c r="BF37" s="21">
        <v>75</v>
      </c>
      <c r="BG37" s="22">
        <v>43429</v>
      </c>
      <c r="BH37" s="17" t="s">
        <v>671</v>
      </c>
      <c r="BI37" s="17" t="s">
        <v>671</v>
      </c>
      <c r="BJ37" s="17" t="s">
        <v>671</v>
      </c>
      <c r="BK37" s="17" t="s">
        <v>671</v>
      </c>
      <c r="BL37" s="17" t="s">
        <v>671</v>
      </c>
      <c r="BM37" s="17" t="s">
        <v>671</v>
      </c>
      <c r="BN37" s="17" t="s">
        <v>1858</v>
      </c>
      <c r="BO37" s="17"/>
      <c r="BP37" s="17" t="s">
        <v>671</v>
      </c>
      <c r="BQ37" s="17" t="s">
        <v>386</v>
      </c>
      <c r="BR37" s="17" t="s">
        <v>396</v>
      </c>
      <c r="BS37" s="17" t="s">
        <v>386</v>
      </c>
      <c r="BT37" s="17">
        <v>0</v>
      </c>
      <c r="BU37" s="17" t="s">
        <v>1858</v>
      </c>
      <c r="BV37" s="17" t="s">
        <v>671</v>
      </c>
      <c r="BW37" s="14" t="s">
        <v>386</v>
      </c>
      <c r="BX37" s="19" t="s">
        <v>396</v>
      </c>
      <c r="BY37" s="14" t="s">
        <v>386</v>
      </c>
      <c r="BZ37" s="52" t="s">
        <v>386</v>
      </c>
      <c r="CA37" s="52" t="s">
        <v>386</v>
      </c>
      <c r="CB37" s="64" t="s">
        <v>396</v>
      </c>
      <c r="CC37" s="64"/>
      <c r="CD37" s="64"/>
      <c r="CE37" s="64"/>
      <c r="CF37" s="17"/>
      <c r="CG37" s="17"/>
      <c r="CH37" s="17" t="s">
        <v>396</v>
      </c>
      <c r="CI37" s="17"/>
      <c r="CJ37" s="17" t="s">
        <v>396</v>
      </c>
      <c r="CK37" s="17" t="s">
        <v>401</v>
      </c>
      <c r="CL37" s="17"/>
      <c r="CM37" s="17"/>
      <c r="CN37" s="17"/>
      <c r="CO37" s="17"/>
      <c r="CP37" s="24"/>
    </row>
    <row r="38" spans="1:94" ht="66" hidden="1" customHeight="1">
      <c r="A38" s="12" t="s">
        <v>1036</v>
      </c>
      <c r="B38" s="1" t="str">
        <f>_xlfn.XLOOKUP(A:A,'Dados Elevatórias'!D:D,'Dados Elevatórias'!B:B)</f>
        <v>PL-RJB-EAT0109</v>
      </c>
      <c r="C38" s="13" t="s">
        <v>2123</v>
      </c>
      <c r="D38" s="14" t="s">
        <v>1764</v>
      </c>
      <c r="E38" s="15" t="s">
        <v>2124</v>
      </c>
      <c r="F38" s="16" t="s">
        <v>2125</v>
      </c>
      <c r="G38" s="16"/>
      <c r="H38" s="14" t="s">
        <v>1783</v>
      </c>
      <c r="I38" s="14" t="s">
        <v>2126</v>
      </c>
      <c r="J38" s="17" t="s">
        <v>444</v>
      </c>
      <c r="K38" s="17">
        <v>1</v>
      </c>
      <c r="L38" s="14" t="s">
        <v>378</v>
      </c>
      <c r="M38" s="17">
        <v>20</v>
      </c>
      <c r="N38" s="17">
        <v>3500</v>
      </c>
      <c r="O38" s="17" t="s">
        <v>1040</v>
      </c>
      <c r="P38" s="17" t="s">
        <v>1912</v>
      </c>
      <c r="Q38" s="17" t="s">
        <v>2127</v>
      </c>
      <c r="R38" s="14" t="s">
        <v>484</v>
      </c>
      <c r="S38" s="17">
        <v>6.5</v>
      </c>
      <c r="T38" s="17">
        <v>165.1</v>
      </c>
      <c r="U38" s="14" t="s">
        <v>455</v>
      </c>
      <c r="V38" s="14"/>
      <c r="W38" s="14" t="s">
        <v>799</v>
      </c>
      <c r="X38" s="14" t="s">
        <v>411</v>
      </c>
      <c r="Y38" s="14" t="s">
        <v>800</v>
      </c>
      <c r="Z38" s="14" t="s">
        <v>1703</v>
      </c>
      <c r="AA38" s="18">
        <v>80</v>
      </c>
      <c r="AB38" s="19">
        <v>60</v>
      </c>
      <c r="AC38" s="17" t="s">
        <v>433</v>
      </c>
      <c r="AD38" s="17"/>
      <c r="AE38" s="14">
        <v>413269259</v>
      </c>
      <c r="AF38" s="14">
        <v>5027615</v>
      </c>
      <c r="AG38" s="14"/>
      <c r="AH38" s="24" t="s">
        <v>1044</v>
      </c>
      <c r="AI38" s="20" t="s">
        <v>1045</v>
      </c>
      <c r="AJ38" s="17" t="s">
        <v>988</v>
      </c>
      <c r="AK38" s="17" t="s">
        <v>988</v>
      </c>
      <c r="AL38" s="17"/>
      <c r="AM38" s="17"/>
      <c r="AN38" s="17"/>
      <c r="AO38" s="17"/>
      <c r="AP38" s="30">
        <v>217219218</v>
      </c>
      <c r="AQ38" s="21"/>
      <c r="AR38" s="21"/>
      <c r="AS38" s="21"/>
      <c r="AT38" s="21"/>
      <c r="AU38" s="21"/>
      <c r="AV38" s="21"/>
      <c r="AW38" s="21"/>
      <c r="AX38" s="22">
        <v>44956</v>
      </c>
      <c r="AY38" s="13" t="s">
        <v>2128</v>
      </c>
      <c r="AZ38" s="13" t="s">
        <v>2129</v>
      </c>
      <c r="BA38" s="13"/>
      <c r="BB38" s="13">
        <v>55</v>
      </c>
      <c r="BC38" s="13"/>
      <c r="BD38" s="13"/>
      <c r="BE38" s="13"/>
      <c r="BF38" s="13"/>
      <c r="BG38" s="25">
        <v>42653</v>
      </c>
      <c r="BH38" s="17" t="s">
        <v>671</v>
      </c>
      <c r="BI38" s="17" t="s">
        <v>671</v>
      </c>
      <c r="BJ38" s="17" t="s">
        <v>671</v>
      </c>
      <c r="BK38" s="17" t="s">
        <v>671</v>
      </c>
      <c r="BL38" s="17" t="s">
        <v>671</v>
      </c>
      <c r="BM38" s="17" t="s">
        <v>671</v>
      </c>
      <c r="BN38" s="17" t="s">
        <v>1858</v>
      </c>
      <c r="BO38" s="17"/>
      <c r="BP38" s="17" t="s">
        <v>671</v>
      </c>
      <c r="BQ38" s="17" t="s">
        <v>386</v>
      </c>
      <c r="BR38" s="17" t="s">
        <v>396</v>
      </c>
      <c r="BS38" s="17" t="s">
        <v>386</v>
      </c>
      <c r="BT38" s="17">
        <v>0</v>
      </c>
      <c r="BU38" s="17" t="s">
        <v>1858</v>
      </c>
      <c r="BV38" s="17" t="s">
        <v>671</v>
      </c>
      <c r="BW38" s="19" t="s">
        <v>396</v>
      </c>
      <c r="BX38" s="14" t="s">
        <v>386</v>
      </c>
      <c r="BY38" s="14" t="s">
        <v>386</v>
      </c>
      <c r="BZ38" s="52" t="s">
        <v>386</v>
      </c>
      <c r="CA38" s="52" t="s">
        <v>386</v>
      </c>
      <c r="CB38" s="64" t="s">
        <v>396</v>
      </c>
      <c r="CC38" s="64" t="s">
        <v>491</v>
      </c>
      <c r="CD38" s="64" t="s">
        <v>952</v>
      </c>
      <c r="CE38" s="64"/>
      <c r="CF38" s="17"/>
      <c r="CG38" s="17"/>
      <c r="CH38" s="17" t="s">
        <v>396</v>
      </c>
      <c r="CI38" s="17"/>
      <c r="CJ38" s="17" t="s">
        <v>396</v>
      </c>
      <c r="CK38" s="17" t="s">
        <v>401</v>
      </c>
      <c r="CL38" s="17"/>
      <c r="CM38" s="17"/>
      <c r="CN38" s="17"/>
      <c r="CO38" s="17" t="s">
        <v>1049</v>
      </c>
      <c r="CP38" s="24" t="s">
        <v>1050</v>
      </c>
    </row>
    <row r="39" spans="1:94" ht="66" hidden="1" customHeight="1">
      <c r="A39" s="12" t="s">
        <v>1062</v>
      </c>
      <c r="B39" s="1" t="str">
        <f>_xlfn.XLOOKUP(A:A,'Dados Elevatórias'!D:D,'Dados Elevatórias'!B:B)</f>
        <v>PL-RJB-EAT0748</v>
      </c>
      <c r="C39" s="13" t="s">
        <v>2130</v>
      </c>
      <c r="D39" s="14" t="s">
        <v>1764</v>
      </c>
      <c r="E39" s="15" t="s">
        <v>2131</v>
      </c>
      <c r="F39" s="16" t="s">
        <v>921</v>
      </c>
      <c r="G39" s="16"/>
      <c r="H39" s="14" t="s">
        <v>443</v>
      </c>
      <c r="I39" s="17" t="s">
        <v>2132</v>
      </c>
      <c r="J39" s="17" t="s">
        <v>444</v>
      </c>
      <c r="K39" s="17">
        <v>1</v>
      </c>
      <c r="L39" s="14" t="s">
        <v>378</v>
      </c>
      <c r="M39" s="17">
        <v>1.5</v>
      </c>
      <c r="N39" s="17" t="s">
        <v>1944</v>
      </c>
      <c r="O39" s="17" t="s">
        <v>2133</v>
      </c>
      <c r="P39" s="17" t="s">
        <v>2134</v>
      </c>
      <c r="Q39" s="17" t="s">
        <v>2135</v>
      </c>
      <c r="R39" s="14" t="s">
        <v>1192</v>
      </c>
      <c r="S39" s="17"/>
      <c r="T39" s="17"/>
      <c r="U39" s="17" t="s">
        <v>728</v>
      </c>
      <c r="V39" s="17"/>
      <c r="W39" s="14"/>
      <c r="X39" s="14"/>
      <c r="Y39" s="14"/>
      <c r="Z39" s="14" t="s">
        <v>727</v>
      </c>
      <c r="AA39" s="32">
        <v>6.5</v>
      </c>
      <c r="AB39" s="19"/>
      <c r="AC39" s="17" t="s">
        <v>433</v>
      </c>
      <c r="AD39" s="17"/>
      <c r="AE39" s="14"/>
      <c r="AF39" s="14"/>
      <c r="AG39" s="14"/>
      <c r="AH39" s="24"/>
      <c r="AI39" s="20"/>
      <c r="AJ39" s="17" t="s">
        <v>489</v>
      </c>
      <c r="AK39" s="17" t="s">
        <v>489</v>
      </c>
      <c r="AL39" s="17"/>
      <c r="AM39" s="17"/>
      <c r="AN39" s="17"/>
      <c r="AO39" s="17"/>
      <c r="AP39" s="30">
        <v>216216217</v>
      </c>
      <c r="AQ39" s="21"/>
      <c r="AR39" s="21"/>
      <c r="AS39" s="21"/>
      <c r="AT39" s="21"/>
      <c r="AU39" s="21"/>
      <c r="AV39" s="21"/>
      <c r="AW39" s="21"/>
      <c r="AX39" s="22">
        <v>44957</v>
      </c>
      <c r="AY39" s="21"/>
      <c r="AZ39" s="21"/>
      <c r="BA39" s="21"/>
      <c r="BB39" s="21"/>
      <c r="BC39" s="21"/>
      <c r="BD39" s="21"/>
      <c r="BE39" s="21"/>
      <c r="BF39" s="21"/>
      <c r="BG39" s="21"/>
      <c r="BH39" s="17" t="s">
        <v>671</v>
      </c>
      <c r="BI39" s="17" t="s">
        <v>671</v>
      </c>
      <c r="BJ39" s="17" t="s">
        <v>671</v>
      </c>
      <c r="BK39" s="17" t="s">
        <v>671</v>
      </c>
      <c r="BL39" s="17" t="s">
        <v>671</v>
      </c>
      <c r="BM39" s="17" t="s">
        <v>671</v>
      </c>
      <c r="BN39" s="17" t="s">
        <v>1858</v>
      </c>
      <c r="BO39" s="17"/>
      <c r="BP39" s="17" t="s">
        <v>671</v>
      </c>
      <c r="BQ39" s="17" t="s">
        <v>386</v>
      </c>
      <c r="BR39" s="17" t="s">
        <v>396</v>
      </c>
      <c r="BS39" s="17" t="s">
        <v>386</v>
      </c>
      <c r="BT39" s="17">
        <v>0</v>
      </c>
      <c r="BU39" s="17" t="s">
        <v>1858</v>
      </c>
      <c r="BV39" s="17" t="s">
        <v>671</v>
      </c>
      <c r="BW39" s="14" t="s">
        <v>386</v>
      </c>
      <c r="BX39" s="19" t="s">
        <v>396</v>
      </c>
      <c r="BY39" s="14" t="s">
        <v>386</v>
      </c>
      <c r="BZ39" s="52" t="s">
        <v>386</v>
      </c>
      <c r="CA39" s="52" t="s">
        <v>386</v>
      </c>
      <c r="CB39" s="52" t="s">
        <v>396</v>
      </c>
      <c r="CC39" s="52"/>
      <c r="CD39" s="52"/>
      <c r="CE39" s="52"/>
      <c r="CF39" s="17"/>
      <c r="CG39" s="17"/>
      <c r="CH39" s="17" t="s">
        <v>396</v>
      </c>
      <c r="CI39" s="17"/>
      <c r="CJ39" s="17" t="s">
        <v>396</v>
      </c>
      <c r="CK39" s="17" t="s">
        <v>401</v>
      </c>
      <c r="CL39" s="17"/>
      <c r="CM39" s="17"/>
      <c r="CN39" s="17"/>
      <c r="CO39" s="17"/>
      <c r="CP39" s="24"/>
    </row>
    <row r="40" spans="1:94" ht="66" hidden="1" customHeight="1">
      <c r="A40" s="149" t="s">
        <v>1067</v>
      </c>
      <c r="B40" s="1" t="str">
        <f>_xlfn.XLOOKUP(A:A,'Dados Elevatórias'!D:D,'Dados Elevatórias'!B:B)</f>
        <v>PL-RJB-EAT0053</v>
      </c>
      <c r="C40" s="151" t="s">
        <v>2136</v>
      </c>
      <c r="D40" s="140" t="s">
        <v>1764</v>
      </c>
      <c r="E40" s="155" t="s">
        <v>2137</v>
      </c>
      <c r="F40" s="156" t="s">
        <v>1572</v>
      </c>
      <c r="G40" s="157"/>
      <c r="H40" s="140" t="s">
        <v>605</v>
      </c>
      <c r="I40" s="140" t="s">
        <v>2138</v>
      </c>
      <c r="J40" s="138" t="s">
        <v>444</v>
      </c>
      <c r="K40" s="138">
        <v>1</v>
      </c>
      <c r="L40" s="140" t="s">
        <v>378</v>
      </c>
      <c r="M40" s="138">
        <v>10</v>
      </c>
      <c r="N40" s="138">
        <v>3535</v>
      </c>
      <c r="O40" s="138" t="s">
        <v>1902</v>
      </c>
      <c r="P40" s="138" t="s">
        <v>2139</v>
      </c>
      <c r="Q40" s="138"/>
      <c r="R40" s="140" t="s">
        <v>1192</v>
      </c>
      <c r="S40" s="138"/>
      <c r="T40" s="138"/>
      <c r="U40" s="138" t="s">
        <v>728</v>
      </c>
      <c r="V40" s="138"/>
      <c r="W40" s="140" t="s">
        <v>671</v>
      </c>
      <c r="X40" s="140" t="s">
        <v>671</v>
      </c>
      <c r="Y40" s="140" t="s">
        <v>671</v>
      </c>
      <c r="Z40" s="140" t="s">
        <v>727</v>
      </c>
      <c r="AA40" s="142">
        <v>55</v>
      </c>
      <c r="AB40" s="150">
        <v>45</v>
      </c>
      <c r="AC40" s="138" t="s">
        <v>433</v>
      </c>
      <c r="AD40" s="138"/>
      <c r="AE40" s="140">
        <v>421142751</v>
      </c>
      <c r="AF40" s="140">
        <v>8541558</v>
      </c>
      <c r="AG40" s="140"/>
      <c r="AH40" s="136" t="s">
        <v>1071</v>
      </c>
      <c r="AI40" s="161" t="s">
        <v>1072</v>
      </c>
      <c r="AJ40" s="138" t="s">
        <v>489</v>
      </c>
      <c r="AK40" s="138" t="s">
        <v>489</v>
      </c>
      <c r="AL40" s="138"/>
      <c r="AM40" s="138"/>
      <c r="AN40" s="138">
        <v>2860</v>
      </c>
      <c r="AO40" s="138"/>
      <c r="AP40" s="153" t="s">
        <v>2140</v>
      </c>
      <c r="AQ40" s="153" t="s">
        <v>2141</v>
      </c>
      <c r="AR40" s="153" t="s">
        <v>1850</v>
      </c>
      <c r="AS40" s="153" t="s">
        <v>2142</v>
      </c>
      <c r="AT40" s="153" t="s">
        <v>2140</v>
      </c>
      <c r="AU40" s="153" t="s">
        <v>2143</v>
      </c>
      <c r="AV40" s="153"/>
      <c r="AW40" s="153"/>
      <c r="AX40" s="152">
        <v>44963</v>
      </c>
      <c r="AY40" s="151" t="s">
        <v>2144</v>
      </c>
      <c r="AZ40" s="151" t="s">
        <v>2145</v>
      </c>
      <c r="BA40" s="151">
        <v>4</v>
      </c>
      <c r="BB40" s="151">
        <v>50</v>
      </c>
      <c r="BC40" s="151" t="s">
        <v>2144</v>
      </c>
      <c r="BD40" s="151" t="s">
        <v>2146</v>
      </c>
      <c r="BE40" s="151">
        <v>5</v>
      </c>
      <c r="BF40" s="151">
        <v>85</v>
      </c>
      <c r="BG40" s="160">
        <v>42403</v>
      </c>
      <c r="BH40" s="138" t="s">
        <v>671</v>
      </c>
      <c r="BI40" s="138" t="s">
        <v>671</v>
      </c>
      <c r="BJ40" s="138" t="s">
        <v>671</v>
      </c>
      <c r="BK40" s="138" t="s">
        <v>671</v>
      </c>
      <c r="BL40" s="138" t="s">
        <v>671</v>
      </c>
      <c r="BM40" s="138" t="s">
        <v>671</v>
      </c>
      <c r="BN40" s="138" t="s">
        <v>2066</v>
      </c>
      <c r="BO40" s="138"/>
      <c r="BP40" s="138" t="s">
        <v>671</v>
      </c>
      <c r="BQ40" s="138" t="s">
        <v>386</v>
      </c>
      <c r="BR40" s="138" t="s">
        <v>396</v>
      </c>
      <c r="BS40" s="138" t="s">
        <v>386</v>
      </c>
      <c r="BT40" s="138">
        <v>0</v>
      </c>
      <c r="BU40" s="138" t="s">
        <v>2066</v>
      </c>
      <c r="BV40" s="138" t="s">
        <v>671</v>
      </c>
      <c r="BW40" s="140" t="s">
        <v>386</v>
      </c>
      <c r="BX40" s="150" t="s">
        <v>396</v>
      </c>
      <c r="BY40" s="140" t="s">
        <v>386</v>
      </c>
      <c r="BZ40" s="173" t="s">
        <v>386</v>
      </c>
      <c r="CA40" s="173" t="s">
        <v>386</v>
      </c>
      <c r="CB40" s="173" t="s">
        <v>396</v>
      </c>
      <c r="CC40" s="173"/>
      <c r="CD40" s="173"/>
      <c r="CE40" s="173"/>
      <c r="CF40" s="138"/>
      <c r="CG40" s="138"/>
      <c r="CH40" s="138" t="s">
        <v>396</v>
      </c>
      <c r="CI40" s="138"/>
      <c r="CJ40" s="138" t="s">
        <v>396</v>
      </c>
      <c r="CK40" s="138" t="s">
        <v>401</v>
      </c>
      <c r="CL40" s="138">
        <v>12.4</v>
      </c>
      <c r="CM40" s="138">
        <v>37</v>
      </c>
      <c r="CN40" s="138"/>
      <c r="CO40" s="17" t="s">
        <v>1067</v>
      </c>
      <c r="CP40" s="136"/>
    </row>
    <row r="41" spans="1:94" ht="66" hidden="1" customHeight="1">
      <c r="A41" s="149"/>
      <c r="B41" s="1" t="s">
        <v>161</v>
      </c>
      <c r="C41" s="151"/>
      <c r="D41" s="140"/>
      <c r="E41" s="155"/>
      <c r="F41" s="156"/>
      <c r="G41" s="159"/>
      <c r="H41" s="140"/>
      <c r="I41" s="140"/>
      <c r="J41" s="138"/>
      <c r="K41" s="138"/>
      <c r="L41" s="140"/>
      <c r="M41" s="138"/>
      <c r="N41" s="138"/>
      <c r="O41" s="138"/>
      <c r="P41" s="138"/>
      <c r="Q41" s="138"/>
      <c r="R41" s="140"/>
      <c r="S41" s="138"/>
      <c r="T41" s="138"/>
      <c r="U41" s="138"/>
      <c r="V41" s="138"/>
      <c r="W41" s="140"/>
      <c r="X41" s="140"/>
      <c r="Y41" s="140"/>
      <c r="Z41" s="140"/>
      <c r="AA41" s="142"/>
      <c r="AB41" s="150"/>
      <c r="AC41" s="138"/>
      <c r="AD41" s="138"/>
      <c r="AE41" s="140"/>
      <c r="AF41" s="140"/>
      <c r="AG41" s="140"/>
      <c r="AH41" s="136"/>
      <c r="AI41" s="161"/>
      <c r="AJ41" s="138"/>
      <c r="AK41" s="138"/>
      <c r="AL41" s="138"/>
      <c r="AM41" s="138"/>
      <c r="AN41" s="138"/>
      <c r="AO41" s="138"/>
      <c r="AP41" s="153"/>
      <c r="AQ41" s="153"/>
      <c r="AR41" s="153"/>
      <c r="AS41" s="153"/>
      <c r="AT41" s="153"/>
      <c r="AU41" s="153"/>
      <c r="AV41" s="153"/>
      <c r="AW41" s="153"/>
      <c r="AX41" s="152"/>
      <c r="AY41" s="151"/>
      <c r="AZ41" s="151"/>
      <c r="BA41" s="151"/>
      <c r="BB41" s="151"/>
      <c r="BC41" s="151"/>
      <c r="BD41" s="151"/>
      <c r="BE41" s="151"/>
      <c r="BF41" s="151"/>
      <c r="BG41" s="160"/>
      <c r="BH41" s="138"/>
      <c r="BI41" s="138"/>
      <c r="BJ41" s="138"/>
      <c r="BK41" s="138"/>
      <c r="BL41" s="138"/>
      <c r="BM41" s="138"/>
      <c r="BN41" s="138"/>
      <c r="BO41" s="138"/>
      <c r="BP41" s="138"/>
      <c r="BQ41" s="138"/>
      <c r="BR41" s="138"/>
      <c r="BS41" s="138"/>
      <c r="BT41" s="138"/>
      <c r="BU41" s="138"/>
      <c r="BV41" s="138"/>
      <c r="BW41" s="140"/>
      <c r="BX41" s="150"/>
      <c r="BY41" s="140"/>
      <c r="BZ41" s="173"/>
      <c r="CA41" s="173"/>
      <c r="CB41" s="173"/>
      <c r="CC41" s="173"/>
      <c r="CD41" s="173"/>
      <c r="CE41" s="173"/>
      <c r="CF41" s="138"/>
      <c r="CG41" s="138"/>
      <c r="CH41" s="138"/>
      <c r="CI41" s="138"/>
      <c r="CJ41" s="138"/>
      <c r="CK41" s="138"/>
      <c r="CL41" s="138"/>
      <c r="CM41" s="138"/>
      <c r="CN41" s="138"/>
      <c r="CO41" s="17" t="s">
        <v>1572</v>
      </c>
      <c r="CP41" s="136"/>
    </row>
    <row r="42" spans="1:94" ht="66" hidden="1" customHeight="1">
      <c r="A42" s="12" t="s">
        <v>1073</v>
      </c>
      <c r="B42" s="1" t="str">
        <f>_xlfn.XLOOKUP(A:A,'Dados Elevatórias'!D:D,'Dados Elevatórias'!B:B)</f>
        <v>PL-RJB-EAT0694</v>
      </c>
      <c r="C42" s="13" t="s">
        <v>2147</v>
      </c>
      <c r="D42" s="14" t="s">
        <v>1764</v>
      </c>
      <c r="E42" s="37" t="s">
        <v>2148</v>
      </c>
      <c r="F42" s="16" t="s">
        <v>2149</v>
      </c>
      <c r="G42" s="16"/>
      <c r="H42" s="16" t="s">
        <v>443</v>
      </c>
      <c r="I42" s="16" t="s">
        <v>2150</v>
      </c>
      <c r="J42" s="27" t="s">
        <v>444</v>
      </c>
      <c r="K42" s="27">
        <v>1</v>
      </c>
      <c r="L42" s="16" t="s">
        <v>378</v>
      </c>
      <c r="M42" s="27">
        <v>15</v>
      </c>
      <c r="N42" s="27">
        <v>3515</v>
      </c>
      <c r="O42" s="27" t="s">
        <v>2151</v>
      </c>
      <c r="P42" s="27" t="s">
        <v>1330</v>
      </c>
      <c r="Q42" s="27" t="s">
        <v>1119</v>
      </c>
      <c r="R42" s="16" t="s">
        <v>665</v>
      </c>
      <c r="S42" s="17"/>
      <c r="T42" s="17"/>
      <c r="U42" s="14" t="s">
        <v>455</v>
      </c>
      <c r="V42" s="14"/>
      <c r="W42" s="14"/>
      <c r="X42" s="14"/>
      <c r="Y42" s="14"/>
      <c r="Z42" s="14" t="s">
        <v>1820</v>
      </c>
      <c r="AA42" s="18"/>
      <c r="AB42" s="19"/>
      <c r="AC42" s="17" t="s">
        <v>433</v>
      </c>
      <c r="AD42" s="17"/>
      <c r="AE42" s="14"/>
      <c r="AF42" s="14"/>
      <c r="AG42" s="14"/>
      <c r="AH42" s="24"/>
      <c r="AI42" s="20"/>
      <c r="AJ42" s="17" t="s">
        <v>669</v>
      </c>
      <c r="AK42" s="17" t="s">
        <v>669</v>
      </c>
      <c r="AL42" s="17"/>
      <c r="AM42" s="17"/>
      <c r="AN42" s="17"/>
      <c r="AO42" s="17"/>
      <c r="AP42" s="21" t="s">
        <v>2152</v>
      </c>
      <c r="AQ42" s="21" t="s">
        <v>2153</v>
      </c>
      <c r="AR42" s="21" t="s">
        <v>2154</v>
      </c>
      <c r="AS42" s="21" t="s">
        <v>2155</v>
      </c>
      <c r="AT42" s="21" t="s">
        <v>2152</v>
      </c>
      <c r="AU42" s="21" t="s">
        <v>2156</v>
      </c>
      <c r="AV42" s="21"/>
      <c r="AW42" s="21" t="s">
        <v>2157</v>
      </c>
      <c r="AX42" s="21" t="s">
        <v>2158</v>
      </c>
      <c r="AY42" s="21"/>
      <c r="AZ42" s="21"/>
      <c r="BA42" s="21"/>
      <c r="BB42" s="21"/>
      <c r="BC42" s="21"/>
      <c r="BD42" s="21"/>
      <c r="BE42" s="21"/>
      <c r="BF42" s="21"/>
      <c r="BG42" s="21"/>
      <c r="BH42" s="17"/>
      <c r="BI42" s="17"/>
      <c r="BJ42" s="17" t="s">
        <v>671</v>
      </c>
      <c r="BK42" s="17" t="s">
        <v>671</v>
      </c>
      <c r="BL42" s="17" t="s">
        <v>671</v>
      </c>
      <c r="BM42" s="17" t="s">
        <v>671</v>
      </c>
      <c r="BN42" s="17" t="s">
        <v>1611</v>
      </c>
      <c r="BO42" s="17"/>
      <c r="BP42" s="17" t="s">
        <v>2159</v>
      </c>
      <c r="BQ42" s="17" t="s">
        <v>386</v>
      </c>
      <c r="BR42" s="17" t="s">
        <v>396</v>
      </c>
      <c r="BS42" s="17" t="s">
        <v>386</v>
      </c>
      <c r="BT42" s="17">
        <v>0</v>
      </c>
      <c r="BU42" s="17" t="s">
        <v>1611</v>
      </c>
      <c r="BV42" s="17" t="s">
        <v>671</v>
      </c>
      <c r="BW42" s="14" t="s">
        <v>386</v>
      </c>
      <c r="BX42" s="14" t="s">
        <v>386</v>
      </c>
      <c r="BY42" s="19" t="s">
        <v>396</v>
      </c>
      <c r="BZ42" s="52" t="s">
        <v>386</v>
      </c>
      <c r="CA42" s="52" t="s">
        <v>386</v>
      </c>
      <c r="CB42" s="64" t="s">
        <v>396</v>
      </c>
      <c r="CC42" s="64"/>
      <c r="CD42" s="64"/>
      <c r="CE42" s="64"/>
      <c r="CF42" s="17"/>
      <c r="CG42" s="17"/>
      <c r="CH42" s="17" t="s">
        <v>396</v>
      </c>
      <c r="CI42" s="17"/>
      <c r="CJ42" s="17" t="s">
        <v>396</v>
      </c>
      <c r="CK42" s="17" t="s">
        <v>401</v>
      </c>
      <c r="CL42" s="17"/>
      <c r="CM42" s="17"/>
      <c r="CN42" s="17"/>
      <c r="CO42" s="17"/>
      <c r="CP42" s="24"/>
    </row>
    <row r="43" spans="1:94" ht="66" hidden="1" customHeight="1">
      <c r="A43" s="12" t="s">
        <v>1096</v>
      </c>
      <c r="B43" s="1" t="str">
        <f>_xlfn.XLOOKUP(A:A,'Dados Elevatórias'!D:D,'Dados Elevatórias'!B:B)</f>
        <v>PL-RJB-EAT0046</v>
      </c>
      <c r="C43" s="13" t="s">
        <v>2160</v>
      </c>
      <c r="D43" s="14" t="s">
        <v>1764</v>
      </c>
      <c r="E43" s="15" t="s">
        <v>2161</v>
      </c>
      <c r="F43" s="16" t="s">
        <v>1370</v>
      </c>
      <c r="G43" s="16"/>
      <c r="H43" s="14" t="s">
        <v>605</v>
      </c>
      <c r="I43" s="14" t="s">
        <v>2162</v>
      </c>
      <c r="J43" s="17" t="s">
        <v>377</v>
      </c>
      <c r="K43" s="17">
        <v>1</v>
      </c>
      <c r="L43" s="14" t="s">
        <v>378</v>
      </c>
      <c r="M43" s="17">
        <v>6</v>
      </c>
      <c r="N43" s="17">
        <v>3330</v>
      </c>
      <c r="O43" s="17"/>
      <c r="P43" s="17" t="s">
        <v>2163</v>
      </c>
      <c r="Q43" s="17" t="s">
        <v>1102</v>
      </c>
      <c r="R43" s="14" t="s">
        <v>1929</v>
      </c>
      <c r="S43" s="17" t="s">
        <v>662</v>
      </c>
      <c r="T43" s="17" t="s">
        <v>662</v>
      </c>
      <c r="U43" s="17" t="s">
        <v>728</v>
      </c>
      <c r="V43" s="17"/>
      <c r="W43" s="14" t="s">
        <v>671</v>
      </c>
      <c r="X43" s="14" t="s">
        <v>671</v>
      </c>
      <c r="Y43" s="14" t="s">
        <v>671</v>
      </c>
      <c r="Z43" s="14" t="s">
        <v>727</v>
      </c>
      <c r="AA43" s="31">
        <v>15.73</v>
      </c>
      <c r="AB43" s="19">
        <v>40</v>
      </c>
      <c r="AC43" s="17" t="s">
        <v>433</v>
      </c>
      <c r="AD43" s="17"/>
      <c r="AE43" s="14">
        <v>420187783</v>
      </c>
      <c r="AF43" s="14">
        <v>6144582</v>
      </c>
      <c r="AG43" s="14"/>
      <c r="AH43" s="24" t="s">
        <v>1103</v>
      </c>
      <c r="AI43" s="20" t="s">
        <v>1104</v>
      </c>
      <c r="AJ43" s="17" t="s">
        <v>489</v>
      </c>
      <c r="AK43" s="17" t="s">
        <v>489</v>
      </c>
      <c r="AL43" s="17"/>
      <c r="AM43" s="17"/>
      <c r="AN43" s="17"/>
      <c r="AO43" s="17"/>
      <c r="AP43" s="21" t="s">
        <v>2164</v>
      </c>
      <c r="AQ43" s="21" t="s">
        <v>2165</v>
      </c>
      <c r="AR43" s="21" t="s">
        <v>1850</v>
      </c>
      <c r="AS43" s="21" t="s">
        <v>840</v>
      </c>
      <c r="AT43" s="21" t="s">
        <v>2164</v>
      </c>
      <c r="AU43" s="21" t="s">
        <v>2166</v>
      </c>
      <c r="AV43" s="21"/>
      <c r="AW43" s="21" t="s">
        <v>2167</v>
      </c>
      <c r="AX43" s="22">
        <v>44963</v>
      </c>
      <c r="AY43" s="13" t="s">
        <v>2168</v>
      </c>
      <c r="AZ43" s="13" t="s">
        <v>2169</v>
      </c>
      <c r="BA43" s="13">
        <v>1</v>
      </c>
      <c r="BB43" s="13">
        <v>25</v>
      </c>
      <c r="BC43" s="13" t="s">
        <v>2170</v>
      </c>
      <c r="BD43" s="13" t="s">
        <v>2171</v>
      </c>
      <c r="BE43" s="13">
        <v>5</v>
      </c>
      <c r="BF43" s="13">
        <v>60</v>
      </c>
      <c r="BG43" s="25">
        <v>42730</v>
      </c>
      <c r="BH43" s="17"/>
      <c r="BI43" s="17"/>
      <c r="BJ43" s="17" t="s">
        <v>671</v>
      </c>
      <c r="BK43" s="17" t="s">
        <v>671</v>
      </c>
      <c r="BL43" s="17" t="s">
        <v>671</v>
      </c>
      <c r="BM43" s="17" t="s">
        <v>671</v>
      </c>
      <c r="BN43" s="17" t="s">
        <v>671</v>
      </c>
      <c r="BO43" s="17" t="s">
        <v>1881</v>
      </c>
      <c r="BP43" s="17" t="s">
        <v>2159</v>
      </c>
      <c r="BQ43" s="17" t="s">
        <v>386</v>
      </c>
      <c r="BR43" s="17" t="s">
        <v>396</v>
      </c>
      <c r="BS43" s="17" t="s">
        <v>386</v>
      </c>
      <c r="BT43" s="17" t="s">
        <v>671</v>
      </c>
      <c r="BU43" s="17" t="s">
        <v>671</v>
      </c>
      <c r="BV43" s="17" t="s">
        <v>671</v>
      </c>
      <c r="BW43" s="14" t="s">
        <v>386</v>
      </c>
      <c r="BX43" s="14" t="s">
        <v>386</v>
      </c>
      <c r="BY43" s="19" t="s">
        <v>396</v>
      </c>
      <c r="BZ43" s="52" t="s">
        <v>386</v>
      </c>
      <c r="CA43" s="52" t="s">
        <v>386</v>
      </c>
      <c r="CB43" s="64" t="s">
        <v>396</v>
      </c>
      <c r="CC43" s="64"/>
      <c r="CD43" s="64"/>
      <c r="CE43" s="64"/>
      <c r="CF43" s="17"/>
      <c r="CG43" s="17"/>
      <c r="CH43" s="17" t="s">
        <v>396</v>
      </c>
      <c r="CI43" s="17"/>
      <c r="CJ43" s="17" t="s">
        <v>396</v>
      </c>
      <c r="CK43" s="17" t="s">
        <v>401</v>
      </c>
      <c r="CL43" s="17"/>
      <c r="CM43" s="17"/>
      <c r="CN43" s="17"/>
      <c r="CO43" s="17"/>
      <c r="CP43" s="24"/>
    </row>
    <row r="44" spans="1:94" ht="66" hidden="1" customHeight="1">
      <c r="A44" s="12" t="s">
        <v>1111</v>
      </c>
      <c r="B44" s="1" t="str">
        <f>_xlfn.XLOOKUP(A:A,'Dados Elevatórias'!D:D,'Dados Elevatórias'!B:B)</f>
        <v>PL-RJB-EAT0043</v>
      </c>
      <c r="C44" s="13" t="s">
        <v>2172</v>
      </c>
      <c r="D44" s="14" t="s">
        <v>1764</v>
      </c>
      <c r="E44" s="15" t="s">
        <v>2173</v>
      </c>
      <c r="F44" s="16" t="s">
        <v>1370</v>
      </c>
      <c r="G44" s="16"/>
      <c r="H44" s="14" t="s">
        <v>1767</v>
      </c>
      <c r="I44" s="14" t="s">
        <v>2174</v>
      </c>
      <c r="J44" s="17" t="s">
        <v>377</v>
      </c>
      <c r="K44" s="17">
        <v>1</v>
      </c>
      <c r="L44" s="14" t="s">
        <v>378</v>
      </c>
      <c r="M44" s="17">
        <v>12</v>
      </c>
      <c r="N44" s="17">
        <v>3500</v>
      </c>
      <c r="O44" s="17" t="s">
        <v>1902</v>
      </c>
      <c r="P44" s="17" t="s">
        <v>2175</v>
      </c>
      <c r="Q44" s="17" t="s">
        <v>2176</v>
      </c>
      <c r="R44" s="14" t="s">
        <v>1192</v>
      </c>
      <c r="S44" s="17" t="s">
        <v>662</v>
      </c>
      <c r="T44" s="17" t="s">
        <v>662</v>
      </c>
      <c r="U44" s="17" t="s">
        <v>728</v>
      </c>
      <c r="V44" s="17"/>
      <c r="W44" s="14" t="s">
        <v>671</v>
      </c>
      <c r="X44" s="14" t="s">
        <v>671</v>
      </c>
      <c r="Y44" s="14" t="s">
        <v>671</v>
      </c>
      <c r="Z44" s="14" t="s">
        <v>727</v>
      </c>
      <c r="AA44" s="18">
        <v>37.5</v>
      </c>
      <c r="AB44" s="19">
        <v>36</v>
      </c>
      <c r="AC44" s="17" t="s">
        <v>433</v>
      </c>
      <c r="AD44" s="17"/>
      <c r="AE44" s="14">
        <v>400380547</v>
      </c>
      <c r="AF44" s="14">
        <v>6923505</v>
      </c>
      <c r="AG44" s="14"/>
      <c r="AH44" s="24" t="s">
        <v>1113</v>
      </c>
      <c r="AI44" s="20" t="s">
        <v>1114</v>
      </c>
      <c r="AJ44" s="17" t="s">
        <v>698</v>
      </c>
      <c r="AK44" s="17" t="s">
        <v>698</v>
      </c>
      <c r="AL44" s="17"/>
      <c r="AM44" s="17"/>
      <c r="AN44" s="17"/>
      <c r="AO44" s="17"/>
      <c r="AP44" s="21" t="s">
        <v>2115</v>
      </c>
      <c r="AQ44" s="21" t="s">
        <v>2177</v>
      </c>
      <c r="AR44" s="21" t="s">
        <v>2178</v>
      </c>
      <c r="AS44" s="21" t="s">
        <v>1853</v>
      </c>
      <c r="AT44" s="21" t="s">
        <v>2117</v>
      </c>
      <c r="AU44" s="21" t="s">
        <v>2179</v>
      </c>
      <c r="AV44" s="21"/>
      <c r="AW44" s="21" t="s">
        <v>2180</v>
      </c>
      <c r="AX44" s="22">
        <v>44963</v>
      </c>
      <c r="AY44" s="21" t="s">
        <v>2181</v>
      </c>
      <c r="AZ44" s="21" t="s">
        <v>2182</v>
      </c>
      <c r="BA44" s="21">
        <v>3.5</v>
      </c>
      <c r="BB44" s="21">
        <v>50</v>
      </c>
      <c r="BC44" s="21" t="s">
        <v>2183</v>
      </c>
      <c r="BD44" s="21" t="s">
        <v>2184</v>
      </c>
      <c r="BE44" s="21">
        <v>5</v>
      </c>
      <c r="BF44" s="21">
        <v>65</v>
      </c>
      <c r="BG44" s="22">
        <v>43420</v>
      </c>
      <c r="BH44" s="17" t="s">
        <v>2185</v>
      </c>
      <c r="BI44" s="17" t="s">
        <v>2186</v>
      </c>
      <c r="BJ44" s="17" t="s">
        <v>671</v>
      </c>
      <c r="BK44" s="17" t="s">
        <v>671</v>
      </c>
      <c r="BL44" s="17" t="s">
        <v>671</v>
      </c>
      <c r="BM44" s="17" t="s">
        <v>671</v>
      </c>
      <c r="BN44" s="17" t="s">
        <v>1923</v>
      </c>
      <c r="BO44" s="17"/>
      <c r="BP44" s="17" t="s">
        <v>2066</v>
      </c>
      <c r="BQ44" s="17" t="s">
        <v>386</v>
      </c>
      <c r="BR44" s="17" t="s">
        <v>396</v>
      </c>
      <c r="BS44" s="17" t="s">
        <v>396</v>
      </c>
      <c r="BT44" s="17">
        <v>0</v>
      </c>
      <c r="BU44" s="17" t="s">
        <v>1923</v>
      </c>
      <c r="BV44" s="17" t="s">
        <v>1883</v>
      </c>
      <c r="BW44" s="14" t="s">
        <v>386</v>
      </c>
      <c r="BX44" s="14" t="s">
        <v>386</v>
      </c>
      <c r="BY44" s="19" t="s">
        <v>396</v>
      </c>
      <c r="BZ44" s="52" t="s">
        <v>386</v>
      </c>
      <c r="CA44" s="52" t="s">
        <v>386</v>
      </c>
      <c r="CB44" s="64" t="s">
        <v>396</v>
      </c>
      <c r="CC44" s="64"/>
      <c r="CD44" s="64"/>
      <c r="CE44" s="64"/>
      <c r="CF44" s="17"/>
      <c r="CG44" s="17"/>
      <c r="CH44" s="17" t="s">
        <v>396</v>
      </c>
      <c r="CI44" s="17"/>
      <c r="CJ44" s="17" t="s">
        <v>396</v>
      </c>
      <c r="CK44" s="17" t="s">
        <v>401</v>
      </c>
      <c r="CL44" s="17"/>
      <c r="CM44" s="17"/>
      <c r="CN44" s="17"/>
      <c r="CO44" s="17"/>
      <c r="CP44" s="24" t="s">
        <v>1115</v>
      </c>
    </row>
    <row r="45" spans="1:94" ht="66" hidden="1" customHeight="1">
      <c r="A45" s="12" t="s">
        <v>1116</v>
      </c>
      <c r="B45" s="1" t="str">
        <f>_xlfn.XLOOKUP(A:A,'Dados Elevatórias'!D:D,'Dados Elevatórias'!B:B)</f>
        <v>PL-RJB-EAT0747</v>
      </c>
      <c r="C45" s="13" t="s">
        <v>2187</v>
      </c>
      <c r="D45" s="14" t="s">
        <v>1764</v>
      </c>
      <c r="E45" s="34" t="s">
        <v>1117</v>
      </c>
      <c r="F45" s="16" t="s">
        <v>1370</v>
      </c>
      <c r="G45" s="16"/>
      <c r="H45" s="14" t="s">
        <v>443</v>
      </c>
      <c r="I45" s="14" t="s">
        <v>2188</v>
      </c>
      <c r="J45" s="17" t="s">
        <v>444</v>
      </c>
      <c r="K45" s="17">
        <v>1</v>
      </c>
      <c r="L45" s="14" t="s">
        <v>378</v>
      </c>
      <c r="M45" s="17">
        <v>15</v>
      </c>
      <c r="N45" s="17">
        <v>3515</v>
      </c>
      <c r="O45" s="17"/>
      <c r="P45" s="17">
        <v>680</v>
      </c>
      <c r="Q45" s="17" t="s">
        <v>1119</v>
      </c>
      <c r="R45" s="14" t="s">
        <v>898</v>
      </c>
      <c r="S45" s="17"/>
      <c r="T45" s="17"/>
      <c r="U45" s="14" t="s">
        <v>455</v>
      </c>
      <c r="V45" s="14"/>
      <c r="W45" s="14"/>
      <c r="X45" s="14"/>
      <c r="Y45" s="14"/>
      <c r="Z45" s="14" t="s">
        <v>1820</v>
      </c>
      <c r="AA45" s="32">
        <v>45</v>
      </c>
      <c r="AB45" s="19"/>
      <c r="AC45" s="17" t="s">
        <v>433</v>
      </c>
      <c r="AD45" s="17"/>
      <c r="AE45" s="14">
        <v>420631920</v>
      </c>
      <c r="AF45" s="14">
        <v>8878387</v>
      </c>
      <c r="AG45" s="14"/>
      <c r="AH45" s="24" t="s">
        <v>1120</v>
      </c>
      <c r="AI45" s="20" t="s">
        <v>1121</v>
      </c>
      <c r="AJ45" s="17" t="s">
        <v>669</v>
      </c>
      <c r="AK45" s="17" t="s">
        <v>669</v>
      </c>
      <c r="AL45" s="17"/>
      <c r="AM45" s="17"/>
      <c r="AN45" s="17"/>
      <c r="AO45" s="17"/>
      <c r="AP45" s="13" t="s">
        <v>2152</v>
      </c>
      <c r="AQ45" s="13" t="s">
        <v>2153</v>
      </c>
      <c r="AR45" s="13" t="s">
        <v>2154</v>
      </c>
      <c r="AS45" s="13" t="s">
        <v>2155</v>
      </c>
      <c r="AT45" s="13" t="s">
        <v>2152</v>
      </c>
      <c r="AU45" s="13" t="s">
        <v>2189</v>
      </c>
      <c r="AV45" s="13"/>
      <c r="AW45" s="13" t="s">
        <v>2157</v>
      </c>
      <c r="AX45" s="25">
        <v>44953</v>
      </c>
      <c r="AY45" s="13"/>
      <c r="AZ45" s="13"/>
      <c r="BA45" s="13"/>
      <c r="BB45" s="13"/>
      <c r="BC45" s="13"/>
      <c r="BD45" s="13"/>
      <c r="BE45" s="13"/>
      <c r="BF45" s="13"/>
      <c r="BG45" s="13"/>
      <c r="BH45" s="17" t="s">
        <v>2185</v>
      </c>
      <c r="BI45" s="17" t="s">
        <v>2190</v>
      </c>
      <c r="BJ45" s="17" t="s">
        <v>671</v>
      </c>
      <c r="BK45" s="17" t="s">
        <v>671</v>
      </c>
      <c r="BL45" s="17" t="s">
        <v>671</v>
      </c>
      <c r="BM45" s="17" t="s">
        <v>671</v>
      </c>
      <c r="BN45" s="17" t="s">
        <v>1611</v>
      </c>
      <c r="BO45" s="17"/>
      <c r="BP45" s="17" t="s">
        <v>2159</v>
      </c>
      <c r="BQ45" s="17" t="s">
        <v>386</v>
      </c>
      <c r="BR45" s="17" t="s">
        <v>396</v>
      </c>
      <c r="BS45" s="17" t="s">
        <v>386</v>
      </c>
      <c r="BT45" s="17">
        <v>0</v>
      </c>
      <c r="BU45" s="17" t="s">
        <v>1611</v>
      </c>
      <c r="BV45" s="17" t="s">
        <v>671</v>
      </c>
      <c r="BW45" s="19" t="s">
        <v>396</v>
      </c>
      <c r="BX45" s="14" t="s">
        <v>386</v>
      </c>
      <c r="BY45" s="14" t="s">
        <v>386</v>
      </c>
      <c r="BZ45" s="52" t="s">
        <v>386</v>
      </c>
      <c r="CA45" s="52" t="s">
        <v>386</v>
      </c>
      <c r="CB45" s="64" t="s">
        <v>396</v>
      </c>
      <c r="CC45" s="64" t="s">
        <v>491</v>
      </c>
      <c r="CD45" s="64" t="s">
        <v>952</v>
      </c>
      <c r="CE45" s="64"/>
      <c r="CF45" s="17"/>
      <c r="CG45" s="17"/>
      <c r="CH45" s="17" t="s">
        <v>396</v>
      </c>
      <c r="CI45" s="17"/>
      <c r="CJ45" s="17" t="s">
        <v>396</v>
      </c>
      <c r="CK45" s="17" t="s">
        <v>401</v>
      </c>
      <c r="CL45" s="17"/>
      <c r="CM45" s="17"/>
      <c r="CN45" s="17"/>
      <c r="CO45" s="17"/>
      <c r="CP45" s="24"/>
    </row>
    <row r="46" spans="1:94" ht="66" hidden="1" customHeight="1">
      <c r="A46" s="12" t="s">
        <v>1122</v>
      </c>
      <c r="B46" s="1" t="str">
        <f>_xlfn.XLOOKUP(A:A,'Dados Elevatórias'!D:D,'Dados Elevatórias'!B:B)</f>
        <v>PL-RJB-EAT0040</v>
      </c>
      <c r="C46" s="13" t="s">
        <v>2191</v>
      </c>
      <c r="D46" s="14" t="s">
        <v>1764</v>
      </c>
      <c r="E46" s="15" t="s">
        <v>2192</v>
      </c>
      <c r="F46" s="16" t="s">
        <v>1767</v>
      </c>
      <c r="G46" s="16"/>
      <c r="H46" s="14" t="s">
        <v>1767</v>
      </c>
      <c r="I46" s="14" t="s">
        <v>2193</v>
      </c>
      <c r="J46" s="17" t="s">
        <v>377</v>
      </c>
      <c r="K46" s="17">
        <v>1</v>
      </c>
      <c r="L46" s="14" t="s">
        <v>378</v>
      </c>
      <c r="M46" s="17">
        <v>5</v>
      </c>
      <c r="N46" s="17" t="s">
        <v>1944</v>
      </c>
      <c r="O46" s="17" t="s">
        <v>2194</v>
      </c>
      <c r="P46" s="17" t="s">
        <v>2195</v>
      </c>
      <c r="Q46" s="17" t="s">
        <v>1128</v>
      </c>
      <c r="R46" s="14" t="s">
        <v>1192</v>
      </c>
      <c r="S46" s="17"/>
      <c r="T46" s="17" t="s">
        <v>1930</v>
      </c>
      <c r="U46" s="17" t="s">
        <v>728</v>
      </c>
      <c r="V46" s="17"/>
      <c r="W46" s="14" t="s">
        <v>671</v>
      </c>
      <c r="X46" s="14" t="s">
        <v>671</v>
      </c>
      <c r="Y46" s="14" t="s">
        <v>671</v>
      </c>
      <c r="Z46" s="14" t="s">
        <v>727</v>
      </c>
      <c r="AA46" s="31" t="s">
        <v>2196</v>
      </c>
      <c r="AB46" s="19">
        <v>25</v>
      </c>
      <c r="AC46" s="17" t="s">
        <v>433</v>
      </c>
      <c r="AD46" s="17"/>
      <c r="AE46" s="14">
        <v>414605743</v>
      </c>
      <c r="AF46" s="14">
        <v>5187019</v>
      </c>
      <c r="AG46" s="14"/>
      <c r="AH46" s="24" t="s">
        <v>1132</v>
      </c>
      <c r="AI46" s="20" t="s">
        <v>1133</v>
      </c>
      <c r="AJ46" s="17" t="s">
        <v>988</v>
      </c>
      <c r="AK46" s="17" t="s">
        <v>988</v>
      </c>
      <c r="AL46" s="17"/>
      <c r="AM46" s="17"/>
      <c r="AN46" s="17"/>
      <c r="AO46" s="17"/>
      <c r="AP46" s="13" t="s">
        <v>2197</v>
      </c>
      <c r="AQ46" s="13" t="s">
        <v>2198</v>
      </c>
      <c r="AR46" s="13" t="s">
        <v>1850</v>
      </c>
      <c r="AS46" s="13" t="s">
        <v>1791</v>
      </c>
      <c r="AT46" s="13" t="s">
        <v>2197</v>
      </c>
      <c r="AU46" s="13" t="s">
        <v>1789</v>
      </c>
      <c r="AV46" s="13" t="s">
        <v>2014</v>
      </c>
      <c r="AW46" s="13" t="s">
        <v>2199</v>
      </c>
      <c r="AX46" s="25">
        <v>44960</v>
      </c>
      <c r="AY46" s="13" t="s">
        <v>2200</v>
      </c>
      <c r="AZ46" s="13" t="s">
        <v>2201</v>
      </c>
      <c r="BA46" s="13">
        <v>6</v>
      </c>
      <c r="BB46" s="13">
        <v>27</v>
      </c>
      <c r="BC46" s="13"/>
      <c r="BD46" s="13"/>
      <c r="BE46" s="13">
        <v>9</v>
      </c>
      <c r="BF46" s="13">
        <v>50</v>
      </c>
      <c r="BG46" s="25">
        <v>42717</v>
      </c>
      <c r="BH46" s="17" t="s">
        <v>671</v>
      </c>
      <c r="BI46" s="17" t="s">
        <v>671</v>
      </c>
      <c r="BJ46" s="17" t="s">
        <v>671</v>
      </c>
      <c r="BK46" s="17" t="s">
        <v>671</v>
      </c>
      <c r="BL46" s="17" t="s">
        <v>671</v>
      </c>
      <c r="BM46" s="17" t="s">
        <v>671</v>
      </c>
      <c r="BN46" s="17" t="s">
        <v>1813</v>
      </c>
      <c r="BO46" s="17"/>
      <c r="BP46" s="17" t="s">
        <v>671</v>
      </c>
      <c r="BQ46" s="17" t="s">
        <v>386</v>
      </c>
      <c r="BR46" s="17" t="s">
        <v>396</v>
      </c>
      <c r="BS46" s="17" t="s">
        <v>386</v>
      </c>
      <c r="BT46" s="17">
        <v>0</v>
      </c>
      <c r="BU46" s="17" t="s">
        <v>1813</v>
      </c>
      <c r="BV46" s="17" t="s">
        <v>671</v>
      </c>
      <c r="BW46" s="14" t="s">
        <v>386</v>
      </c>
      <c r="BX46" s="19" t="s">
        <v>396</v>
      </c>
      <c r="BY46" s="14" t="s">
        <v>386</v>
      </c>
      <c r="BZ46" s="52" t="s">
        <v>386</v>
      </c>
      <c r="CA46" s="52" t="s">
        <v>386</v>
      </c>
      <c r="CB46" s="64" t="s">
        <v>396</v>
      </c>
      <c r="CC46" s="64"/>
      <c r="CD46" s="64"/>
      <c r="CE46" s="64"/>
      <c r="CF46" s="17"/>
      <c r="CG46" s="17"/>
      <c r="CH46" s="17" t="s">
        <v>396</v>
      </c>
      <c r="CI46" s="17"/>
      <c r="CJ46" s="17" t="s">
        <v>396</v>
      </c>
      <c r="CK46" s="17" t="s">
        <v>401</v>
      </c>
      <c r="CL46" s="17"/>
      <c r="CM46" s="17"/>
      <c r="CN46" s="17"/>
      <c r="CO46" s="17"/>
      <c r="CP46" s="24" t="s">
        <v>1134</v>
      </c>
    </row>
    <row r="47" spans="1:94" ht="66" hidden="1" customHeight="1">
      <c r="A47" s="12" t="s">
        <v>1135</v>
      </c>
      <c r="B47" s="1" t="str">
        <f>_xlfn.XLOOKUP(A:A,'Dados Elevatórias'!D:D,'Dados Elevatórias'!B:B)</f>
        <v>PL-RJB-EAT0032</v>
      </c>
      <c r="C47" s="13" t="s">
        <v>2202</v>
      </c>
      <c r="D47" s="14" t="s">
        <v>1764</v>
      </c>
      <c r="E47" s="15" t="s">
        <v>2203</v>
      </c>
      <c r="F47" s="16" t="s">
        <v>1572</v>
      </c>
      <c r="G47" s="16"/>
      <c r="H47" s="14" t="s">
        <v>605</v>
      </c>
      <c r="I47" s="14" t="s">
        <v>2204</v>
      </c>
      <c r="J47" s="17" t="s">
        <v>377</v>
      </c>
      <c r="K47" s="17">
        <v>1</v>
      </c>
      <c r="L47" s="14" t="s">
        <v>378</v>
      </c>
      <c r="M47" s="17">
        <v>7</v>
      </c>
      <c r="N47" s="17">
        <v>3510</v>
      </c>
      <c r="O47" s="17" t="s">
        <v>2205</v>
      </c>
      <c r="P47" s="17" t="s">
        <v>2206</v>
      </c>
      <c r="Q47" s="17" t="s">
        <v>2207</v>
      </c>
      <c r="R47" s="14" t="s">
        <v>1192</v>
      </c>
      <c r="S47" s="17"/>
      <c r="T47" s="17" t="s">
        <v>1930</v>
      </c>
      <c r="U47" s="17" t="s">
        <v>728</v>
      </c>
      <c r="V47" s="17"/>
      <c r="W47" s="14" t="s">
        <v>671</v>
      </c>
      <c r="X47" s="14" t="s">
        <v>671</v>
      </c>
      <c r="Y47" s="14" t="s">
        <v>671</v>
      </c>
      <c r="Z47" s="14" t="s">
        <v>727</v>
      </c>
      <c r="AA47" s="18">
        <v>20</v>
      </c>
      <c r="AB47" s="19">
        <v>50</v>
      </c>
      <c r="AC47" s="17" t="s">
        <v>433</v>
      </c>
      <c r="AD47" s="17"/>
      <c r="AE47" s="14">
        <v>420187776</v>
      </c>
      <c r="AF47" s="14">
        <v>6141673</v>
      </c>
      <c r="AG47" s="14"/>
      <c r="AH47" s="24" t="s">
        <v>1141</v>
      </c>
      <c r="AI47" s="20" t="s">
        <v>1142</v>
      </c>
      <c r="AJ47" s="17" t="s">
        <v>489</v>
      </c>
      <c r="AK47" s="17" t="s">
        <v>489</v>
      </c>
      <c r="AL47" s="17"/>
      <c r="AM47" s="17"/>
      <c r="AN47" s="17"/>
      <c r="AO47" s="17"/>
      <c r="AP47" s="21" t="s">
        <v>2115</v>
      </c>
      <c r="AQ47" s="21" t="s">
        <v>2208</v>
      </c>
      <c r="AR47" s="21" t="s">
        <v>1804</v>
      </c>
      <c r="AS47" s="21" t="s">
        <v>1791</v>
      </c>
      <c r="AT47" s="21" t="s">
        <v>2209</v>
      </c>
      <c r="AU47" s="21" t="s">
        <v>2210</v>
      </c>
      <c r="AV47" s="21" t="s">
        <v>2211</v>
      </c>
      <c r="AW47" s="21" t="s">
        <v>2062</v>
      </c>
      <c r="AX47" s="22">
        <v>44957</v>
      </c>
      <c r="AY47" s="13" t="s">
        <v>2044</v>
      </c>
      <c r="AZ47" s="13" t="s">
        <v>2212</v>
      </c>
      <c r="BA47" s="13"/>
      <c r="BB47" s="13">
        <v>13</v>
      </c>
      <c r="BC47" s="13" t="s">
        <v>2044</v>
      </c>
      <c r="BD47" s="13"/>
      <c r="BE47" s="13">
        <v>5</v>
      </c>
      <c r="BF47" s="13">
        <v>60</v>
      </c>
      <c r="BG47" s="25">
        <v>42610</v>
      </c>
      <c r="BH47" s="17" t="s">
        <v>2185</v>
      </c>
      <c r="BI47" s="17" t="s">
        <v>2056</v>
      </c>
      <c r="BJ47" s="17" t="s">
        <v>671</v>
      </c>
      <c r="BK47" s="17" t="s">
        <v>671</v>
      </c>
      <c r="BL47" s="17" t="s">
        <v>671</v>
      </c>
      <c r="BM47" s="17" t="s">
        <v>671</v>
      </c>
      <c r="BN47" s="17" t="s">
        <v>671</v>
      </c>
      <c r="BO47" s="17" t="s">
        <v>1881</v>
      </c>
      <c r="BP47" s="17" t="s">
        <v>2213</v>
      </c>
      <c r="BQ47" s="17" t="s">
        <v>386</v>
      </c>
      <c r="BR47" s="17" t="s">
        <v>396</v>
      </c>
      <c r="BS47" s="17" t="s">
        <v>386</v>
      </c>
      <c r="BT47" s="17" t="s">
        <v>671</v>
      </c>
      <c r="BU47" s="17" t="s">
        <v>671</v>
      </c>
      <c r="BV47" s="17" t="s">
        <v>671</v>
      </c>
      <c r="BW47" s="14" t="s">
        <v>386</v>
      </c>
      <c r="BX47" s="14" t="s">
        <v>386</v>
      </c>
      <c r="BY47" s="19" t="s">
        <v>396</v>
      </c>
      <c r="BZ47" s="52" t="s">
        <v>386</v>
      </c>
      <c r="CA47" s="52" t="s">
        <v>386</v>
      </c>
      <c r="CB47" s="64" t="s">
        <v>396</v>
      </c>
      <c r="CC47" s="64"/>
      <c r="CD47" s="64"/>
      <c r="CE47" s="64"/>
      <c r="CF47" s="17"/>
      <c r="CG47" s="17"/>
      <c r="CH47" s="17" t="s">
        <v>396</v>
      </c>
      <c r="CI47" s="17"/>
      <c r="CJ47" s="17" t="s">
        <v>396</v>
      </c>
      <c r="CK47" s="17" t="s">
        <v>401</v>
      </c>
      <c r="CL47" s="17"/>
      <c r="CM47" s="17"/>
      <c r="CN47" s="17"/>
      <c r="CO47" s="17"/>
      <c r="CP47" s="24"/>
    </row>
    <row r="48" spans="1:94" ht="66" hidden="1" customHeight="1">
      <c r="A48" s="12" t="s">
        <v>1143</v>
      </c>
      <c r="B48" s="1" t="str">
        <f>_xlfn.XLOOKUP(A:A,'Dados Elevatórias'!D:D,'Dados Elevatórias'!B:B)</f>
        <v>PL-RJB-EAT0031</v>
      </c>
      <c r="C48" s="13" t="s">
        <v>2214</v>
      </c>
      <c r="D48" s="14" t="s">
        <v>1764</v>
      </c>
      <c r="E48" s="15" t="s">
        <v>2215</v>
      </c>
      <c r="F48" s="16" t="s">
        <v>1370</v>
      </c>
      <c r="G48" s="16"/>
      <c r="H48" s="14" t="s">
        <v>1783</v>
      </c>
      <c r="I48" s="14" t="s">
        <v>2216</v>
      </c>
      <c r="J48" s="17" t="s">
        <v>377</v>
      </c>
      <c r="K48" s="17">
        <v>1</v>
      </c>
      <c r="L48" s="14" t="s">
        <v>378</v>
      </c>
      <c r="M48" s="17">
        <v>2</v>
      </c>
      <c r="N48" s="17">
        <v>3500</v>
      </c>
      <c r="O48" s="17" t="s">
        <v>1145</v>
      </c>
      <c r="P48" s="17" t="s">
        <v>2217</v>
      </c>
      <c r="Q48" s="17" t="s">
        <v>2218</v>
      </c>
      <c r="R48" s="14" t="s">
        <v>925</v>
      </c>
      <c r="S48" s="17" t="s">
        <v>2219</v>
      </c>
      <c r="T48" s="17" t="s">
        <v>2220</v>
      </c>
      <c r="U48" s="17" t="s">
        <v>728</v>
      </c>
      <c r="V48" s="17"/>
      <c r="W48" s="14" t="s">
        <v>671</v>
      </c>
      <c r="X48" s="14" t="s">
        <v>671</v>
      </c>
      <c r="Y48" s="14" t="s">
        <v>671</v>
      </c>
      <c r="Z48" s="14" t="s">
        <v>727</v>
      </c>
      <c r="AA48" s="18" t="s">
        <v>1770</v>
      </c>
      <c r="AB48" s="19" t="s">
        <v>1770</v>
      </c>
      <c r="AC48" s="17" t="s">
        <v>433</v>
      </c>
      <c r="AD48" s="17"/>
      <c r="AE48" s="14">
        <v>413730985</v>
      </c>
      <c r="AF48" s="14">
        <v>5028143</v>
      </c>
      <c r="AG48" s="14"/>
      <c r="AH48" s="24" t="s">
        <v>1148</v>
      </c>
      <c r="AI48" s="20" t="s">
        <v>1149</v>
      </c>
      <c r="AJ48" s="17" t="s">
        <v>988</v>
      </c>
      <c r="AK48" s="17" t="s">
        <v>988</v>
      </c>
      <c r="AL48" s="17"/>
      <c r="AM48" s="17"/>
      <c r="AN48" s="17"/>
      <c r="AO48" s="17"/>
      <c r="AP48" s="13" t="s">
        <v>2221</v>
      </c>
      <c r="AQ48" s="13" t="s">
        <v>2222</v>
      </c>
      <c r="AR48" s="13" t="s">
        <v>1779</v>
      </c>
      <c r="AS48" s="13" t="s">
        <v>2155</v>
      </c>
      <c r="AT48" s="13" t="s">
        <v>1974</v>
      </c>
      <c r="AU48" s="13"/>
      <c r="AV48" s="13"/>
      <c r="AW48" s="13"/>
      <c r="AX48" s="25">
        <v>44963</v>
      </c>
      <c r="AY48" s="13"/>
      <c r="AZ48" s="13"/>
      <c r="BA48" s="13"/>
      <c r="BB48" s="13"/>
      <c r="BC48" s="13"/>
      <c r="BD48" s="13"/>
      <c r="BE48" s="13"/>
      <c r="BF48" s="13"/>
      <c r="BG48" s="13"/>
      <c r="BH48" s="17" t="s">
        <v>2223</v>
      </c>
      <c r="BI48" s="17" t="s">
        <v>2224</v>
      </c>
      <c r="BJ48" s="17" t="s">
        <v>671</v>
      </c>
      <c r="BK48" s="17" t="s">
        <v>671</v>
      </c>
      <c r="BL48" s="17" t="s">
        <v>671</v>
      </c>
      <c r="BM48" s="17" t="s">
        <v>671</v>
      </c>
      <c r="BN48" s="17" t="s">
        <v>671</v>
      </c>
      <c r="BO48" s="17" t="s">
        <v>2066</v>
      </c>
      <c r="BP48" s="17" t="s">
        <v>2225</v>
      </c>
      <c r="BQ48" s="17" t="s">
        <v>386</v>
      </c>
      <c r="BR48" s="17" t="s">
        <v>396</v>
      </c>
      <c r="BS48" s="17" t="s">
        <v>386</v>
      </c>
      <c r="BT48" s="17" t="s">
        <v>671</v>
      </c>
      <c r="BU48" s="17" t="s">
        <v>671</v>
      </c>
      <c r="BV48" s="17" t="s">
        <v>671</v>
      </c>
      <c r="BW48" s="14" t="s">
        <v>386</v>
      </c>
      <c r="BX48" s="14" t="s">
        <v>386</v>
      </c>
      <c r="BY48" s="19" t="s">
        <v>396</v>
      </c>
      <c r="BZ48" s="52" t="s">
        <v>386</v>
      </c>
      <c r="CA48" s="52" t="s">
        <v>386</v>
      </c>
      <c r="CB48" s="64" t="s">
        <v>396</v>
      </c>
      <c r="CC48" s="64"/>
      <c r="CD48" s="64"/>
      <c r="CE48" s="64"/>
      <c r="CF48" s="17"/>
      <c r="CG48" s="17"/>
      <c r="CH48" s="17" t="s">
        <v>396</v>
      </c>
      <c r="CI48" s="17"/>
      <c r="CJ48" s="17" t="s">
        <v>396</v>
      </c>
      <c r="CK48" s="17" t="s">
        <v>401</v>
      </c>
      <c r="CL48" s="17"/>
      <c r="CM48" s="17"/>
      <c r="CN48" s="17"/>
      <c r="CO48" s="17"/>
      <c r="CP48" s="24" t="s">
        <v>1150</v>
      </c>
    </row>
    <row r="49" spans="1:94" ht="66" hidden="1" customHeight="1">
      <c r="A49" s="12" t="s">
        <v>1151</v>
      </c>
      <c r="B49" s="1" t="str">
        <f>_xlfn.XLOOKUP(A:A,'Dados Elevatórias'!D:D,'Dados Elevatórias'!B:B)</f>
        <v>PL-RJB-EAT0030</v>
      </c>
      <c r="C49" s="13" t="s">
        <v>2226</v>
      </c>
      <c r="D49" s="14" t="s">
        <v>1764</v>
      </c>
      <c r="E49" s="15" t="s">
        <v>2227</v>
      </c>
      <c r="F49" s="16" t="s">
        <v>2228</v>
      </c>
      <c r="G49" s="16"/>
      <c r="H49" s="14" t="s">
        <v>1767</v>
      </c>
      <c r="I49" s="14" t="s">
        <v>2229</v>
      </c>
      <c r="J49" s="17" t="s">
        <v>444</v>
      </c>
      <c r="K49" s="17">
        <v>1</v>
      </c>
      <c r="L49" s="14" t="s">
        <v>378</v>
      </c>
      <c r="M49" s="17">
        <v>2.5</v>
      </c>
      <c r="N49" s="17">
        <v>3530</v>
      </c>
      <c r="O49" s="17"/>
      <c r="P49" s="17" t="s">
        <v>2230</v>
      </c>
      <c r="Q49" s="17"/>
      <c r="R49" s="14" t="s">
        <v>1192</v>
      </c>
      <c r="S49" s="17"/>
      <c r="T49" s="17" t="s">
        <v>1930</v>
      </c>
      <c r="U49" s="17" t="s">
        <v>728</v>
      </c>
      <c r="V49" s="17"/>
      <c r="W49" s="14" t="s">
        <v>671</v>
      </c>
      <c r="X49" s="14" t="s">
        <v>671</v>
      </c>
      <c r="Y49" s="14" t="s">
        <v>671</v>
      </c>
      <c r="Z49" s="14" t="s">
        <v>727</v>
      </c>
      <c r="AA49" s="31" t="s">
        <v>2231</v>
      </c>
      <c r="AB49" s="19">
        <v>75</v>
      </c>
      <c r="AC49" s="17" t="s">
        <v>433</v>
      </c>
      <c r="AD49" s="17"/>
      <c r="AE49" s="14">
        <v>414857558</v>
      </c>
      <c r="AF49" s="14">
        <v>5789840</v>
      </c>
      <c r="AG49" s="14"/>
      <c r="AH49" s="24" t="s">
        <v>1153</v>
      </c>
      <c r="AI49" s="20" t="s">
        <v>1154</v>
      </c>
      <c r="AJ49" s="17"/>
      <c r="AK49" s="17"/>
      <c r="AL49" s="17"/>
      <c r="AM49" s="17"/>
      <c r="AN49" s="17"/>
      <c r="AO49" s="17"/>
      <c r="AP49" s="21" t="s">
        <v>2232</v>
      </c>
      <c r="AQ49" s="21" t="s">
        <v>2233</v>
      </c>
      <c r="AR49" s="21"/>
      <c r="AS49" s="21"/>
      <c r="AT49" s="21"/>
      <c r="AU49" s="21"/>
      <c r="AV49" s="21"/>
      <c r="AW49" s="21"/>
      <c r="AX49" s="22">
        <v>44956</v>
      </c>
      <c r="AY49" s="13" t="s">
        <v>2234</v>
      </c>
      <c r="AZ49" s="13" t="s">
        <v>2235</v>
      </c>
      <c r="BA49" s="13">
        <v>11</v>
      </c>
      <c r="BB49" s="13">
        <v>60</v>
      </c>
      <c r="BC49" s="13" t="s">
        <v>2234</v>
      </c>
      <c r="BD49" s="13" t="s">
        <v>2236</v>
      </c>
      <c r="BE49" s="13">
        <v>15</v>
      </c>
      <c r="BF49" s="13">
        <v>120</v>
      </c>
      <c r="BG49" s="25">
        <v>42753</v>
      </c>
      <c r="BH49" s="17"/>
      <c r="BI49" s="17"/>
      <c r="BJ49" s="17" t="s">
        <v>671</v>
      </c>
      <c r="BK49" s="17" t="s">
        <v>671</v>
      </c>
      <c r="BL49" s="17" t="s">
        <v>671</v>
      </c>
      <c r="BM49" s="17" t="s">
        <v>671</v>
      </c>
      <c r="BN49" s="17" t="s">
        <v>2093</v>
      </c>
      <c r="BO49" s="17"/>
      <c r="BP49" s="17" t="s">
        <v>2237</v>
      </c>
      <c r="BQ49" s="17" t="s">
        <v>386</v>
      </c>
      <c r="BR49" s="17" t="s">
        <v>396</v>
      </c>
      <c r="BS49" s="17" t="s">
        <v>386</v>
      </c>
      <c r="BT49" s="17">
        <v>0</v>
      </c>
      <c r="BU49" s="17" t="s">
        <v>2093</v>
      </c>
      <c r="BV49" s="17" t="s">
        <v>671</v>
      </c>
      <c r="BW49" s="14" t="s">
        <v>386</v>
      </c>
      <c r="BX49" s="14" t="s">
        <v>386</v>
      </c>
      <c r="BY49" s="19" t="s">
        <v>396</v>
      </c>
      <c r="BZ49" s="52" t="s">
        <v>386</v>
      </c>
      <c r="CA49" s="52" t="s">
        <v>386</v>
      </c>
      <c r="CB49" s="64" t="s">
        <v>396</v>
      </c>
      <c r="CC49" s="64"/>
      <c r="CD49" s="64"/>
      <c r="CE49" s="64"/>
      <c r="CF49" s="17"/>
      <c r="CG49" s="17"/>
      <c r="CH49" s="17" t="s">
        <v>396</v>
      </c>
      <c r="CI49" s="17"/>
      <c r="CJ49" s="17" t="s">
        <v>396</v>
      </c>
      <c r="CK49" s="17" t="s">
        <v>401</v>
      </c>
      <c r="CL49" s="17"/>
      <c r="CM49" s="17"/>
      <c r="CN49" s="17"/>
      <c r="CO49" s="17" t="s">
        <v>962</v>
      </c>
      <c r="CP49" s="24" t="s">
        <v>1155</v>
      </c>
    </row>
    <row r="50" spans="1:94" ht="66" hidden="1" customHeight="1">
      <c r="A50" s="38" t="s">
        <v>2238</v>
      </c>
      <c r="B50" s="1" t="s">
        <v>209</v>
      </c>
      <c r="C50" s="13" t="s">
        <v>2239</v>
      </c>
      <c r="D50" s="14" t="s">
        <v>1764</v>
      </c>
      <c r="E50" s="15" t="s">
        <v>2240</v>
      </c>
      <c r="F50" s="16" t="s">
        <v>2241</v>
      </c>
      <c r="G50" s="16"/>
      <c r="H50" s="14" t="s">
        <v>605</v>
      </c>
      <c r="I50" s="14" t="s">
        <v>2242</v>
      </c>
      <c r="J50" s="17" t="s">
        <v>444</v>
      </c>
      <c r="K50" s="17">
        <v>1</v>
      </c>
      <c r="L50" s="14" t="s">
        <v>378</v>
      </c>
      <c r="M50" s="17">
        <v>100</v>
      </c>
      <c r="N50" s="17">
        <v>3560</v>
      </c>
      <c r="O50" s="17"/>
      <c r="P50" s="17" t="s">
        <v>2243</v>
      </c>
      <c r="Q50" s="17" t="s">
        <v>1161</v>
      </c>
      <c r="R50" s="14" t="s">
        <v>484</v>
      </c>
      <c r="S50" s="17">
        <v>8.32</v>
      </c>
      <c r="T50" s="17">
        <v>211.33</v>
      </c>
      <c r="U50" s="14" t="s">
        <v>455</v>
      </c>
      <c r="V50" s="14"/>
      <c r="W50" s="14"/>
      <c r="X50" s="14" t="s">
        <v>2244</v>
      </c>
      <c r="Y50" s="14" t="s">
        <v>800</v>
      </c>
      <c r="Z50" s="14" t="s">
        <v>1703</v>
      </c>
      <c r="AA50" s="31" t="s">
        <v>2245</v>
      </c>
      <c r="AB50" s="19">
        <v>80</v>
      </c>
      <c r="AC50" s="17" t="s">
        <v>1162</v>
      </c>
      <c r="AD50" s="17"/>
      <c r="AE50" s="14">
        <v>400131474</v>
      </c>
      <c r="AF50" s="14">
        <v>7267348</v>
      </c>
      <c r="AG50" s="14"/>
      <c r="AH50" s="24" t="s">
        <v>1163</v>
      </c>
      <c r="AI50" s="20" t="s">
        <v>1164</v>
      </c>
      <c r="AJ50" s="17" t="s">
        <v>1165</v>
      </c>
      <c r="AK50" s="17" t="s">
        <v>1165</v>
      </c>
      <c r="AL50" s="17"/>
      <c r="AM50" s="17"/>
      <c r="AN50" s="17"/>
      <c r="AO50" s="17"/>
      <c r="AP50" s="13" t="s">
        <v>2246</v>
      </c>
      <c r="AQ50" s="39">
        <v>203205196</v>
      </c>
      <c r="AR50" s="13" t="s">
        <v>2154</v>
      </c>
      <c r="AS50" s="13" t="s">
        <v>2247</v>
      </c>
      <c r="AT50" s="13" t="s">
        <v>2246</v>
      </c>
      <c r="AU50" s="39">
        <v>153170157</v>
      </c>
      <c r="AV50" s="13"/>
      <c r="AW50" s="13" t="s">
        <v>587</v>
      </c>
      <c r="AX50" s="25">
        <v>45079</v>
      </c>
      <c r="AY50" s="13" t="s">
        <v>2248</v>
      </c>
      <c r="AZ50" s="13" t="s">
        <v>2249</v>
      </c>
      <c r="BA50" s="13" t="s">
        <v>2250</v>
      </c>
      <c r="BB50" s="13" t="s">
        <v>2251</v>
      </c>
      <c r="BC50" s="13" t="s">
        <v>2252</v>
      </c>
      <c r="BD50" s="13" t="s">
        <v>2253</v>
      </c>
      <c r="BE50" s="13" t="s">
        <v>2254</v>
      </c>
      <c r="BF50" s="13" t="s">
        <v>2255</v>
      </c>
      <c r="BG50" s="22">
        <v>43355</v>
      </c>
      <c r="BH50" s="17" t="s">
        <v>671</v>
      </c>
      <c r="BI50" s="17" t="s">
        <v>671</v>
      </c>
      <c r="BJ50" s="17" t="s">
        <v>671</v>
      </c>
      <c r="BK50" s="17" t="s">
        <v>671</v>
      </c>
      <c r="BL50" s="17" t="s">
        <v>671</v>
      </c>
      <c r="BM50" s="17" t="s">
        <v>671</v>
      </c>
      <c r="BN50" s="17" t="s">
        <v>2256</v>
      </c>
      <c r="BO50" s="17"/>
      <c r="BP50" s="17" t="s">
        <v>671</v>
      </c>
      <c r="BQ50" s="17" t="s">
        <v>386</v>
      </c>
      <c r="BR50" s="17" t="s">
        <v>396</v>
      </c>
      <c r="BS50" s="17" t="s">
        <v>396</v>
      </c>
      <c r="BT50" s="17">
        <v>0</v>
      </c>
      <c r="BU50" s="17" t="s">
        <v>2256</v>
      </c>
      <c r="BV50" s="17" t="s">
        <v>671</v>
      </c>
      <c r="BW50" s="14" t="s">
        <v>386</v>
      </c>
      <c r="BX50" s="150" t="s">
        <v>396</v>
      </c>
      <c r="BY50" s="14" t="s">
        <v>386</v>
      </c>
      <c r="BZ50" s="52" t="s">
        <v>386</v>
      </c>
      <c r="CA50" s="52" t="s">
        <v>386</v>
      </c>
      <c r="CB50" s="64" t="s">
        <v>396</v>
      </c>
      <c r="CC50" s="64"/>
      <c r="CD50" s="64"/>
      <c r="CE50" s="64"/>
      <c r="CF50" s="17"/>
      <c r="CG50" s="17"/>
      <c r="CH50" s="17" t="s">
        <v>396</v>
      </c>
      <c r="CI50" s="17"/>
      <c r="CJ50" s="17" t="s">
        <v>396</v>
      </c>
      <c r="CK50" s="17" t="s">
        <v>401</v>
      </c>
      <c r="CL50" s="17"/>
      <c r="CM50" s="17"/>
      <c r="CN50" s="17"/>
      <c r="CO50" s="17" t="s">
        <v>1166</v>
      </c>
      <c r="CP50" s="24" t="s">
        <v>1167</v>
      </c>
    </row>
    <row r="51" spans="1:94" ht="66" hidden="1" customHeight="1">
      <c r="A51" s="38" t="s">
        <v>2238</v>
      </c>
      <c r="B51" s="1" t="s">
        <v>209</v>
      </c>
      <c r="C51" s="13" t="s">
        <v>2239</v>
      </c>
      <c r="D51" s="14" t="s">
        <v>1764</v>
      </c>
      <c r="E51" s="15" t="s">
        <v>2240</v>
      </c>
      <c r="F51" s="16" t="s">
        <v>2241</v>
      </c>
      <c r="G51" s="16"/>
      <c r="H51" s="14" t="s">
        <v>605</v>
      </c>
      <c r="I51" s="14" t="s">
        <v>2242</v>
      </c>
      <c r="J51" s="17" t="s">
        <v>444</v>
      </c>
      <c r="K51" s="17">
        <v>2</v>
      </c>
      <c r="L51" s="14" t="s">
        <v>570</v>
      </c>
      <c r="M51" s="17">
        <v>100</v>
      </c>
      <c r="N51" s="17">
        <v>3560</v>
      </c>
      <c r="O51" s="17" t="s">
        <v>2257</v>
      </c>
      <c r="P51" s="17" t="s">
        <v>2258</v>
      </c>
      <c r="Q51" s="17" t="s">
        <v>1170</v>
      </c>
      <c r="R51" s="14" t="s">
        <v>484</v>
      </c>
      <c r="S51" s="17">
        <v>8.34</v>
      </c>
      <c r="T51" s="17">
        <v>211.84</v>
      </c>
      <c r="U51" s="14" t="s">
        <v>455</v>
      </c>
      <c r="V51" s="14"/>
      <c r="W51" s="14"/>
      <c r="X51" s="14" t="s">
        <v>485</v>
      </c>
      <c r="Y51" s="14" t="s">
        <v>800</v>
      </c>
      <c r="Z51" s="14" t="s">
        <v>1703</v>
      </c>
      <c r="AA51" s="18">
        <v>270</v>
      </c>
      <c r="AB51" s="19">
        <v>70</v>
      </c>
      <c r="AC51" s="17" t="s">
        <v>1162</v>
      </c>
      <c r="AD51" s="17"/>
      <c r="AE51" s="14">
        <v>400131474</v>
      </c>
      <c r="AF51" s="14">
        <v>7267348</v>
      </c>
      <c r="AG51" s="14"/>
      <c r="AH51" s="24" t="s">
        <v>1163</v>
      </c>
      <c r="AI51" s="20" t="s">
        <v>1164</v>
      </c>
      <c r="AJ51" s="17" t="s">
        <v>1165</v>
      </c>
      <c r="AK51" s="17" t="s">
        <v>1165</v>
      </c>
      <c r="AL51" s="17"/>
      <c r="AM51" s="17"/>
      <c r="AN51" s="17"/>
      <c r="AO51" s="17"/>
      <c r="AP51" s="13" t="s">
        <v>2259</v>
      </c>
      <c r="AQ51" s="13"/>
      <c r="AR51" s="13" t="s">
        <v>2260</v>
      </c>
      <c r="AS51" s="13"/>
      <c r="AT51" s="13"/>
      <c r="AU51" s="13"/>
      <c r="AV51" s="13"/>
      <c r="AW51" s="13"/>
      <c r="AX51" s="13"/>
      <c r="AY51" s="13"/>
      <c r="AZ51" s="13"/>
      <c r="BA51" s="13"/>
      <c r="BB51" s="13"/>
      <c r="BC51" s="13"/>
      <c r="BD51" s="13"/>
      <c r="BE51" s="13"/>
      <c r="BF51" s="13"/>
      <c r="BG51" s="13"/>
      <c r="BH51" s="17" t="s">
        <v>2223</v>
      </c>
      <c r="BI51" s="17" t="s">
        <v>2261</v>
      </c>
      <c r="BJ51" s="17" t="s">
        <v>2223</v>
      </c>
      <c r="BK51" s="17" t="s">
        <v>2262</v>
      </c>
      <c r="BL51" s="17" t="s">
        <v>414</v>
      </c>
      <c r="BM51" s="17" t="s">
        <v>2263</v>
      </c>
      <c r="BN51" s="17" t="s">
        <v>2264</v>
      </c>
      <c r="BO51" s="17"/>
      <c r="BP51" s="17" t="s">
        <v>1780</v>
      </c>
      <c r="BQ51" s="17" t="s">
        <v>396</v>
      </c>
      <c r="BR51" s="17" t="s">
        <v>396</v>
      </c>
      <c r="BS51" s="17" t="s">
        <v>396</v>
      </c>
      <c r="BT51" s="17">
        <v>0</v>
      </c>
      <c r="BU51" s="17" t="s">
        <v>2264</v>
      </c>
      <c r="BV51" s="17" t="s">
        <v>671</v>
      </c>
      <c r="BW51" s="14" t="s">
        <v>386</v>
      </c>
      <c r="BX51" s="150"/>
      <c r="BY51" s="14" t="s">
        <v>386</v>
      </c>
      <c r="BZ51" s="52" t="s">
        <v>386</v>
      </c>
      <c r="CA51" s="52" t="s">
        <v>386</v>
      </c>
      <c r="CB51" s="64" t="s">
        <v>396</v>
      </c>
      <c r="CC51" s="64"/>
      <c r="CD51" s="64"/>
      <c r="CE51" s="64"/>
      <c r="CF51" s="17"/>
      <c r="CG51" s="17"/>
      <c r="CH51" s="17" t="s">
        <v>396</v>
      </c>
      <c r="CI51" s="17"/>
      <c r="CJ51" s="17" t="s">
        <v>396</v>
      </c>
      <c r="CK51" s="17" t="s">
        <v>401</v>
      </c>
      <c r="CL51" s="17"/>
      <c r="CM51" s="17"/>
      <c r="CN51" s="17"/>
      <c r="CO51" s="17" t="s">
        <v>1166</v>
      </c>
      <c r="CP51" s="24" t="s">
        <v>1167</v>
      </c>
    </row>
    <row r="52" spans="1:94" ht="66" hidden="1" customHeight="1">
      <c r="A52" s="12" t="s">
        <v>1171</v>
      </c>
      <c r="B52" s="1" t="str">
        <f>_xlfn.XLOOKUP(A:A,'Dados Elevatórias'!D:D,'Dados Elevatórias'!B:B)</f>
        <v>PL-RJB-EAT0068</v>
      </c>
      <c r="C52" s="13" t="s">
        <v>2265</v>
      </c>
      <c r="D52" s="14" t="s">
        <v>1764</v>
      </c>
      <c r="E52" s="15" t="s">
        <v>2266</v>
      </c>
      <c r="F52" s="16" t="s">
        <v>2267</v>
      </c>
      <c r="G52" s="16"/>
      <c r="H52" s="14" t="s">
        <v>1783</v>
      </c>
      <c r="I52" s="14" t="s">
        <v>2268</v>
      </c>
      <c r="J52" s="17" t="s">
        <v>377</v>
      </c>
      <c r="K52" s="17">
        <v>1</v>
      </c>
      <c r="L52" s="14" t="s">
        <v>378</v>
      </c>
      <c r="M52" s="17">
        <v>7.5</v>
      </c>
      <c r="N52" s="17">
        <v>3354</v>
      </c>
      <c r="O52" s="17" t="s">
        <v>1902</v>
      </c>
      <c r="P52" s="17" t="s">
        <v>2269</v>
      </c>
      <c r="Q52" s="17"/>
      <c r="R52" s="14" t="s">
        <v>1192</v>
      </c>
      <c r="S52" s="17"/>
      <c r="T52" s="17" t="s">
        <v>1930</v>
      </c>
      <c r="U52" s="17" t="s">
        <v>728</v>
      </c>
      <c r="V52" s="17"/>
      <c r="W52" s="14" t="s">
        <v>671</v>
      </c>
      <c r="X52" s="14" t="s">
        <v>671</v>
      </c>
      <c r="Y52" s="14" t="s">
        <v>671</v>
      </c>
      <c r="Z52" s="14" t="s">
        <v>727</v>
      </c>
      <c r="AA52" s="18">
        <v>70</v>
      </c>
      <c r="AB52" s="19">
        <v>30</v>
      </c>
      <c r="AC52" s="17" t="s">
        <v>433</v>
      </c>
      <c r="AD52" s="17"/>
      <c r="AE52" s="14"/>
      <c r="AF52" s="14">
        <v>7254021</v>
      </c>
      <c r="AG52" s="14"/>
      <c r="AH52" s="24" t="s">
        <v>1176</v>
      </c>
      <c r="AI52" s="20" t="s">
        <v>1177</v>
      </c>
      <c r="AJ52" s="17" t="s">
        <v>698</v>
      </c>
      <c r="AK52" s="17" t="s">
        <v>698</v>
      </c>
      <c r="AL52" s="17"/>
      <c r="AM52" s="17"/>
      <c r="AN52" s="17"/>
      <c r="AO52" s="17"/>
      <c r="AP52" s="21" t="s">
        <v>1829</v>
      </c>
      <c r="AQ52" s="21" t="s">
        <v>2270</v>
      </c>
      <c r="AR52" s="21" t="s">
        <v>1976</v>
      </c>
      <c r="AS52" s="21" t="s">
        <v>1778</v>
      </c>
      <c r="AT52" s="21" t="s">
        <v>2271</v>
      </c>
      <c r="AU52" s="21" t="s">
        <v>2272</v>
      </c>
      <c r="AV52" s="21" t="s">
        <v>2273</v>
      </c>
      <c r="AW52" s="21" t="s">
        <v>2274</v>
      </c>
      <c r="AX52" s="22">
        <v>44957</v>
      </c>
      <c r="AY52" s="21" t="s">
        <v>2275</v>
      </c>
      <c r="AZ52" s="21" t="s">
        <v>2276</v>
      </c>
      <c r="BA52" s="21">
        <v>8</v>
      </c>
      <c r="BB52" s="21">
        <v>15</v>
      </c>
      <c r="BC52" s="21" t="s">
        <v>2275</v>
      </c>
      <c r="BD52" s="21" t="s">
        <v>2277</v>
      </c>
      <c r="BE52" s="21">
        <v>12</v>
      </c>
      <c r="BF52" s="21">
        <v>37</v>
      </c>
      <c r="BG52" s="22">
        <v>43545</v>
      </c>
      <c r="BH52" s="17" t="s">
        <v>671</v>
      </c>
      <c r="BI52" s="17" t="s">
        <v>671</v>
      </c>
      <c r="BJ52" s="17" t="s">
        <v>671</v>
      </c>
      <c r="BK52" s="17" t="s">
        <v>671</v>
      </c>
      <c r="BL52" s="17" t="s">
        <v>671</v>
      </c>
      <c r="BM52" s="17" t="s">
        <v>671</v>
      </c>
      <c r="BN52" s="17" t="s">
        <v>1611</v>
      </c>
      <c r="BO52" s="17"/>
      <c r="BP52" s="17" t="s">
        <v>671</v>
      </c>
      <c r="BQ52" s="17" t="s">
        <v>386</v>
      </c>
      <c r="BR52" s="17" t="s">
        <v>396</v>
      </c>
      <c r="BS52" s="17" t="s">
        <v>386</v>
      </c>
      <c r="BT52" s="17">
        <v>0</v>
      </c>
      <c r="BU52" s="17" t="s">
        <v>1611</v>
      </c>
      <c r="BV52" s="17" t="s">
        <v>671</v>
      </c>
      <c r="BW52" s="14" t="s">
        <v>386</v>
      </c>
      <c r="BX52" s="19" t="s">
        <v>396</v>
      </c>
      <c r="BY52" s="14" t="s">
        <v>386</v>
      </c>
      <c r="BZ52" s="52" t="s">
        <v>386</v>
      </c>
      <c r="CA52" s="52" t="s">
        <v>386</v>
      </c>
      <c r="CB52" s="64" t="s">
        <v>396</v>
      </c>
      <c r="CC52" s="64"/>
      <c r="CD52" s="64"/>
      <c r="CE52" s="64"/>
      <c r="CF52" s="17"/>
      <c r="CG52" s="17"/>
      <c r="CH52" s="17" t="s">
        <v>396</v>
      </c>
      <c r="CI52" s="17"/>
      <c r="CJ52" s="17" t="s">
        <v>396</v>
      </c>
      <c r="CK52" s="17" t="s">
        <v>401</v>
      </c>
      <c r="CL52" s="17"/>
      <c r="CM52" s="17"/>
      <c r="CN52" s="17"/>
      <c r="CO52" s="17"/>
      <c r="CP52" s="24"/>
    </row>
    <row r="53" spans="1:94" ht="66" hidden="1" customHeight="1">
      <c r="A53" s="12" t="s">
        <v>1188</v>
      </c>
      <c r="B53" s="1" t="str">
        <f>_xlfn.XLOOKUP(A:A,'Dados Elevatórias'!D:D,'Dados Elevatórias'!B:B)</f>
        <v>PL-RJB-EAT0039</v>
      </c>
      <c r="C53" s="13" t="s">
        <v>2278</v>
      </c>
      <c r="D53" s="14" t="s">
        <v>1764</v>
      </c>
      <c r="E53" s="15" t="s">
        <v>2279</v>
      </c>
      <c r="F53" s="16" t="s">
        <v>2280</v>
      </c>
      <c r="G53" s="16"/>
      <c r="H53" s="14" t="s">
        <v>1783</v>
      </c>
      <c r="I53" s="14" t="s">
        <v>2281</v>
      </c>
      <c r="J53" s="17" t="s">
        <v>444</v>
      </c>
      <c r="K53" s="17">
        <v>1</v>
      </c>
      <c r="L53" s="14" t="s">
        <v>378</v>
      </c>
      <c r="M53" s="17">
        <v>8</v>
      </c>
      <c r="N53" s="17">
        <v>3500</v>
      </c>
      <c r="O53" s="17" t="s">
        <v>2282</v>
      </c>
      <c r="P53" s="17" t="s">
        <v>2283</v>
      </c>
      <c r="Q53" s="17" t="s">
        <v>2284</v>
      </c>
      <c r="R53" s="14" t="s">
        <v>1192</v>
      </c>
      <c r="S53" s="17"/>
      <c r="T53" s="17" t="s">
        <v>1930</v>
      </c>
      <c r="U53" s="17" t="s">
        <v>728</v>
      </c>
      <c r="V53" s="17"/>
      <c r="W53" s="14" t="s">
        <v>671</v>
      </c>
      <c r="X53" s="14" t="s">
        <v>671</v>
      </c>
      <c r="Y53" s="14" t="s">
        <v>671</v>
      </c>
      <c r="Z53" s="14" t="s">
        <v>727</v>
      </c>
      <c r="AA53" s="18" t="s">
        <v>2285</v>
      </c>
      <c r="AB53" s="19">
        <v>35</v>
      </c>
      <c r="AC53" s="17" t="s">
        <v>433</v>
      </c>
      <c r="AD53" s="17"/>
      <c r="AE53" s="14">
        <v>420160768</v>
      </c>
      <c r="AF53" s="14">
        <v>6098958</v>
      </c>
      <c r="AG53" s="14"/>
      <c r="AH53" s="24" t="s">
        <v>1196</v>
      </c>
      <c r="AI53" s="20" t="s">
        <v>1197</v>
      </c>
      <c r="AJ53" s="17" t="s">
        <v>489</v>
      </c>
      <c r="AK53" s="17" t="s">
        <v>489</v>
      </c>
      <c r="AL53" s="17"/>
      <c r="AM53" s="17"/>
      <c r="AN53" s="17"/>
      <c r="AO53" s="17"/>
      <c r="AP53" s="21" t="s">
        <v>2286</v>
      </c>
      <c r="AQ53" s="21"/>
      <c r="AR53" s="21"/>
      <c r="AS53" s="21"/>
      <c r="AT53" s="21"/>
      <c r="AU53" s="21"/>
      <c r="AV53" s="21"/>
      <c r="AW53" s="21"/>
      <c r="AX53" s="22">
        <v>44942</v>
      </c>
      <c r="AY53" s="13" t="s">
        <v>2287</v>
      </c>
      <c r="AZ53" s="13" t="s">
        <v>2288</v>
      </c>
      <c r="BA53" s="13"/>
      <c r="BB53" s="13">
        <v>20</v>
      </c>
      <c r="BC53" s="13" t="s">
        <v>2287</v>
      </c>
      <c r="BD53" s="13" t="s">
        <v>2289</v>
      </c>
      <c r="BE53" s="40">
        <v>45689</v>
      </c>
      <c r="BF53" s="13">
        <v>50</v>
      </c>
      <c r="BG53" s="25">
        <v>42743</v>
      </c>
      <c r="BH53" s="17" t="s">
        <v>671</v>
      </c>
      <c r="BI53" s="17" t="s">
        <v>671</v>
      </c>
      <c r="BJ53" s="17" t="s">
        <v>671</v>
      </c>
      <c r="BK53" s="17" t="s">
        <v>671</v>
      </c>
      <c r="BL53" s="17" t="s">
        <v>671</v>
      </c>
      <c r="BM53" s="17" t="s">
        <v>671</v>
      </c>
      <c r="BN53" s="17" t="s">
        <v>1780</v>
      </c>
      <c r="BO53" s="17"/>
      <c r="BP53" s="17" t="s">
        <v>671</v>
      </c>
      <c r="BQ53" s="17" t="s">
        <v>386</v>
      </c>
      <c r="BR53" s="17" t="s">
        <v>396</v>
      </c>
      <c r="BS53" s="17" t="s">
        <v>386</v>
      </c>
      <c r="BT53" s="17">
        <v>0</v>
      </c>
      <c r="BU53" s="17" t="s">
        <v>1780</v>
      </c>
      <c r="BV53" s="17" t="s">
        <v>671</v>
      </c>
      <c r="BW53" s="14" t="s">
        <v>386</v>
      </c>
      <c r="BX53" s="19" t="s">
        <v>396</v>
      </c>
      <c r="BY53" s="14" t="s">
        <v>386</v>
      </c>
      <c r="BZ53" s="52" t="s">
        <v>386</v>
      </c>
      <c r="CA53" s="52" t="s">
        <v>386</v>
      </c>
      <c r="CB53" s="64" t="s">
        <v>396</v>
      </c>
      <c r="CC53" s="64"/>
      <c r="CD53" s="64"/>
      <c r="CE53" s="64"/>
      <c r="CF53" s="17"/>
      <c r="CG53" s="17"/>
      <c r="CH53" s="17" t="s">
        <v>396</v>
      </c>
      <c r="CI53" s="17"/>
      <c r="CJ53" s="17" t="s">
        <v>396</v>
      </c>
      <c r="CK53" s="17" t="s">
        <v>401</v>
      </c>
      <c r="CL53" s="17"/>
      <c r="CM53" s="17"/>
      <c r="CN53" s="17"/>
      <c r="CO53" s="17" t="s">
        <v>1198</v>
      </c>
      <c r="CP53" s="24" t="s">
        <v>1199</v>
      </c>
    </row>
    <row r="54" spans="1:94" ht="66" hidden="1" customHeight="1">
      <c r="A54" s="12" t="s">
        <v>1200</v>
      </c>
      <c r="B54" s="1" t="str">
        <f>_xlfn.XLOOKUP(A:A,'Dados Elevatórias'!D:D,'Dados Elevatórias'!B:B)</f>
        <v>PL-RJB-EAT0738</v>
      </c>
      <c r="C54" s="13" t="s">
        <v>2290</v>
      </c>
      <c r="D54" s="14" t="s">
        <v>1764</v>
      </c>
      <c r="E54" s="15" t="s">
        <v>2291</v>
      </c>
      <c r="F54" s="16" t="s">
        <v>921</v>
      </c>
      <c r="G54" s="16"/>
      <c r="H54" s="14" t="s">
        <v>1783</v>
      </c>
      <c r="I54" s="14" t="s">
        <v>2292</v>
      </c>
      <c r="J54" s="17" t="s">
        <v>444</v>
      </c>
      <c r="K54" s="17">
        <v>1</v>
      </c>
      <c r="L54" s="14" t="s">
        <v>378</v>
      </c>
      <c r="M54" s="17">
        <v>12</v>
      </c>
      <c r="N54" s="17">
        <v>3500</v>
      </c>
      <c r="O54" s="17"/>
      <c r="P54" s="17" t="s">
        <v>2269</v>
      </c>
      <c r="Q54" s="17"/>
      <c r="R54" s="14" t="s">
        <v>1192</v>
      </c>
      <c r="S54" s="17"/>
      <c r="T54" s="17"/>
      <c r="U54" s="14" t="s">
        <v>728</v>
      </c>
      <c r="V54" s="14"/>
      <c r="W54" s="14"/>
      <c r="X54" s="14"/>
      <c r="Y54" s="14"/>
      <c r="Z54" s="14" t="s">
        <v>727</v>
      </c>
      <c r="AA54" s="32">
        <v>30</v>
      </c>
      <c r="AB54" s="19"/>
      <c r="AC54" s="17" t="s">
        <v>433</v>
      </c>
      <c r="AD54" s="17"/>
      <c r="AE54" s="14"/>
      <c r="AF54" s="14"/>
      <c r="AG54" s="14"/>
      <c r="AH54" s="24"/>
      <c r="AI54" s="20"/>
      <c r="AJ54" s="17" t="s">
        <v>698</v>
      </c>
      <c r="AK54" s="17" t="s">
        <v>698</v>
      </c>
      <c r="AL54" s="17"/>
      <c r="AM54" s="17"/>
      <c r="AN54" s="17"/>
      <c r="AO54" s="17"/>
      <c r="AP54" s="21" t="s">
        <v>2293</v>
      </c>
      <c r="AQ54" s="21" t="s">
        <v>2294</v>
      </c>
      <c r="AR54" s="21" t="s">
        <v>1866</v>
      </c>
      <c r="AS54" s="21" t="s">
        <v>2295</v>
      </c>
      <c r="AT54" s="21" t="s">
        <v>1806</v>
      </c>
      <c r="AU54" s="21" t="s">
        <v>2296</v>
      </c>
      <c r="AV54" s="21" t="s">
        <v>2211</v>
      </c>
      <c r="AW54" s="21" t="s">
        <v>2199</v>
      </c>
      <c r="AX54" s="22">
        <v>44960</v>
      </c>
      <c r="AY54" s="13"/>
      <c r="AZ54" s="13"/>
      <c r="BA54" s="13"/>
      <c r="BB54" s="13"/>
      <c r="BC54" s="13"/>
      <c r="BD54" s="13"/>
      <c r="BE54" s="13"/>
      <c r="BF54" s="13"/>
      <c r="BG54" s="13"/>
      <c r="BH54" s="17" t="s">
        <v>671</v>
      </c>
      <c r="BI54" s="17" t="s">
        <v>671</v>
      </c>
      <c r="BJ54" s="17" t="s">
        <v>671</v>
      </c>
      <c r="BK54" s="17" t="s">
        <v>671</v>
      </c>
      <c r="BL54" s="17" t="s">
        <v>671</v>
      </c>
      <c r="BM54" s="17" t="s">
        <v>671</v>
      </c>
      <c r="BN54" s="17" t="s">
        <v>1858</v>
      </c>
      <c r="BO54" s="17"/>
      <c r="BP54" s="17" t="s">
        <v>671</v>
      </c>
      <c r="BQ54" s="17" t="s">
        <v>386</v>
      </c>
      <c r="BR54" s="17" t="s">
        <v>396</v>
      </c>
      <c r="BS54" s="17" t="s">
        <v>386</v>
      </c>
      <c r="BT54" s="17">
        <v>0</v>
      </c>
      <c r="BU54" s="17" t="s">
        <v>2297</v>
      </c>
      <c r="BV54" s="17" t="s">
        <v>671</v>
      </c>
      <c r="BW54" s="14" t="s">
        <v>386</v>
      </c>
      <c r="BX54" s="19" t="s">
        <v>396</v>
      </c>
      <c r="BY54" s="14" t="s">
        <v>386</v>
      </c>
      <c r="BZ54" s="52" t="s">
        <v>386</v>
      </c>
      <c r="CA54" s="52" t="s">
        <v>386</v>
      </c>
      <c r="CB54" s="64" t="s">
        <v>396</v>
      </c>
      <c r="CC54" s="64" t="s">
        <v>594</v>
      </c>
      <c r="CD54" s="64" t="s">
        <v>397</v>
      </c>
      <c r="CE54" s="64"/>
      <c r="CF54" s="17"/>
      <c r="CG54" s="17"/>
      <c r="CH54" s="17" t="s">
        <v>396</v>
      </c>
      <c r="CI54" s="17"/>
      <c r="CJ54" s="17" t="s">
        <v>396</v>
      </c>
      <c r="CK54" s="17" t="s">
        <v>401</v>
      </c>
      <c r="CL54" s="17"/>
      <c r="CM54" s="17"/>
      <c r="CN54" s="17"/>
      <c r="CO54" s="17"/>
      <c r="CP54" s="24"/>
    </row>
    <row r="55" spans="1:94" ht="66" hidden="1" customHeight="1">
      <c r="A55" s="12" t="s">
        <v>2298</v>
      </c>
      <c r="B55" s="1" t="s">
        <v>148</v>
      </c>
      <c r="C55" s="13" t="s">
        <v>2299</v>
      </c>
      <c r="D55" s="14" t="s">
        <v>1764</v>
      </c>
      <c r="E55" s="15" t="s">
        <v>2300</v>
      </c>
      <c r="F55" s="16" t="s">
        <v>1767</v>
      </c>
      <c r="G55" s="16"/>
      <c r="H55" s="14" t="s">
        <v>1767</v>
      </c>
      <c r="I55" s="14" t="s">
        <v>2301</v>
      </c>
      <c r="J55" s="17" t="s">
        <v>377</v>
      </c>
      <c r="K55" s="17">
        <v>1</v>
      </c>
      <c r="L55" s="14" t="s">
        <v>378</v>
      </c>
      <c r="M55" s="17">
        <v>2.5</v>
      </c>
      <c r="N55" s="17" t="s">
        <v>1944</v>
      </c>
      <c r="O55" s="17" t="s">
        <v>1902</v>
      </c>
      <c r="P55" s="17" t="s">
        <v>2302</v>
      </c>
      <c r="Q55" s="17" t="s">
        <v>2303</v>
      </c>
      <c r="R55" s="14" t="s">
        <v>760</v>
      </c>
      <c r="S55" s="17"/>
      <c r="T55" s="17" t="s">
        <v>1930</v>
      </c>
      <c r="U55" s="17" t="s">
        <v>728</v>
      </c>
      <c r="V55" s="17"/>
      <c r="W55" s="14" t="s">
        <v>671</v>
      </c>
      <c r="X55" s="14" t="s">
        <v>671</v>
      </c>
      <c r="Y55" s="14" t="s">
        <v>671</v>
      </c>
      <c r="Z55" s="14" t="s">
        <v>727</v>
      </c>
      <c r="AA55" s="31" t="s">
        <v>2304</v>
      </c>
      <c r="AB55" s="19">
        <v>25</v>
      </c>
      <c r="AC55" s="17" t="s">
        <v>433</v>
      </c>
      <c r="AD55" s="17"/>
      <c r="AE55" s="31">
        <v>400375870</v>
      </c>
      <c r="AF55" s="31">
        <v>8402966</v>
      </c>
      <c r="AG55" s="31"/>
      <c r="AH55" s="24" t="s">
        <v>1250</v>
      </c>
      <c r="AI55" s="20" t="s">
        <v>1251</v>
      </c>
      <c r="AJ55" s="17" t="s">
        <v>489</v>
      </c>
      <c r="AK55" s="17" t="s">
        <v>698</v>
      </c>
      <c r="AL55" s="17"/>
      <c r="AM55" s="17"/>
      <c r="AN55" s="17"/>
      <c r="AO55" s="17"/>
      <c r="AP55" s="13" t="s">
        <v>1906</v>
      </c>
      <c r="AQ55" s="13" t="s">
        <v>2305</v>
      </c>
      <c r="AR55" s="13" t="s">
        <v>2306</v>
      </c>
      <c r="AS55" s="13" t="s">
        <v>2295</v>
      </c>
      <c r="AT55" s="13" t="s">
        <v>2307</v>
      </c>
      <c r="AU55" s="13" t="s">
        <v>2210</v>
      </c>
      <c r="AV55" s="13"/>
      <c r="AW55" s="13" t="s">
        <v>2308</v>
      </c>
      <c r="AX55" s="25">
        <v>44956</v>
      </c>
      <c r="AY55" s="13"/>
      <c r="AZ55" s="13"/>
      <c r="BA55" s="13"/>
      <c r="BB55" s="13"/>
      <c r="BC55" s="13"/>
      <c r="BD55" s="13"/>
      <c r="BE55" s="13"/>
      <c r="BF55" s="13"/>
      <c r="BG55" s="13"/>
      <c r="BH55" s="17" t="s">
        <v>2185</v>
      </c>
      <c r="BI55" s="17" t="s">
        <v>2309</v>
      </c>
      <c r="BJ55" s="17" t="s">
        <v>671</v>
      </c>
      <c r="BK55" s="17" t="s">
        <v>671</v>
      </c>
      <c r="BL55" s="17" t="s">
        <v>671</v>
      </c>
      <c r="BM55" s="17" t="s">
        <v>671</v>
      </c>
      <c r="BN55" s="17" t="s">
        <v>1923</v>
      </c>
      <c r="BO55" s="17"/>
      <c r="BP55" s="17" t="s">
        <v>2310</v>
      </c>
      <c r="BQ55" s="17" t="s">
        <v>386</v>
      </c>
      <c r="BR55" s="17" t="s">
        <v>396</v>
      </c>
      <c r="BS55" s="17" t="s">
        <v>396</v>
      </c>
      <c r="BT55" s="17">
        <v>0</v>
      </c>
      <c r="BU55" s="17" t="s">
        <v>1923</v>
      </c>
      <c r="BV55" s="17" t="s">
        <v>1883</v>
      </c>
      <c r="BW55" s="14" t="s">
        <v>386</v>
      </c>
      <c r="BX55" s="14" t="s">
        <v>386</v>
      </c>
      <c r="BY55" s="19" t="s">
        <v>396</v>
      </c>
      <c r="BZ55" s="52" t="s">
        <v>386</v>
      </c>
      <c r="CA55" s="52" t="s">
        <v>386</v>
      </c>
      <c r="CB55" s="64" t="s">
        <v>396</v>
      </c>
      <c r="CC55" s="64"/>
      <c r="CD55" s="64"/>
      <c r="CE55" s="64"/>
      <c r="CF55" s="17"/>
      <c r="CG55" s="17"/>
      <c r="CH55" s="17" t="s">
        <v>396</v>
      </c>
      <c r="CI55" s="17"/>
      <c r="CJ55" s="17" t="s">
        <v>396</v>
      </c>
      <c r="CK55" s="17" t="s">
        <v>401</v>
      </c>
      <c r="CL55" s="17"/>
      <c r="CM55" s="17"/>
      <c r="CN55" s="17"/>
      <c r="CO55" s="17"/>
      <c r="CP55" s="24" t="s">
        <v>1252</v>
      </c>
    </row>
    <row r="56" spans="1:94" ht="66" hidden="1" customHeight="1">
      <c r="A56" s="12" t="s">
        <v>2311</v>
      </c>
      <c r="B56" s="1" t="s">
        <v>144</v>
      </c>
      <c r="C56" s="13" t="s">
        <v>2312</v>
      </c>
      <c r="D56" s="14" t="s">
        <v>1764</v>
      </c>
      <c r="E56" s="15" t="s">
        <v>2313</v>
      </c>
      <c r="F56" s="16" t="s">
        <v>2314</v>
      </c>
      <c r="G56" s="16"/>
      <c r="H56" s="14" t="s">
        <v>1783</v>
      </c>
      <c r="I56" s="14" t="s">
        <v>2315</v>
      </c>
      <c r="J56" s="17" t="s">
        <v>377</v>
      </c>
      <c r="K56" s="17">
        <v>1</v>
      </c>
      <c r="L56" s="14" t="s">
        <v>378</v>
      </c>
      <c r="M56" s="17">
        <v>30</v>
      </c>
      <c r="N56" s="17">
        <v>3500</v>
      </c>
      <c r="O56" s="17">
        <v>80201046</v>
      </c>
      <c r="P56" s="17" t="s">
        <v>2316</v>
      </c>
      <c r="Q56" s="17"/>
      <c r="R56" s="14" t="s">
        <v>484</v>
      </c>
      <c r="S56" s="17">
        <v>8.74</v>
      </c>
      <c r="T56" s="17">
        <v>222</v>
      </c>
      <c r="U56" s="14" t="s">
        <v>1769</v>
      </c>
      <c r="V56" s="14" t="s">
        <v>396</v>
      </c>
      <c r="W56" s="14" t="s">
        <v>799</v>
      </c>
      <c r="X56" s="14" t="s">
        <v>485</v>
      </c>
      <c r="Y56" s="14" t="s">
        <v>800</v>
      </c>
      <c r="Z56" s="14" t="s">
        <v>486</v>
      </c>
      <c r="AA56" s="18" t="s">
        <v>2317</v>
      </c>
      <c r="AB56" s="19">
        <v>120</v>
      </c>
      <c r="AC56" s="17" t="s">
        <v>433</v>
      </c>
      <c r="AD56" s="17"/>
      <c r="AE56" s="14">
        <v>413341469</v>
      </c>
      <c r="AF56" s="14">
        <v>7596746</v>
      </c>
      <c r="AG56" s="14"/>
      <c r="AH56" s="24" t="s">
        <v>1264</v>
      </c>
      <c r="AI56" s="20" t="s">
        <v>1265</v>
      </c>
      <c r="AJ56" s="17" t="s">
        <v>489</v>
      </c>
      <c r="AK56" s="17" t="s">
        <v>489</v>
      </c>
      <c r="AL56" s="17"/>
      <c r="AM56" s="17"/>
      <c r="AN56" s="17"/>
      <c r="AO56" s="17"/>
      <c r="AP56" s="21" t="s">
        <v>2318</v>
      </c>
      <c r="AQ56" s="21" t="s">
        <v>2319</v>
      </c>
      <c r="AR56" s="21" t="s">
        <v>1778</v>
      </c>
      <c r="AS56" s="21" t="s">
        <v>648</v>
      </c>
      <c r="AT56" s="21" t="s">
        <v>2320</v>
      </c>
      <c r="AU56" s="21" t="s">
        <v>2321</v>
      </c>
      <c r="AV56" s="21" t="s">
        <v>2178</v>
      </c>
      <c r="AW56" s="21" t="s">
        <v>2322</v>
      </c>
      <c r="AX56" s="22">
        <v>44956</v>
      </c>
      <c r="AY56" s="13" t="s">
        <v>2323</v>
      </c>
      <c r="AZ56" s="13" t="s">
        <v>2324</v>
      </c>
      <c r="BA56" s="13">
        <v>14</v>
      </c>
      <c r="BB56" s="13">
        <v>90</v>
      </c>
      <c r="BC56" s="13" t="s">
        <v>2325</v>
      </c>
      <c r="BD56" s="13" t="s">
        <v>2326</v>
      </c>
      <c r="BE56" s="13">
        <v>20</v>
      </c>
      <c r="BF56" s="13">
        <v>130</v>
      </c>
      <c r="BG56" s="25">
        <v>42684</v>
      </c>
      <c r="BH56" s="17" t="s">
        <v>671</v>
      </c>
      <c r="BI56" s="17" t="s">
        <v>671</v>
      </c>
      <c r="BJ56" s="17" t="s">
        <v>2327</v>
      </c>
      <c r="BK56" s="17" t="s">
        <v>671</v>
      </c>
      <c r="BL56" s="17" t="s">
        <v>671</v>
      </c>
      <c r="BM56" s="17" t="s">
        <v>671</v>
      </c>
      <c r="BN56" s="17" t="s">
        <v>2328</v>
      </c>
      <c r="BO56" s="17"/>
      <c r="BP56" s="17" t="s">
        <v>671</v>
      </c>
      <c r="BQ56" s="17" t="s">
        <v>386</v>
      </c>
      <c r="BR56" s="17" t="s">
        <v>396</v>
      </c>
      <c r="BS56" s="17" t="s">
        <v>386</v>
      </c>
      <c r="BT56" s="17">
        <v>0</v>
      </c>
      <c r="BU56" s="17" t="s">
        <v>2328</v>
      </c>
      <c r="BV56" s="17" t="s">
        <v>1883</v>
      </c>
      <c r="BW56" s="14" t="s">
        <v>386</v>
      </c>
      <c r="BX56" s="19" t="s">
        <v>396</v>
      </c>
      <c r="BY56" s="14" t="s">
        <v>386</v>
      </c>
      <c r="BZ56" s="52" t="s">
        <v>386</v>
      </c>
      <c r="CA56" s="52" t="s">
        <v>386</v>
      </c>
      <c r="CB56" s="64" t="s">
        <v>396</v>
      </c>
      <c r="CC56" s="64"/>
      <c r="CD56" s="64"/>
      <c r="CE56" s="64"/>
      <c r="CF56" s="17"/>
      <c r="CG56" s="17"/>
      <c r="CH56" s="17" t="s">
        <v>396</v>
      </c>
      <c r="CI56" s="17"/>
      <c r="CJ56" s="17" t="s">
        <v>396</v>
      </c>
      <c r="CK56" s="17" t="s">
        <v>401</v>
      </c>
      <c r="CL56" s="17"/>
      <c r="CM56" s="17"/>
      <c r="CN56" s="17"/>
      <c r="CO56" s="17"/>
      <c r="CP56" s="24" t="s">
        <v>1266</v>
      </c>
    </row>
    <row r="57" spans="1:94" ht="66" hidden="1" customHeight="1">
      <c r="A57" s="12" t="s">
        <v>1253</v>
      </c>
      <c r="B57" s="1" t="str">
        <f>_xlfn.XLOOKUP(A:A,'Dados Elevatórias'!D:D,'Dados Elevatórias'!B:B)</f>
        <v>PL-RJB-EAT0737</v>
      </c>
      <c r="C57" s="13" t="s">
        <v>2329</v>
      </c>
      <c r="D57" s="14" t="s">
        <v>1764</v>
      </c>
      <c r="E57" s="15" t="s">
        <v>2330</v>
      </c>
      <c r="F57" s="16" t="s">
        <v>1370</v>
      </c>
      <c r="G57" s="16"/>
      <c r="H57" s="14" t="s">
        <v>443</v>
      </c>
      <c r="I57" s="16" t="s">
        <v>2331</v>
      </c>
      <c r="J57" s="27" t="s">
        <v>444</v>
      </c>
      <c r="K57" s="17">
        <v>1</v>
      </c>
      <c r="L57" s="16" t="s">
        <v>378</v>
      </c>
      <c r="M57" s="27">
        <v>20</v>
      </c>
      <c r="N57" s="27">
        <v>3540</v>
      </c>
      <c r="O57" s="27" t="s">
        <v>1902</v>
      </c>
      <c r="P57" s="27" t="s">
        <v>2332</v>
      </c>
      <c r="Q57" s="27"/>
      <c r="R57" s="16" t="s">
        <v>484</v>
      </c>
      <c r="S57" s="17"/>
      <c r="T57" s="17"/>
      <c r="U57" s="14" t="s">
        <v>455</v>
      </c>
      <c r="V57" s="14"/>
      <c r="W57" s="14"/>
      <c r="X57" s="14"/>
      <c r="Y57" s="14"/>
      <c r="Z57" s="14" t="s">
        <v>1820</v>
      </c>
      <c r="AA57" s="18"/>
      <c r="AB57" s="19"/>
      <c r="AC57" s="17" t="s">
        <v>433</v>
      </c>
      <c r="AD57" s="17"/>
      <c r="AE57" s="14"/>
      <c r="AF57" s="14"/>
      <c r="AG57" s="14"/>
      <c r="AH57" s="24"/>
      <c r="AI57" s="20"/>
      <c r="AJ57" s="17" t="s">
        <v>669</v>
      </c>
      <c r="AK57" s="17" t="s">
        <v>669</v>
      </c>
      <c r="AL57" s="17"/>
      <c r="AM57" s="17"/>
      <c r="AN57" s="17"/>
      <c r="AO57" s="17"/>
      <c r="AP57" s="21" t="s">
        <v>1906</v>
      </c>
      <c r="AQ57" s="21" t="s">
        <v>2333</v>
      </c>
      <c r="AR57" s="21" t="s">
        <v>2334</v>
      </c>
      <c r="AS57" s="21" t="s">
        <v>2015</v>
      </c>
      <c r="AT57" s="21" t="s">
        <v>2320</v>
      </c>
      <c r="AU57" s="21" t="s">
        <v>2335</v>
      </c>
      <c r="AV57" s="21"/>
      <c r="AW57" s="21" t="s">
        <v>2336</v>
      </c>
      <c r="AX57" s="22">
        <v>44958</v>
      </c>
      <c r="AY57" s="13"/>
      <c r="AZ57" s="13"/>
      <c r="BA57" s="13"/>
      <c r="BB57" s="13"/>
      <c r="BC57" s="13"/>
      <c r="BD57" s="13"/>
      <c r="BE57" s="13"/>
      <c r="BF57" s="13"/>
      <c r="BG57" s="13"/>
      <c r="BH57" s="17" t="s">
        <v>2185</v>
      </c>
      <c r="BI57" s="17" t="s">
        <v>2056</v>
      </c>
      <c r="BJ57" s="17"/>
      <c r="BK57" s="17"/>
      <c r="BL57" s="17"/>
      <c r="BM57" s="17"/>
      <c r="BN57" s="17" t="s">
        <v>1611</v>
      </c>
      <c r="BO57" s="17"/>
      <c r="BP57" s="17" t="s">
        <v>1881</v>
      </c>
      <c r="BQ57" s="17" t="s">
        <v>396</v>
      </c>
      <c r="BR57" s="17" t="s">
        <v>396</v>
      </c>
      <c r="BS57" s="17" t="s">
        <v>396</v>
      </c>
      <c r="BT57" s="17">
        <v>0</v>
      </c>
      <c r="BU57" s="17" t="s">
        <v>1611</v>
      </c>
      <c r="BV57" s="17" t="s">
        <v>1883</v>
      </c>
      <c r="BW57" s="14" t="s">
        <v>386</v>
      </c>
      <c r="BX57" s="14" t="s">
        <v>386</v>
      </c>
      <c r="BY57" s="14" t="s">
        <v>396</v>
      </c>
      <c r="BZ57" s="64" t="s">
        <v>396</v>
      </c>
      <c r="CA57" s="52" t="s">
        <v>386</v>
      </c>
      <c r="CB57" s="64" t="s">
        <v>396</v>
      </c>
      <c r="CC57" s="64"/>
      <c r="CD57" s="64"/>
      <c r="CE57" s="64"/>
      <c r="CF57" s="17"/>
      <c r="CG57" s="17"/>
      <c r="CH57" s="17" t="s">
        <v>396</v>
      </c>
      <c r="CI57" s="17"/>
      <c r="CJ57" s="17" t="s">
        <v>396</v>
      </c>
      <c r="CK57" s="17" t="s">
        <v>401</v>
      </c>
      <c r="CL57" s="17"/>
      <c r="CM57" s="17"/>
      <c r="CN57" s="17"/>
      <c r="CO57" s="17"/>
      <c r="CP57" s="24"/>
    </row>
    <row r="58" spans="1:94" ht="66" hidden="1" customHeight="1">
      <c r="A58" s="12" t="s">
        <v>1267</v>
      </c>
      <c r="B58" s="1" t="str">
        <f>_xlfn.XLOOKUP(A:A,'Dados Elevatórias'!D:D,'Dados Elevatórias'!B:B)</f>
        <v>PL-RJB-EAT0735</v>
      </c>
      <c r="C58" s="13" t="s">
        <v>2337</v>
      </c>
      <c r="D58" s="14" t="s">
        <v>1764</v>
      </c>
      <c r="E58" s="15" t="s">
        <v>1274</v>
      </c>
      <c r="F58" s="16" t="s">
        <v>2338</v>
      </c>
      <c r="G58" s="16"/>
      <c r="H58" s="14" t="s">
        <v>443</v>
      </c>
      <c r="I58" s="14" t="s">
        <v>2339</v>
      </c>
      <c r="J58" s="17" t="s">
        <v>377</v>
      </c>
      <c r="K58" s="17">
        <v>1</v>
      </c>
      <c r="L58" s="14" t="s">
        <v>378</v>
      </c>
      <c r="M58" s="17">
        <v>15</v>
      </c>
      <c r="N58" s="17">
        <v>3500</v>
      </c>
      <c r="O58" s="17" t="s">
        <v>2340</v>
      </c>
      <c r="P58" s="17" t="s">
        <v>2341</v>
      </c>
      <c r="Q58" s="17" t="s">
        <v>1272</v>
      </c>
      <c r="R58" s="14" t="s">
        <v>1357</v>
      </c>
      <c r="S58" s="17">
        <v>15</v>
      </c>
      <c r="T58" s="17"/>
      <c r="U58" s="14" t="s">
        <v>455</v>
      </c>
      <c r="V58" s="14"/>
      <c r="W58" s="14"/>
      <c r="X58" s="14"/>
      <c r="Y58" s="14"/>
      <c r="Z58" s="14" t="s">
        <v>1820</v>
      </c>
      <c r="AA58" s="18"/>
      <c r="AB58" s="19"/>
      <c r="AC58" s="17" t="s">
        <v>433</v>
      </c>
      <c r="AD58" s="17"/>
      <c r="AE58" s="14">
        <v>430097071</v>
      </c>
      <c r="AF58" s="14">
        <v>8576702</v>
      </c>
      <c r="AG58" s="14"/>
      <c r="AH58" s="24" t="s">
        <v>1273</v>
      </c>
      <c r="AI58" s="20" t="s">
        <v>1274</v>
      </c>
      <c r="AJ58" s="17" t="s">
        <v>669</v>
      </c>
      <c r="AK58" s="17" t="s">
        <v>669</v>
      </c>
      <c r="AL58" s="17"/>
      <c r="AM58" s="17"/>
      <c r="AN58" s="17"/>
      <c r="AO58" s="17"/>
      <c r="AP58" s="21" t="s">
        <v>2342</v>
      </c>
      <c r="AQ58" s="21" t="s">
        <v>2343</v>
      </c>
      <c r="AR58" s="21" t="s">
        <v>1954</v>
      </c>
      <c r="AS58" s="21" t="s">
        <v>2199</v>
      </c>
      <c r="AT58" s="21"/>
      <c r="AU58" s="21"/>
      <c r="AV58" s="21"/>
      <c r="AW58" s="21"/>
      <c r="AX58" s="22">
        <v>44954</v>
      </c>
      <c r="AY58" s="13"/>
      <c r="AZ58" s="13"/>
      <c r="BA58" s="13"/>
      <c r="BB58" s="13"/>
      <c r="BC58" s="13"/>
      <c r="BD58" s="13"/>
      <c r="BE58" s="13"/>
      <c r="BF58" s="13"/>
      <c r="BG58" s="13"/>
      <c r="BH58" s="17" t="s">
        <v>2185</v>
      </c>
      <c r="BI58" s="17" t="s">
        <v>2056</v>
      </c>
      <c r="BJ58" s="17" t="s">
        <v>671</v>
      </c>
      <c r="BK58" s="17" t="s">
        <v>671</v>
      </c>
      <c r="BL58" s="17" t="s">
        <v>671</v>
      </c>
      <c r="BM58" s="17" t="s">
        <v>671</v>
      </c>
      <c r="BN58" s="17" t="s">
        <v>671</v>
      </c>
      <c r="BO58" s="17" t="s">
        <v>2093</v>
      </c>
      <c r="BP58" s="17" t="s">
        <v>2093</v>
      </c>
      <c r="BQ58" s="17" t="s">
        <v>386</v>
      </c>
      <c r="BR58" s="17" t="s">
        <v>386</v>
      </c>
      <c r="BS58" s="17" t="s">
        <v>386</v>
      </c>
      <c r="BT58" s="17" t="s">
        <v>671</v>
      </c>
      <c r="BU58" s="17" t="s">
        <v>671</v>
      </c>
      <c r="BV58" s="17" t="s">
        <v>1883</v>
      </c>
      <c r="BW58" s="14" t="s">
        <v>386</v>
      </c>
      <c r="BX58" s="14" t="s">
        <v>386</v>
      </c>
      <c r="BY58" s="19" t="s">
        <v>396</v>
      </c>
      <c r="BZ58" s="52" t="s">
        <v>386</v>
      </c>
      <c r="CA58" s="52" t="s">
        <v>386</v>
      </c>
      <c r="CB58" s="64" t="s">
        <v>396</v>
      </c>
      <c r="CC58" s="64"/>
      <c r="CD58" s="64"/>
      <c r="CE58" s="64"/>
      <c r="CF58" s="17"/>
      <c r="CG58" s="17"/>
      <c r="CH58" s="17" t="s">
        <v>671</v>
      </c>
      <c r="CI58" s="17" t="s">
        <v>671</v>
      </c>
      <c r="CJ58" s="17" t="s">
        <v>671</v>
      </c>
      <c r="CK58" s="17" t="s">
        <v>401</v>
      </c>
      <c r="CL58" s="17"/>
      <c r="CM58" s="17"/>
      <c r="CN58" s="17"/>
      <c r="CO58" s="17"/>
      <c r="CP58" s="24"/>
    </row>
    <row r="59" spans="1:94" ht="66" hidden="1" customHeight="1">
      <c r="A59" s="12" t="s">
        <v>1275</v>
      </c>
      <c r="B59" s="1" t="str">
        <f>_xlfn.XLOOKUP(A:A,'Dados Elevatórias'!D:D,'Dados Elevatórias'!B:B)</f>
        <v>PL-RJB-EAT0022</v>
      </c>
      <c r="C59" s="13" t="s">
        <v>2344</v>
      </c>
      <c r="D59" s="14" t="s">
        <v>1764</v>
      </c>
      <c r="E59" s="15" t="s">
        <v>2345</v>
      </c>
      <c r="F59" s="16" t="s">
        <v>1284</v>
      </c>
      <c r="G59" s="16"/>
      <c r="H59" s="14" t="s">
        <v>1783</v>
      </c>
      <c r="I59" s="14" t="s">
        <v>2346</v>
      </c>
      <c r="J59" s="14" t="s">
        <v>377</v>
      </c>
      <c r="K59" s="17">
        <v>1</v>
      </c>
      <c r="L59" s="14" t="s">
        <v>378</v>
      </c>
      <c r="M59" s="17">
        <v>3</v>
      </c>
      <c r="N59" s="17">
        <v>3510</v>
      </c>
      <c r="O59" s="17"/>
      <c r="P59" s="17" t="s">
        <v>2347</v>
      </c>
      <c r="Q59" s="17"/>
      <c r="R59" s="14" t="s">
        <v>1192</v>
      </c>
      <c r="S59" s="17" t="s">
        <v>662</v>
      </c>
      <c r="T59" s="17" t="s">
        <v>662</v>
      </c>
      <c r="U59" s="17" t="s">
        <v>2348</v>
      </c>
      <c r="V59" s="17"/>
      <c r="W59" s="14" t="s">
        <v>671</v>
      </c>
      <c r="X59" s="14" t="s">
        <v>671</v>
      </c>
      <c r="Y59" s="14" t="s">
        <v>671</v>
      </c>
      <c r="Z59" s="14" t="s">
        <v>727</v>
      </c>
      <c r="AA59" s="18">
        <v>40.1</v>
      </c>
      <c r="AB59" s="19">
        <v>25</v>
      </c>
      <c r="AC59" s="17" t="s">
        <v>433</v>
      </c>
      <c r="AD59" s="17"/>
      <c r="AE59" s="14">
        <v>430054507</v>
      </c>
      <c r="AF59" s="14">
        <v>9464391</v>
      </c>
      <c r="AG59" s="14"/>
      <c r="AH59" s="24"/>
      <c r="AI59" s="29"/>
      <c r="AJ59" s="17" t="s">
        <v>988</v>
      </c>
      <c r="AK59" s="17" t="s">
        <v>489</v>
      </c>
      <c r="AL59" s="17"/>
      <c r="AM59" s="17"/>
      <c r="AN59" s="17"/>
      <c r="AO59" s="17"/>
      <c r="AP59" s="21" t="s">
        <v>2349</v>
      </c>
      <c r="AQ59" s="21" t="s">
        <v>2350</v>
      </c>
      <c r="AR59" s="21" t="s">
        <v>1790</v>
      </c>
      <c r="AS59" s="21" t="s">
        <v>1791</v>
      </c>
      <c r="AT59" s="21" t="s">
        <v>2351</v>
      </c>
      <c r="AU59" s="21" t="s">
        <v>2352</v>
      </c>
      <c r="AV59" s="21"/>
      <c r="AW59" s="21" t="s">
        <v>2015</v>
      </c>
      <c r="AX59" s="22">
        <v>44957</v>
      </c>
      <c r="AY59" s="21" t="s">
        <v>2353</v>
      </c>
      <c r="AZ59" s="21" t="s">
        <v>2354</v>
      </c>
      <c r="BA59" s="21">
        <v>30</v>
      </c>
      <c r="BB59" s="21">
        <v>4</v>
      </c>
      <c r="BC59" s="21" t="s">
        <v>2355</v>
      </c>
      <c r="BD59" s="21" t="s">
        <v>2356</v>
      </c>
      <c r="BE59" s="21">
        <v>40</v>
      </c>
      <c r="BF59" s="21">
        <v>8</v>
      </c>
      <c r="BG59" s="22">
        <v>43280</v>
      </c>
      <c r="BH59" s="17" t="s">
        <v>2185</v>
      </c>
      <c r="BI59" s="17" t="s">
        <v>2357</v>
      </c>
      <c r="BJ59" s="17" t="s">
        <v>671</v>
      </c>
      <c r="BK59" s="17" t="s">
        <v>671</v>
      </c>
      <c r="BL59" s="17" t="s">
        <v>671</v>
      </c>
      <c r="BM59" s="17" t="s">
        <v>671</v>
      </c>
      <c r="BN59" s="17" t="s">
        <v>2159</v>
      </c>
      <c r="BO59" s="17"/>
      <c r="BP59" s="17" t="s">
        <v>2358</v>
      </c>
      <c r="BQ59" s="17" t="s">
        <v>386</v>
      </c>
      <c r="BR59" s="17" t="s">
        <v>396</v>
      </c>
      <c r="BS59" s="17" t="s">
        <v>396</v>
      </c>
      <c r="BT59" s="17">
        <v>0</v>
      </c>
      <c r="BU59" s="17" t="s">
        <v>2159</v>
      </c>
      <c r="BV59" s="17" t="s">
        <v>1883</v>
      </c>
      <c r="BW59" s="14" t="s">
        <v>386</v>
      </c>
      <c r="BX59" s="19" t="s">
        <v>396</v>
      </c>
      <c r="BY59" s="14" t="s">
        <v>386</v>
      </c>
      <c r="BZ59" s="52" t="s">
        <v>386</v>
      </c>
      <c r="CA59" s="52" t="s">
        <v>386</v>
      </c>
      <c r="CB59" s="64" t="s">
        <v>396</v>
      </c>
      <c r="CC59" s="64"/>
      <c r="CD59" s="64"/>
      <c r="CE59" s="64"/>
      <c r="CF59" s="17"/>
      <c r="CG59" s="17"/>
      <c r="CH59" s="17" t="s">
        <v>396</v>
      </c>
      <c r="CI59" s="17"/>
      <c r="CJ59" s="17" t="s">
        <v>396</v>
      </c>
      <c r="CK59" s="17" t="s">
        <v>401</v>
      </c>
      <c r="CL59" s="17"/>
      <c r="CM59" s="17"/>
      <c r="CN59" s="17"/>
      <c r="CO59" s="17" t="s">
        <v>1284</v>
      </c>
      <c r="CP59" s="24"/>
    </row>
    <row r="60" spans="1:94" ht="66" hidden="1" customHeight="1">
      <c r="A60" s="12" t="s">
        <v>735</v>
      </c>
      <c r="B60" s="1" t="str">
        <f>_xlfn.XLOOKUP(A:A,'Dados Elevatórias'!D:D,'Dados Elevatórias'!B:B)</f>
        <v>PL-RJB-EAT0050</v>
      </c>
      <c r="C60" s="13" t="s">
        <v>2359</v>
      </c>
      <c r="D60" s="14" t="s">
        <v>1764</v>
      </c>
      <c r="E60" s="15" t="s">
        <v>2360</v>
      </c>
      <c r="F60" s="16" t="s">
        <v>2361</v>
      </c>
      <c r="G60" s="16"/>
      <c r="H60" s="14" t="s">
        <v>1767</v>
      </c>
      <c r="I60" s="14" t="s">
        <v>2362</v>
      </c>
      <c r="J60" s="17" t="s">
        <v>444</v>
      </c>
      <c r="K60" s="17">
        <v>1</v>
      </c>
      <c r="L60" s="14" t="s">
        <v>378</v>
      </c>
      <c r="M60" s="17">
        <v>12.5</v>
      </c>
      <c r="N60" s="17">
        <v>3500</v>
      </c>
      <c r="O60" s="17"/>
      <c r="P60" s="17" t="s">
        <v>2175</v>
      </c>
      <c r="Q60" s="17"/>
      <c r="R60" s="14" t="s">
        <v>1192</v>
      </c>
      <c r="S60" s="17"/>
      <c r="T60" s="17" t="s">
        <v>1930</v>
      </c>
      <c r="U60" s="17" t="s">
        <v>728</v>
      </c>
      <c r="V60" s="17"/>
      <c r="W60" s="14" t="s">
        <v>671</v>
      </c>
      <c r="X60" s="14" t="s">
        <v>671</v>
      </c>
      <c r="Y60" s="14" t="s">
        <v>671</v>
      </c>
      <c r="Z60" s="14" t="s">
        <v>727</v>
      </c>
      <c r="AA60" s="31">
        <v>30.61</v>
      </c>
      <c r="AB60" s="19">
        <v>55</v>
      </c>
      <c r="AC60" s="17" t="s">
        <v>433</v>
      </c>
      <c r="AD60" s="17"/>
      <c r="AE60" s="14">
        <v>414658235</v>
      </c>
      <c r="AF60" s="14">
        <v>5411350</v>
      </c>
      <c r="AG60" s="14"/>
      <c r="AH60" s="24" t="s">
        <v>1286</v>
      </c>
      <c r="AI60" s="20" t="s">
        <v>1287</v>
      </c>
      <c r="AJ60" s="17" t="s">
        <v>489</v>
      </c>
      <c r="AK60" s="17" t="s">
        <v>489</v>
      </c>
      <c r="AL60" s="17"/>
      <c r="AM60" s="17"/>
      <c r="AN60" s="17"/>
      <c r="AO60" s="17"/>
      <c r="AP60" s="21" t="s">
        <v>2363</v>
      </c>
      <c r="AQ60" s="21" t="s">
        <v>2054</v>
      </c>
      <c r="AR60" s="21" t="s">
        <v>1850</v>
      </c>
      <c r="AS60" s="21" t="s">
        <v>1934</v>
      </c>
      <c r="AT60" s="21" t="s">
        <v>2364</v>
      </c>
      <c r="AU60" s="21"/>
      <c r="AV60" s="21"/>
      <c r="AW60" s="21" t="s">
        <v>648</v>
      </c>
      <c r="AX60" s="22">
        <v>44962</v>
      </c>
      <c r="AY60" s="13" t="s">
        <v>2365</v>
      </c>
      <c r="AZ60" s="13" t="s">
        <v>2366</v>
      </c>
      <c r="BA60" s="13">
        <v>13</v>
      </c>
      <c r="BB60" s="13">
        <v>42</v>
      </c>
      <c r="BC60" s="13" t="s">
        <v>2367</v>
      </c>
      <c r="BD60" s="13" t="s">
        <v>2368</v>
      </c>
      <c r="BE60" s="13">
        <v>17</v>
      </c>
      <c r="BF60" s="13">
        <v>95</v>
      </c>
      <c r="BG60" s="25">
        <v>42769</v>
      </c>
      <c r="BH60" s="17" t="s">
        <v>2185</v>
      </c>
      <c r="BI60" s="17" t="s">
        <v>2056</v>
      </c>
      <c r="BJ60" s="17" t="s">
        <v>671</v>
      </c>
      <c r="BK60" s="17" t="s">
        <v>671</v>
      </c>
      <c r="BL60" s="17" t="s">
        <v>671</v>
      </c>
      <c r="BM60" s="17" t="s">
        <v>671</v>
      </c>
      <c r="BN60" s="17" t="s">
        <v>1793</v>
      </c>
      <c r="BO60" s="17"/>
      <c r="BP60" s="17" t="s">
        <v>1813</v>
      </c>
      <c r="BQ60" s="17" t="s">
        <v>386</v>
      </c>
      <c r="BR60" s="17" t="s">
        <v>396</v>
      </c>
      <c r="BS60" s="17" t="s">
        <v>386</v>
      </c>
      <c r="BT60" s="17">
        <v>0</v>
      </c>
      <c r="BU60" s="17" t="s">
        <v>1793</v>
      </c>
      <c r="BV60" s="17" t="s">
        <v>1883</v>
      </c>
      <c r="BW60" s="14" t="s">
        <v>386</v>
      </c>
      <c r="BX60" s="14" t="s">
        <v>386</v>
      </c>
      <c r="BY60" s="19" t="s">
        <v>396</v>
      </c>
      <c r="BZ60" s="52" t="s">
        <v>386</v>
      </c>
      <c r="CA60" s="52" t="s">
        <v>386</v>
      </c>
      <c r="CB60" s="64" t="s">
        <v>396</v>
      </c>
      <c r="CC60" s="64"/>
      <c r="CD60" s="64"/>
      <c r="CE60" s="64"/>
      <c r="CF60" s="17"/>
      <c r="CG60" s="17"/>
      <c r="CH60" s="17" t="s">
        <v>396</v>
      </c>
      <c r="CI60" s="17"/>
      <c r="CJ60" s="17" t="s">
        <v>396</v>
      </c>
      <c r="CK60" s="17" t="s">
        <v>401</v>
      </c>
      <c r="CL60" s="17"/>
      <c r="CM60" s="17"/>
      <c r="CN60" s="17"/>
      <c r="CO60" s="17" t="s">
        <v>735</v>
      </c>
      <c r="CP60" s="24" t="s">
        <v>1288</v>
      </c>
    </row>
    <row r="61" spans="1:94" ht="66" customHeight="1">
      <c r="A61" s="12" t="s">
        <v>1289</v>
      </c>
      <c r="B61" s="1" t="str">
        <f>_xlfn.XLOOKUP(A:A,'Dados Elevatórias'!D:D,'Dados Elevatórias'!B:B)</f>
        <v>PL-RJB-EAT0044</v>
      </c>
      <c r="C61" s="13" t="s">
        <v>2369</v>
      </c>
      <c r="D61" s="14" t="s">
        <v>1764</v>
      </c>
      <c r="E61" s="34" t="s">
        <v>1290</v>
      </c>
      <c r="F61" s="16" t="s">
        <v>2370</v>
      </c>
      <c r="G61" s="16"/>
      <c r="H61" s="14" t="s">
        <v>1783</v>
      </c>
      <c r="I61" s="14" t="s">
        <v>2371</v>
      </c>
      <c r="J61" s="17" t="s">
        <v>377</v>
      </c>
      <c r="K61" s="17">
        <v>1</v>
      </c>
      <c r="L61" s="14" t="s">
        <v>378</v>
      </c>
      <c r="M61" s="17">
        <v>15</v>
      </c>
      <c r="N61" s="17">
        <v>3500</v>
      </c>
      <c r="O61" s="17">
        <v>60201324</v>
      </c>
      <c r="P61" s="17" t="s">
        <v>1912</v>
      </c>
      <c r="Q61" s="17"/>
      <c r="R61" s="14" t="s">
        <v>484</v>
      </c>
      <c r="S61" s="17">
        <v>5.67</v>
      </c>
      <c r="T61" s="17">
        <v>144.02000000000001</v>
      </c>
      <c r="U61" s="14" t="s">
        <v>1769</v>
      </c>
      <c r="V61" s="14" t="s">
        <v>386</v>
      </c>
      <c r="W61" s="14" t="s">
        <v>799</v>
      </c>
      <c r="X61" s="14" t="s">
        <v>485</v>
      </c>
      <c r="Y61" s="14" t="s">
        <v>800</v>
      </c>
      <c r="Z61" s="14" t="s">
        <v>486</v>
      </c>
      <c r="AA61" s="18">
        <v>65</v>
      </c>
      <c r="AB61" s="19">
        <v>50</v>
      </c>
      <c r="AC61" s="17" t="s">
        <v>433</v>
      </c>
      <c r="AD61" s="17"/>
      <c r="AE61" s="14">
        <v>412957699</v>
      </c>
      <c r="AF61" s="14">
        <v>5516825</v>
      </c>
      <c r="AG61" s="14"/>
      <c r="AH61" s="24" t="s">
        <v>1295</v>
      </c>
      <c r="AI61" s="20" t="s">
        <v>1296</v>
      </c>
      <c r="AJ61" s="17" t="s">
        <v>489</v>
      </c>
      <c r="AK61" s="17" t="s">
        <v>489</v>
      </c>
      <c r="AL61" s="17"/>
      <c r="AM61" s="17"/>
      <c r="AN61" s="17"/>
      <c r="AO61" s="17"/>
      <c r="AP61" s="21" t="s">
        <v>2372</v>
      </c>
      <c r="AQ61" s="21" t="s">
        <v>2373</v>
      </c>
      <c r="AR61" s="21" t="s">
        <v>768</v>
      </c>
      <c r="AS61" s="21" t="s">
        <v>2002</v>
      </c>
      <c r="AT61" s="21" t="s">
        <v>2374</v>
      </c>
      <c r="AU61" s="21"/>
      <c r="AV61" s="21"/>
      <c r="AW61" s="21"/>
      <c r="AX61" s="22">
        <v>44943</v>
      </c>
      <c r="AY61" s="13" t="s">
        <v>2375</v>
      </c>
      <c r="AZ61" s="13" t="s">
        <v>2376</v>
      </c>
      <c r="BA61" s="13"/>
      <c r="BB61" s="13"/>
      <c r="BC61" s="13"/>
      <c r="BD61" s="13"/>
      <c r="BE61" s="13"/>
      <c r="BF61" s="13"/>
      <c r="BG61" s="25">
        <v>42802</v>
      </c>
      <c r="BH61" s="17" t="s">
        <v>671</v>
      </c>
      <c r="BI61" s="17" t="s">
        <v>671</v>
      </c>
      <c r="BJ61" s="17" t="s">
        <v>671</v>
      </c>
      <c r="BK61" s="17" t="s">
        <v>671</v>
      </c>
      <c r="BL61" s="17" t="s">
        <v>671</v>
      </c>
      <c r="BM61" s="17" t="s">
        <v>671</v>
      </c>
      <c r="BN61" s="17" t="s">
        <v>1793</v>
      </c>
      <c r="BO61" s="17"/>
      <c r="BP61" s="17" t="s">
        <v>671</v>
      </c>
      <c r="BQ61" s="17" t="s">
        <v>386</v>
      </c>
      <c r="BR61" s="17" t="s">
        <v>396</v>
      </c>
      <c r="BS61" s="17" t="s">
        <v>396</v>
      </c>
      <c r="BT61" s="17">
        <v>0</v>
      </c>
      <c r="BU61" s="17" t="s">
        <v>1793</v>
      </c>
      <c r="BV61" s="17" t="s">
        <v>1883</v>
      </c>
      <c r="BW61" s="14" t="s">
        <v>386</v>
      </c>
      <c r="BX61" s="19" t="s">
        <v>396</v>
      </c>
      <c r="BY61" s="14" t="s">
        <v>386</v>
      </c>
      <c r="BZ61" s="52" t="s">
        <v>386</v>
      </c>
      <c r="CA61" s="52" t="s">
        <v>386</v>
      </c>
      <c r="CB61" s="64" t="s">
        <v>396</v>
      </c>
      <c r="CC61" s="64"/>
      <c r="CD61" s="64"/>
      <c r="CE61" s="64"/>
      <c r="CF61" s="17"/>
      <c r="CG61" s="17"/>
      <c r="CH61" s="17" t="s">
        <v>396</v>
      </c>
      <c r="CI61" s="17"/>
      <c r="CJ61" s="17" t="s">
        <v>396</v>
      </c>
      <c r="CK61" s="17" t="s">
        <v>401</v>
      </c>
      <c r="CL61" s="17"/>
      <c r="CM61" s="17"/>
      <c r="CN61" s="17"/>
      <c r="CO61" s="17"/>
      <c r="CP61" s="24" t="s">
        <v>1297</v>
      </c>
    </row>
    <row r="62" spans="1:94" ht="66" hidden="1" customHeight="1">
      <c r="A62" s="12" t="s">
        <v>1298</v>
      </c>
      <c r="B62" s="1" t="str">
        <f>_xlfn.XLOOKUP(A:A,'Dados Elevatórias'!D:D,'Dados Elevatórias'!B:B)</f>
        <v>PL-RJB-EAT0733</v>
      </c>
      <c r="C62" s="13" t="s">
        <v>2377</v>
      </c>
      <c r="D62" s="14" t="s">
        <v>1764</v>
      </c>
      <c r="E62" s="15" t="s">
        <v>2378</v>
      </c>
      <c r="F62" s="27" t="s">
        <v>2379</v>
      </c>
      <c r="G62" s="27"/>
      <c r="H62" s="14" t="s">
        <v>1783</v>
      </c>
      <c r="I62" s="14" t="s">
        <v>2079</v>
      </c>
      <c r="J62" s="17" t="s">
        <v>444</v>
      </c>
      <c r="K62" s="17">
        <v>1</v>
      </c>
      <c r="L62" s="14" t="s">
        <v>378</v>
      </c>
      <c r="M62" s="17">
        <v>5</v>
      </c>
      <c r="N62" s="17">
        <v>1720</v>
      </c>
      <c r="O62" s="17" t="s">
        <v>2380</v>
      </c>
      <c r="P62" s="17" t="s">
        <v>1846</v>
      </c>
      <c r="Q62" s="17" t="s">
        <v>2381</v>
      </c>
      <c r="R62" s="14" t="s">
        <v>484</v>
      </c>
      <c r="S62" s="17">
        <v>7.1</v>
      </c>
      <c r="T62" s="17">
        <v>180.34</v>
      </c>
      <c r="U62" s="14" t="s">
        <v>1769</v>
      </c>
      <c r="V62" s="14" t="s">
        <v>396</v>
      </c>
      <c r="W62" s="14" t="s">
        <v>799</v>
      </c>
      <c r="X62" s="14" t="s">
        <v>485</v>
      </c>
      <c r="Y62" s="14" t="s">
        <v>800</v>
      </c>
      <c r="Z62" s="14" t="s">
        <v>486</v>
      </c>
      <c r="AA62" s="18"/>
      <c r="AB62" s="19">
        <v>25</v>
      </c>
      <c r="AC62" s="17" t="s">
        <v>433</v>
      </c>
      <c r="AD62" s="17"/>
      <c r="AE62" s="14">
        <v>420398927</v>
      </c>
      <c r="AF62" s="14">
        <v>8585236</v>
      </c>
      <c r="AG62" s="14"/>
      <c r="AH62" s="24" t="s">
        <v>1306</v>
      </c>
      <c r="AI62" s="20" t="s">
        <v>1307</v>
      </c>
      <c r="AJ62" s="17"/>
      <c r="AK62" s="17"/>
      <c r="AL62" s="17"/>
      <c r="AM62" s="17"/>
      <c r="AN62" s="17"/>
      <c r="AO62" s="17"/>
      <c r="AP62" s="21" t="s">
        <v>2382</v>
      </c>
      <c r="AQ62" s="21" t="s">
        <v>2383</v>
      </c>
      <c r="AR62" s="21" t="s">
        <v>1804</v>
      </c>
      <c r="AS62" s="21" t="s">
        <v>2384</v>
      </c>
      <c r="AT62" s="21"/>
      <c r="AU62" s="21"/>
      <c r="AV62" s="21"/>
      <c r="AW62" s="21"/>
      <c r="AX62" s="22">
        <v>44956</v>
      </c>
      <c r="AY62" s="13"/>
      <c r="AZ62" s="25">
        <v>39637</v>
      </c>
      <c r="BA62" s="13">
        <v>0</v>
      </c>
      <c r="BB62" s="13">
        <v>20</v>
      </c>
      <c r="BC62" s="13"/>
      <c r="BD62" s="13"/>
      <c r="BE62" s="13">
        <v>4</v>
      </c>
      <c r="BF62" s="13"/>
      <c r="BG62" s="13"/>
      <c r="BH62" s="17"/>
      <c r="BI62" s="17"/>
      <c r="BJ62" s="17" t="s">
        <v>671</v>
      </c>
      <c r="BK62" s="17" t="s">
        <v>671</v>
      </c>
      <c r="BL62" s="17" t="s">
        <v>671</v>
      </c>
      <c r="BM62" s="17" t="s">
        <v>671</v>
      </c>
      <c r="BN62" s="17" t="s">
        <v>1813</v>
      </c>
      <c r="BO62" s="17"/>
      <c r="BP62" s="17" t="s">
        <v>2225</v>
      </c>
      <c r="BQ62" s="17" t="s">
        <v>386</v>
      </c>
      <c r="BR62" s="17" t="s">
        <v>396</v>
      </c>
      <c r="BS62" s="17" t="s">
        <v>386</v>
      </c>
      <c r="BT62" s="17">
        <v>0</v>
      </c>
      <c r="BU62" s="17" t="s">
        <v>1813</v>
      </c>
      <c r="BV62" s="17" t="s">
        <v>671</v>
      </c>
      <c r="BW62" s="19" t="s">
        <v>396</v>
      </c>
      <c r="BX62" s="14" t="s">
        <v>386</v>
      </c>
      <c r="BY62" s="14" t="s">
        <v>386</v>
      </c>
      <c r="BZ62" s="52" t="s">
        <v>386</v>
      </c>
      <c r="CA62" s="52" t="s">
        <v>386</v>
      </c>
      <c r="CB62" s="64" t="s">
        <v>396</v>
      </c>
      <c r="CC62" s="64"/>
      <c r="CD62" s="64"/>
      <c r="CE62" s="64"/>
      <c r="CF62" s="17"/>
      <c r="CG62" s="17"/>
      <c r="CH62" s="17" t="s">
        <v>396</v>
      </c>
      <c r="CI62" s="17"/>
      <c r="CJ62" s="17" t="s">
        <v>396</v>
      </c>
      <c r="CK62" s="17" t="s">
        <v>401</v>
      </c>
      <c r="CL62" s="17"/>
      <c r="CM62" s="17"/>
      <c r="CN62" s="17"/>
      <c r="CO62" s="17"/>
      <c r="CP62" s="24"/>
    </row>
    <row r="63" spans="1:94" ht="66" customHeight="1">
      <c r="A63" s="12" t="s">
        <v>1352</v>
      </c>
      <c r="B63" s="1" t="str">
        <f>_xlfn.XLOOKUP(A:A,'Dados Elevatórias'!D:D,'Dados Elevatórias'!B:B)</f>
        <v>PL-RJB-EAT0099</v>
      </c>
      <c r="C63" s="13" t="s">
        <v>2385</v>
      </c>
      <c r="D63" s="14" t="s">
        <v>1764</v>
      </c>
      <c r="E63" s="34" t="s">
        <v>1353</v>
      </c>
      <c r="F63" s="16" t="s">
        <v>1572</v>
      </c>
      <c r="G63" s="16"/>
      <c r="H63" s="14" t="s">
        <v>605</v>
      </c>
      <c r="I63" s="14" t="s">
        <v>2386</v>
      </c>
      <c r="J63" s="17" t="s">
        <v>377</v>
      </c>
      <c r="K63" s="17">
        <v>1</v>
      </c>
      <c r="L63" s="14" t="s">
        <v>378</v>
      </c>
      <c r="M63" s="17">
        <v>15</v>
      </c>
      <c r="N63" s="17">
        <v>3510</v>
      </c>
      <c r="O63" s="17">
        <v>130201008</v>
      </c>
      <c r="P63" s="17" t="s">
        <v>1912</v>
      </c>
      <c r="Q63" s="17" t="s">
        <v>2387</v>
      </c>
      <c r="R63" s="14" t="s">
        <v>484</v>
      </c>
      <c r="S63" s="17">
        <v>6.18</v>
      </c>
      <c r="T63" s="17">
        <v>156.97</v>
      </c>
      <c r="U63" s="14" t="s">
        <v>1769</v>
      </c>
      <c r="V63" s="14" t="s">
        <v>396</v>
      </c>
      <c r="W63" s="14" t="s">
        <v>799</v>
      </c>
      <c r="X63" s="14" t="s">
        <v>485</v>
      </c>
      <c r="Y63" s="14" t="s">
        <v>800</v>
      </c>
      <c r="Z63" s="14" t="s">
        <v>486</v>
      </c>
      <c r="AA63" s="18" t="s">
        <v>2388</v>
      </c>
      <c r="AB63" s="19">
        <v>50</v>
      </c>
      <c r="AC63" s="17" t="s">
        <v>433</v>
      </c>
      <c r="AD63" s="17"/>
      <c r="AE63" s="14">
        <v>421230257</v>
      </c>
      <c r="AF63" s="14">
        <v>9039847</v>
      </c>
      <c r="AG63" s="14"/>
      <c r="AH63" s="67" t="s">
        <v>1359</v>
      </c>
      <c r="AI63" s="20" t="s">
        <v>1360</v>
      </c>
      <c r="AJ63" s="17" t="s">
        <v>489</v>
      </c>
      <c r="AK63" s="17" t="s">
        <v>489</v>
      </c>
      <c r="AL63" s="17"/>
      <c r="AM63" s="17"/>
      <c r="AN63" s="17"/>
      <c r="AO63" s="17"/>
      <c r="AP63" s="13" t="s">
        <v>2389</v>
      </c>
      <c r="AQ63" s="13" t="s">
        <v>2390</v>
      </c>
      <c r="AR63" s="13" t="s">
        <v>2178</v>
      </c>
      <c r="AS63" s="13"/>
      <c r="AT63" s="13"/>
      <c r="AU63" s="13"/>
      <c r="AV63" s="13"/>
      <c r="AW63" s="13"/>
      <c r="AX63" s="25">
        <v>44960</v>
      </c>
      <c r="AY63" s="13" t="s">
        <v>2391</v>
      </c>
      <c r="AZ63" s="13" t="s">
        <v>2392</v>
      </c>
      <c r="BA63" s="13">
        <v>4</v>
      </c>
      <c r="BB63" s="13">
        <v>45</v>
      </c>
      <c r="BC63" s="13" t="s">
        <v>2275</v>
      </c>
      <c r="BD63" s="13" t="s">
        <v>2393</v>
      </c>
      <c r="BE63" s="13">
        <v>7</v>
      </c>
      <c r="BF63" s="13">
        <v>65</v>
      </c>
      <c r="BG63" s="25">
        <v>42608</v>
      </c>
      <c r="BH63" s="17" t="s">
        <v>671</v>
      </c>
      <c r="BI63" s="17" t="s">
        <v>671</v>
      </c>
      <c r="BJ63" s="17" t="s">
        <v>671</v>
      </c>
      <c r="BK63" s="17" t="s">
        <v>671</v>
      </c>
      <c r="BL63" s="17" t="s">
        <v>671</v>
      </c>
      <c r="BM63" s="17" t="s">
        <v>671</v>
      </c>
      <c r="BN63" s="17" t="s">
        <v>1858</v>
      </c>
      <c r="BO63" s="17"/>
      <c r="BP63" s="17" t="s">
        <v>671</v>
      </c>
      <c r="BQ63" s="17" t="s">
        <v>386</v>
      </c>
      <c r="BR63" s="17" t="s">
        <v>396</v>
      </c>
      <c r="BS63" s="17" t="s">
        <v>386</v>
      </c>
      <c r="BT63" s="17">
        <v>0</v>
      </c>
      <c r="BU63" s="17" t="s">
        <v>1858</v>
      </c>
      <c r="BV63" s="17" t="s">
        <v>671</v>
      </c>
      <c r="BW63" s="19" t="s">
        <v>396</v>
      </c>
      <c r="BX63" s="14" t="s">
        <v>386</v>
      </c>
      <c r="BY63" s="14" t="s">
        <v>386</v>
      </c>
      <c r="BZ63" s="14" t="s">
        <v>386</v>
      </c>
      <c r="CA63" s="14" t="s">
        <v>386</v>
      </c>
      <c r="CB63" s="64" t="s">
        <v>396</v>
      </c>
      <c r="CC63" s="64" t="s">
        <v>491</v>
      </c>
      <c r="CD63" s="64" t="s">
        <v>1340</v>
      </c>
      <c r="CE63" s="64"/>
      <c r="CF63" s="17"/>
      <c r="CG63" s="17"/>
      <c r="CH63" s="17" t="s">
        <v>396</v>
      </c>
      <c r="CI63" s="17"/>
      <c r="CJ63" s="17" t="s">
        <v>396</v>
      </c>
      <c r="CK63" s="17" t="s">
        <v>401</v>
      </c>
      <c r="CL63" s="17"/>
      <c r="CM63" s="17"/>
      <c r="CN63" s="17"/>
      <c r="CO63" s="17"/>
      <c r="CP63" s="24" t="s">
        <v>1362</v>
      </c>
    </row>
    <row r="64" spans="1:94" ht="66" hidden="1" customHeight="1">
      <c r="A64" s="149" t="s">
        <v>443</v>
      </c>
      <c r="B64" s="1" t="str">
        <f>_xlfn.XLOOKUP(A:A,'Dados Elevatórias'!D:D,'Dados Elevatórias'!B:B)</f>
        <v>PL-RJB-EAT0697</v>
      </c>
      <c r="C64" s="151" t="s">
        <v>2394</v>
      </c>
      <c r="D64" s="140" t="s">
        <v>1764</v>
      </c>
      <c r="E64" s="155" t="s">
        <v>2395</v>
      </c>
      <c r="F64" s="156" t="s">
        <v>2396</v>
      </c>
      <c r="G64" s="157"/>
      <c r="H64" s="140" t="s">
        <v>443</v>
      </c>
      <c r="I64" s="140" t="s">
        <v>1639</v>
      </c>
      <c r="J64" s="138" t="s">
        <v>444</v>
      </c>
      <c r="K64" s="138">
        <v>1</v>
      </c>
      <c r="L64" s="140" t="s">
        <v>378</v>
      </c>
      <c r="M64" s="138">
        <v>20</v>
      </c>
      <c r="N64" s="138">
        <v>3500</v>
      </c>
      <c r="O64" s="138">
        <v>70201234</v>
      </c>
      <c r="P64" s="138">
        <v>645</v>
      </c>
      <c r="Q64" s="138" t="s">
        <v>1338</v>
      </c>
      <c r="R64" s="140" t="s">
        <v>898</v>
      </c>
      <c r="S64" s="138">
        <v>5.7</v>
      </c>
      <c r="T64" s="138">
        <v>144.78</v>
      </c>
      <c r="U64" s="140" t="s">
        <v>455</v>
      </c>
      <c r="V64" s="140"/>
      <c r="W64" s="140"/>
      <c r="X64" s="140"/>
      <c r="Y64" s="140"/>
      <c r="Z64" s="140" t="s">
        <v>1820</v>
      </c>
      <c r="AA64" s="142">
        <v>40.299999999999997</v>
      </c>
      <c r="AB64" s="150">
        <v>40</v>
      </c>
      <c r="AC64" s="138" t="s">
        <v>433</v>
      </c>
      <c r="AD64" s="138"/>
      <c r="AE64" s="140">
        <v>420227639</v>
      </c>
      <c r="AF64" s="140">
        <v>6381594</v>
      </c>
      <c r="AG64" s="140"/>
      <c r="AH64" s="136" t="s">
        <v>1339</v>
      </c>
      <c r="AI64" s="154"/>
      <c r="AJ64" s="138" t="s">
        <v>669</v>
      </c>
      <c r="AK64" s="138" t="s">
        <v>669</v>
      </c>
      <c r="AL64" s="138"/>
      <c r="AM64" s="138"/>
      <c r="AN64" s="138"/>
      <c r="AO64" s="138"/>
      <c r="AP64" s="153" t="s">
        <v>2397</v>
      </c>
      <c r="AQ64" s="153" t="s">
        <v>2398</v>
      </c>
      <c r="AR64" s="153" t="s">
        <v>2040</v>
      </c>
      <c r="AS64" s="153" t="s">
        <v>1934</v>
      </c>
      <c r="AT64" s="153"/>
      <c r="AU64" s="153"/>
      <c r="AV64" s="153"/>
      <c r="AW64" s="153"/>
      <c r="AX64" s="152">
        <v>44962</v>
      </c>
      <c r="AY64" s="151"/>
      <c r="AZ64" s="151"/>
      <c r="BA64" s="151">
        <v>18</v>
      </c>
      <c r="BB64" s="151">
        <v>35</v>
      </c>
      <c r="BC64" s="151"/>
      <c r="BD64" s="151"/>
      <c r="BE64" s="151"/>
      <c r="BF64" s="151"/>
      <c r="BG64" s="151"/>
      <c r="BH64" s="138" t="s">
        <v>671</v>
      </c>
      <c r="BI64" s="138" t="s">
        <v>671</v>
      </c>
      <c r="BJ64" s="138" t="s">
        <v>671</v>
      </c>
      <c r="BK64" s="138" t="s">
        <v>671</v>
      </c>
      <c r="BL64" s="138" t="s">
        <v>671</v>
      </c>
      <c r="BM64" s="138" t="s">
        <v>671</v>
      </c>
      <c r="BN64" s="138" t="s">
        <v>1858</v>
      </c>
      <c r="BO64" s="138"/>
      <c r="BP64" s="138" t="s">
        <v>671</v>
      </c>
      <c r="BQ64" s="138" t="s">
        <v>386</v>
      </c>
      <c r="BR64" s="138" t="s">
        <v>396</v>
      </c>
      <c r="BS64" s="138" t="s">
        <v>386</v>
      </c>
      <c r="BT64" s="138">
        <v>0</v>
      </c>
      <c r="BU64" s="138" t="s">
        <v>1858</v>
      </c>
      <c r="BV64" s="138" t="s">
        <v>671</v>
      </c>
      <c r="BW64" s="150" t="s">
        <v>396</v>
      </c>
      <c r="BX64" s="140" t="s">
        <v>386</v>
      </c>
      <c r="BY64" s="140" t="s">
        <v>386</v>
      </c>
      <c r="BZ64" s="173" t="s">
        <v>386</v>
      </c>
      <c r="CA64" s="173" t="s">
        <v>386</v>
      </c>
      <c r="CB64" s="174" t="s">
        <v>396</v>
      </c>
      <c r="CC64" s="174" t="s">
        <v>491</v>
      </c>
      <c r="CD64" s="174" t="s">
        <v>1340</v>
      </c>
      <c r="CE64" s="174"/>
      <c r="CF64" s="138"/>
      <c r="CG64" s="138"/>
      <c r="CH64" s="138" t="s">
        <v>396</v>
      </c>
      <c r="CI64" s="138"/>
      <c r="CJ64" s="138" t="s">
        <v>396</v>
      </c>
      <c r="CK64" s="138" t="s">
        <v>401</v>
      </c>
      <c r="CL64" s="138"/>
      <c r="CM64" s="138"/>
      <c r="CN64" s="138"/>
      <c r="CO64" s="17" t="s">
        <v>1341</v>
      </c>
      <c r="CP64" s="136"/>
    </row>
    <row r="65" spans="1:94" ht="66" hidden="1" customHeight="1">
      <c r="A65" s="149"/>
      <c r="B65" s="1">
        <f>_xlfn.XLOOKUP(A:A,'Dados Elevatórias'!D:D,'Dados Elevatórias'!B:B)</f>
        <v>0</v>
      </c>
      <c r="C65" s="151"/>
      <c r="D65" s="140"/>
      <c r="E65" s="155"/>
      <c r="F65" s="156"/>
      <c r="G65" s="158"/>
      <c r="H65" s="140"/>
      <c r="I65" s="140"/>
      <c r="J65" s="138"/>
      <c r="K65" s="138"/>
      <c r="L65" s="140"/>
      <c r="M65" s="138"/>
      <c r="N65" s="138"/>
      <c r="O65" s="138"/>
      <c r="P65" s="138"/>
      <c r="Q65" s="138"/>
      <c r="R65" s="140"/>
      <c r="S65" s="138"/>
      <c r="T65" s="138"/>
      <c r="U65" s="140"/>
      <c r="V65" s="140"/>
      <c r="W65" s="140"/>
      <c r="X65" s="140"/>
      <c r="Y65" s="140"/>
      <c r="Z65" s="140"/>
      <c r="AA65" s="142"/>
      <c r="AB65" s="150"/>
      <c r="AC65" s="138"/>
      <c r="AD65" s="138"/>
      <c r="AE65" s="140"/>
      <c r="AF65" s="140"/>
      <c r="AG65" s="140"/>
      <c r="AH65" s="136"/>
      <c r="AI65" s="154"/>
      <c r="AJ65" s="138"/>
      <c r="AK65" s="138"/>
      <c r="AL65" s="138"/>
      <c r="AM65" s="138"/>
      <c r="AN65" s="138"/>
      <c r="AO65" s="138"/>
      <c r="AP65" s="153"/>
      <c r="AQ65" s="153"/>
      <c r="AR65" s="153"/>
      <c r="AS65" s="153"/>
      <c r="AT65" s="153"/>
      <c r="AU65" s="153"/>
      <c r="AV65" s="153"/>
      <c r="AW65" s="153"/>
      <c r="AX65" s="152"/>
      <c r="AY65" s="151"/>
      <c r="AZ65" s="151"/>
      <c r="BA65" s="151"/>
      <c r="BB65" s="151"/>
      <c r="BC65" s="151"/>
      <c r="BD65" s="151"/>
      <c r="BE65" s="151"/>
      <c r="BF65" s="151"/>
      <c r="BG65" s="151"/>
      <c r="BH65" s="138"/>
      <c r="BI65" s="138"/>
      <c r="BJ65" s="138"/>
      <c r="BK65" s="138"/>
      <c r="BL65" s="138"/>
      <c r="BM65" s="138"/>
      <c r="BN65" s="138"/>
      <c r="BO65" s="138"/>
      <c r="BP65" s="138"/>
      <c r="BQ65" s="138"/>
      <c r="BR65" s="138"/>
      <c r="BS65" s="138"/>
      <c r="BT65" s="138"/>
      <c r="BU65" s="138"/>
      <c r="BV65" s="138"/>
      <c r="BW65" s="150"/>
      <c r="BX65" s="140"/>
      <c r="BY65" s="140"/>
      <c r="BZ65" s="173"/>
      <c r="CA65" s="173"/>
      <c r="CB65" s="174"/>
      <c r="CC65" s="174"/>
      <c r="CD65" s="174"/>
      <c r="CE65" s="174"/>
      <c r="CF65" s="138"/>
      <c r="CG65" s="138"/>
      <c r="CH65" s="138"/>
      <c r="CI65" s="138"/>
      <c r="CJ65" s="138"/>
      <c r="CK65" s="138"/>
      <c r="CL65" s="138"/>
      <c r="CM65" s="138"/>
      <c r="CN65" s="138"/>
      <c r="CO65" s="17" t="s">
        <v>2399</v>
      </c>
      <c r="CP65" s="136"/>
    </row>
    <row r="66" spans="1:94" ht="66" hidden="1" customHeight="1">
      <c r="A66" s="149"/>
      <c r="B66" s="1">
        <f>_xlfn.XLOOKUP(A:A,'Dados Elevatórias'!D:D,'Dados Elevatórias'!B:B)</f>
        <v>0</v>
      </c>
      <c r="C66" s="151"/>
      <c r="D66" s="140"/>
      <c r="E66" s="155"/>
      <c r="F66" s="156"/>
      <c r="G66" s="158"/>
      <c r="H66" s="140"/>
      <c r="I66" s="140"/>
      <c r="J66" s="138"/>
      <c r="K66" s="138"/>
      <c r="L66" s="140"/>
      <c r="M66" s="138"/>
      <c r="N66" s="138"/>
      <c r="O66" s="138"/>
      <c r="P66" s="138"/>
      <c r="Q66" s="138"/>
      <c r="R66" s="140"/>
      <c r="S66" s="138"/>
      <c r="T66" s="138"/>
      <c r="U66" s="140"/>
      <c r="V66" s="140"/>
      <c r="W66" s="140"/>
      <c r="X66" s="140"/>
      <c r="Y66" s="140"/>
      <c r="Z66" s="140"/>
      <c r="AA66" s="142"/>
      <c r="AB66" s="150"/>
      <c r="AC66" s="138"/>
      <c r="AD66" s="138"/>
      <c r="AE66" s="140"/>
      <c r="AF66" s="140"/>
      <c r="AG66" s="140"/>
      <c r="AH66" s="136"/>
      <c r="AI66" s="154"/>
      <c r="AJ66" s="138"/>
      <c r="AK66" s="138"/>
      <c r="AL66" s="138"/>
      <c r="AM66" s="138"/>
      <c r="AN66" s="138"/>
      <c r="AO66" s="138"/>
      <c r="AP66" s="153"/>
      <c r="AQ66" s="153"/>
      <c r="AR66" s="153"/>
      <c r="AS66" s="153"/>
      <c r="AT66" s="153"/>
      <c r="AU66" s="153"/>
      <c r="AV66" s="153"/>
      <c r="AW66" s="153"/>
      <c r="AX66" s="152"/>
      <c r="AY66" s="151"/>
      <c r="AZ66" s="151"/>
      <c r="BA66" s="151"/>
      <c r="BB66" s="151"/>
      <c r="BC66" s="151"/>
      <c r="BD66" s="151"/>
      <c r="BE66" s="151"/>
      <c r="BF66" s="151"/>
      <c r="BG66" s="151"/>
      <c r="BH66" s="138"/>
      <c r="BI66" s="138"/>
      <c r="BJ66" s="138"/>
      <c r="BK66" s="138"/>
      <c r="BL66" s="138"/>
      <c r="BM66" s="138"/>
      <c r="BN66" s="138"/>
      <c r="BO66" s="138"/>
      <c r="BP66" s="138"/>
      <c r="BQ66" s="138"/>
      <c r="BR66" s="138"/>
      <c r="BS66" s="138"/>
      <c r="BT66" s="138"/>
      <c r="BU66" s="138"/>
      <c r="BV66" s="138"/>
      <c r="BW66" s="150"/>
      <c r="BX66" s="140"/>
      <c r="BY66" s="140"/>
      <c r="BZ66" s="173"/>
      <c r="CA66" s="173"/>
      <c r="CB66" s="174"/>
      <c r="CC66" s="174"/>
      <c r="CD66" s="174"/>
      <c r="CE66" s="174"/>
      <c r="CF66" s="138"/>
      <c r="CG66" s="138"/>
      <c r="CH66" s="138"/>
      <c r="CI66" s="138"/>
      <c r="CJ66" s="138"/>
      <c r="CK66" s="138"/>
      <c r="CL66" s="138"/>
      <c r="CM66" s="138"/>
      <c r="CN66" s="138"/>
      <c r="CO66" s="17" t="s">
        <v>2400</v>
      </c>
      <c r="CP66" s="136"/>
    </row>
    <row r="67" spans="1:94" ht="66" hidden="1" customHeight="1">
      <c r="A67" s="149"/>
      <c r="B67" s="1">
        <f>_xlfn.XLOOKUP(A:A,'Dados Elevatórias'!D:D,'Dados Elevatórias'!B:B)</f>
        <v>0</v>
      </c>
      <c r="C67" s="151"/>
      <c r="D67" s="140"/>
      <c r="E67" s="155"/>
      <c r="F67" s="156"/>
      <c r="G67" s="158"/>
      <c r="H67" s="140"/>
      <c r="I67" s="140"/>
      <c r="J67" s="138"/>
      <c r="K67" s="138"/>
      <c r="L67" s="140"/>
      <c r="M67" s="138"/>
      <c r="N67" s="138"/>
      <c r="O67" s="138"/>
      <c r="P67" s="138"/>
      <c r="Q67" s="138"/>
      <c r="R67" s="140"/>
      <c r="S67" s="138"/>
      <c r="T67" s="138"/>
      <c r="U67" s="140"/>
      <c r="V67" s="140"/>
      <c r="W67" s="140"/>
      <c r="X67" s="140"/>
      <c r="Y67" s="140"/>
      <c r="Z67" s="140"/>
      <c r="AA67" s="142"/>
      <c r="AB67" s="150"/>
      <c r="AC67" s="138"/>
      <c r="AD67" s="138"/>
      <c r="AE67" s="140"/>
      <c r="AF67" s="140"/>
      <c r="AG67" s="140"/>
      <c r="AH67" s="136"/>
      <c r="AI67" s="154"/>
      <c r="AJ67" s="138"/>
      <c r="AK67" s="138"/>
      <c r="AL67" s="138"/>
      <c r="AM67" s="138"/>
      <c r="AN67" s="138"/>
      <c r="AO67" s="138"/>
      <c r="AP67" s="153"/>
      <c r="AQ67" s="153"/>
      <c r="AR67" s="153"/>
      <c r="AS67" s="153"/>
      <c r="AT67" s="153"/>
      <c r="AU67" s="153"/>
      <c r="AV67" s="153"/>
      <c r="AW67" s="153"/>
      <c r="AX67" s="152"/>
      <c r="AY67" s="151"/>
      <c r="AZ67" s="151"/>
      <c r="BA67" s="151"/>
      <c r="BB67" s="151"/>
      <c r="BC67" s="151"/>
      <c r="BD67" s="151"/>
      <c r="BE67" s="151"/>
      <c r="BF67" s="151"/>
      <c r="BG67" s="151"/>
      <c r="BH67" s="138"/>
      <c r="BI67" s="138"/>
      <c r="BJ67" s="138"/>
      <c r="BK67" s="138"/>
      <c r="BL67" s="138"/>
      <c r="BM67" s="138"/>
      <c r="BN67" s="138"/>
      <c r="BO67" s="138"/>
      <c r="BP67" s="138"/>
      <c r="BQ67" s="138"/>
      <c r="BR67" s="138"/>
      <c r="BS67" s="138"/>
      <c r="BT67" s="138"/>
      <c r="BU67" s="138"/>
      <c r="BV67" s="138"/>
      <c r="BW67" s="150"/>
      <c r="BX67" s="140"/>
      <c r="BY67" s="140"/>
      <c r="BZ67" s="173"/>
      <c r="CA67" s="173"/>
      <c r="CB67" s="174"/>
      <c r="CC67" s="174"/>
      <c r="CD67" s="174"/>
      <c r="CE67" s="174"/>
      <c r="CF67" s="138"/>
      <c r="CG67" s="138"/>
      <c r="CH67" s="138"/>
      <c r="CI67" s="138"/>
      <c r="CJ67" s="138"/>
      <c r="CK67" s="138"/>
      <c r="CL67" s="138"/>
      <c r="CM67" s="138"/>
      <c r="CN67" s="138"/>
      <c r="CO67" s="17" t="s">
        <v>2401</v>
      </c>
      <c r="CP67" s="136"/>
    </row>
    <row r="68" spans="1:94" ht="66" hidden="1" customHeight="1">
      <c r="A68" s="149"/>
      <c r="B68" s="1">
        <f>_xlfn.XLOOKUP(A:A,'Dados Elevatórias'!D:D,'Dados Elevatórias'!B:B)</f>
        <v>0</v>
      </c>
      <c r="C68" s="151"/>
      <c r="D68" s="140"/>
      <c r="E68" s="155"/>
      <c r="F68" s="156"/>
      <c r="G68" s="158"/>
      <c r="H68" s="140"/>
      <c r="I68" s="140"/>
      <c r="J68" s="138"/>
      <c r="K68" s="138"/>
      <c r="L68" s="140"/>
      <c r="M68" s="138"/>
      <c r="N68" s="138"/>
      <c r="O68" s="138"/>
      <c r="P68" s="138"/>
      <c r="Q68" s="138"/>
      <c r="R68" s="140"/>
      <c r="S68" s="138"/>
      <c r="T68" s="138"/>
      <c r="U68" s="140"/>
      <c r="V68" s="140"/>
      <c r="W68" s="140"/>
      <c r="X68" s="140"/>
      <c r="Y68" s="140"/>
      <c r="Z68" s="140"/>
      <c r="AA68" s="142"/>
      <c r="AB68" s="150"/>
      <c r="AC68" s="138"/>
      <c r="AD68" s="138"/>
      <c r="AE68" s="140"/>
      <c r="AF68" s="140"/>
      <c r="AG68" s="140"/>
      <c r="AH68" s="136"/>
      <c r="AI68" s="154"/>
      <c r="AJ68" s="138"/>
      <c r="AK68" s="138"/>
      <c r="AL68" s="138"/>
      <c r="AM68" s="138"/>
      <c r="AN68" s="138"/>
      <c r="AO68" s="138"/>
      <c r="AP68" s="153"/>
      <c r="AQ68" s="153"/>
      <c r="AR68" s="153"/>
      <c r="AS68" s="153"/>
      <c r="AT68" s="153"/>
      <c r="AU68" s="153"/>
      <c r="AV68" s="153"/>
      <c r="AW68" s="153"/>
      <c r="AX68" s="152"/>
      <c r="AY68" s="151"/>
      <c r="AZ68" s="151"/>
      <c r="BA68" s="151"/>
      <c r="BB68" s="151"/>
      <c r="BC68" s="151"/>
      <c r="BD68" s="151"/>
      <c r="BE68" s="151"/>
      <c r="BF68" s="151"/>
      <c r="BG68" s="151"/>
      <c r="BH68" s="138"/>
      <c r="BI68" s="138"/>
      <c r="BJ68" s="138"/>
      <c r="BK68" s="138"/>
      <c r="BL68" s="138"/>
      <c r="BM68" s="138"/>
      <c r="BN68" s="138"/>
      <c r="BO68" s="138"/>
      <c r="BP68" s="138"/>
      <c r="BQ68" s="138"/>
      <c r="BR68" s="138"/>
      <c r="BS68" s="138"/>
      <c r="BT68" s="138"/>
      <c r="BU68" s="138"/>
      <c r="BV68" s="138"/>
      <c r="BW68" s="150"/>
      <c r="BX68" s="140"/>
      <c r="BY68" s="140"/>
      <c r="BZ68" s="173"/>
      <c r="CA68" s="173"/>
      <c r="CB68" s="174"/>
      <c r="CC68" s="174"/>
      <c r="CD68" s="174"/>
      <c r="CE68" s="174"/>
      <c r="CF68" s="138"/>
      <c r="CG68" s="138"/>
      <c r="CH68" s="138"/>
      <c r="CI68" s="138"/>
      <c r="CJ68" s="138"/>
      <c r="CK68" s="138"/>
      <c r="CL68" s="138"/>
      <c r="CM68" s="138"/>
      <c r="CN68" s="138"/>
      <c r="CO68" s="17" t="s">
        <v>2402</v>
      </c>
      <c r="CP68" s="136"/>
    </row>
    <row r="69" spans="1:94" ht="66" hidden="1" customHeight="1">
      <c r="A69" s="149"/>
      <c r="B69" s="1">
        <f>_xlfn.XLOOKUP(A:A,'Dados Elevatórias'!D:D,'Dados Elevatórias'!B:B)</f>
        <v>0</v>
      </c>
      <c r="C69" s="151"/>
      <c r="D69" s="140"/>
      <c r="E69" s="155"/>
      <c r="F69" s="156"/>
      <c r="G69" s="159"/>
      <c r="H69" s="140"/>
      <c r="I69" s="140"/>
      <c r="J69" s="138"/>
      <c r="K69" s="138"/>
      <c r="L69" s="140"/>
      <c r="M69" s="138"/>
      <c r="N69" s="138"/>
      <c r="O69" s="138"/>
      <c r="P69" s="138"/>
      <c r="Q69" s="138"/>
      <c r="R69" s="140"/>
      <c r="S69" s="138"/>
      <c r="T69" s="138"/>
      <c r="U69" s="140"/>
      <c r="V69" s="140"/>
      <c r="W69" s="140"/>
      <c r="X69" s="140"/>
      <c r="Y69" s="140"/>
      <c r="Z69" s="140"/>
      <c r="AA69" s="142"/>
      <c r="AB69" s="150"/>
      <c r="AC69" s="138"/>
      <c r="AD69" s="138"/>
      <c r="AE69" s="140"/>
      <c r="AF69" s="140"/>
      <c r="AG69" s="140"/>
      <c r="AH69" s="136"/>
      <c r="AI69" s="154"/>
      <c r="AJ69" s="138"/>
      <c r="AK69" s="138"/>
      <c r="AL69" s="138"/>
      <c r="AM69" s="138"/>
      <c r="AN69" s="138"/>
      <c r="AO69" s="138"/>
      <c r="AP69" s="153"/>
      <c r="AQ69" s="153"/>
      <c r="AR69" s="153"/>
      <c r="AS69" s="153"/>
      <c r="AT69" s="153"/>
      <c r="AU69" s="153"/>
      <c r="AV69" s="153"/>
      <c r="AW69" s="153"/>
      <c r="AX69" s="152"/>
      <c r="AY69" s="151"/>
      <c r="AZ69" s="151"/>
      <c r="BA69" s="151"/>
      <c r="BB69" s="151"/>
      <c r="BC69" s="151"/>
      <c r="BD69" s="151"/>
      <c r="BE69" s="151"/>
      <c r="BF69" s="151"/>
      <c r="BG69" s="151"/>
      <c r="BH69" s="138"/>
      <c r="BI69" s="138"/>
      <c r="BJ69" s="138"/>
      <c r="BK69" s="138"/>
      <c r="BL69" s="138"/>
      <c r="BM69" s="138"/>
      <c r="BN69" s="138"/>
      <c r="BO69" s="138"/>
      <c r="BP69" s="138"/>
      <c r="BQ69" s="138"/>
      <c r="BR69" s="138"/>
      <c r="BS69" s="138"/>
      <c r="BT69" s="138"/>
      <c r="BU69" s="138"/>
      <c r="BV69" s="138"/>
      <c r="BW69" s="150"/>
      <c r="BX69" s="140"/>
      <c r="BY69" s="140"/>
      <c r="BZ69" s="173"/>
      <c r="CA69" s="173"/>
      <c r="CB69" s="174"/>
      <c r="CC69" s="174"/>
      <c r="CD69" s="174"/>
      <c r="CE69" s="174"/>
      <c r="CF69" s="138"/>
      <c r="CG69" s="138"/>
      <c r="CH69" s="138"/>
      <c r="CI69" s="138"/>
      <c r="CJ69" s="138"/>
      <c r="CK69" s="138"/>
      <c r="CL69" s="138"/>
      <c r="CM69" s="138"/>
      <c r="CN69" s="138"/>
      <c r="CO69" s="17" t="s">
        <v>2403</v>
      </c>
      <c r="CP69" s="136"/>
    </row>
    <row r="70" spans="1:94" ht="66" hidden="1" customHeight="1">
      <c r="A70" s="12" t="s">
        <v>1342</v>
      </c>
      <c r="B70" s="1" t="str">
        <f>_xlfn.XLOOKUP(A:A,'Dados Elevatórias'!D:D,'Dados Elevatórias'!B:B)</f>
        <v>PL-RJB-EAT0102</v>
      </c>
      <c r="C70" s="13" t="s">
        <v>2404</v>
      </c>
      <c r="D70" s="14" t="s">
        <v>1764</v>
      </c>
      <c r="E70" s="15" t="s">
        <v>2405</v>
      </c>
      <c r="F70" s="16" t="s">
        <v>443</v>
      </c>
      <c r="G70" s="16"/>
      <c r="H70" s="14" t="s">
        <v>443</v>
      </c>
      <c r="I70" s="14" t="s">
        <v>2406</v>
      </c>
      <c r="J70" s="17" t="s">
        <v>444</v>
      </c>
      <c r="K70" s="17">
        <v>1</v>
      </c>
      <c r="L70" s="14" t="s">
        <v>378</v>
      </c>
      <c r="M70" s="17">
        <v>7.5</v>
      </c>
      <c r="N70" s="17">
        <v>3490</v>
      </c>
      <c r="O70" s="17"/>
      <c r="P70" s="17" t="s">
        <v>2407</v>
      </c>
      <c r="Q70" s="17"/>
      <c r="R70" s="14" t="s">
        <v>2408</v>
      </c>
      <c r="S70" s="17">
        <v>6.69</v>
      </c>
      <c r="T70" s="17">
        <v>169.93</v>
      </c>
      <c r="U70" s="14" t="s">
        <v>1769</v>
      </c>
      <c r="V70" s="14" t="s">
        <v>396</v>
      </c>
      <c r="W70" s="14" t="s">
        <v>799</v>
      </c>
      <c r="X70" s="14" t="s">
        <v>485</v>
      </c>
      <c r="Y70" s="14" t="s">
        <v>800</v>
      </c>
      <c r="Z70" s="14" t="s">
        <v>486</v>
      </c>
      <c r="AA70" s="18">
        <v>32.5</v>
      </c>
      <c r="AB70" s="19">
        <v>60</v>
      </c>
      <c r="AC70" s="17" t="s">
        <v>433</v>
      </c>
      <c r="AD70" s="17"/>
      <c r="AE70" s="14">
        <v>420395552</v>
      </c>
      <c r="AF70" s="14">
        <v>6748339</v>
      </c>
      <c r="AG70" s="14"/>
      <c r="AH70" s="24" t="s">
        <v>1350</v>
      </c>
      <c r="AI70" s="20" t="s">
        <v>1351</v>
      </c>
      <c r="AJ70" s="17" t="s">
        <v>489</v>
      </c>
      <c r="AK70" s="17" t="s">
        <v>489</v>
      </c>
      <c r="AL70" s="17"/>
      <c r="AM70" s="17"/>
      <c r="AN70" s="17"/>
      <c r="AO70" s="17"/>
      <c r="AP70" s="21" t="s">
        <v>1914</v>
      </c>
      <c r="AQ70" s="21" t="s">
        <v>2409</v>
      </c>
      <c r="AR70" s="21" t="s">
        <v>2154</v>
      </c>
      <c r="AS70" s="21" t="s">
        <v>1934</v>
      </c>
      <c r="AT70" s="21"/>
      <c r="AU70" s="21"/>
      <c r="AV70" s="21"/>
      <c r="AW70" s="21"/>
      <c r="AX70" s="22">
        <v>44965</v>
      </c>
      <c r="AY70" s="13" t="s">
        <v>2410</v>
      </c>
      <c r="AZ70" s="13" t="s">
        <v>2411</v>
      </c>
      <c r="BA70" s="13"/>
      <c r="BB70" s="13">
        <v>60</v>
      </c>
      <c r="BC70" s="13"/>
      <c r="BD70" s="13"/>
      <c r="BE70" s="13"/>
      <c r="BF70" s="13"/>
      <c r="BG70" s="25">
        <v>42649</v>
      </c>
      <c r="BH70" s="17" t="s">
        <v>671</v>
      </c>
      <c r="BI70" s="17" t="s">
        <v>671</v>
      </c>
      <c r="BJ70" s="17" t="s">
        <v>671</v>
      </c>
      <c r="BK70" s="17" t="s">
        <v>671</v>
      </c>
      <c r="BL70" s="17" t="s">
        <v>671</v>
      </c>
      <c r="BM70" s="17" t="s">
        <v>671</v>
      </c>
      <c r="BN70" s="17" t="s">
        <v>671</v>
      </c>
      <c r="BO70" s="17" t="s">
        <v>2066</v>
      </c>
      <c r="BP70" s="17" t="s">
        <v>671</v>
      </c>
      <c r="BQ70" s="17" t="s">
        <v>386</v>
      </c>
      <c r="BR70" s="17" t="s">
        <v>396</v>
      </c>
      <c r="BS70" s="17" t="s">
        <v>386</v>
      </c>
      <c r="BT70" s="17" t="s">
        <v>671</v>
      </c>
      <c r="BU70" s="17" t="s">
        <v>671</v>
      </c>
      <c r="BV70" s="17" t="s">
        <v>671</v>
      </c>
      <c r="BW70" s="19" t="s">
        <v>396</v>
      </c>
      <c r="BX70" s="14" t="s">
        <v>386</v>
      </c>
      <c r="BY70" s="14" t="s">
        <v>386</v>
      </c>
      <c r="BZ70" s="52" t="s">
        <v>386</v>
      </c>
      <c r="CA70" s="52" t="s">
        <v>386</v>
      </c>
      <c r="CB70" s="64" t="s">
        <v>396</v>
      </c>
      <c r="CC70" s="64" t="s">
        <v>491</v>
      </c>
      <c r="CD70" s="64" t="s">
        <v>1340</v>
      </c>
      <c r="CE70" s="64"/>
      <c r="CF70" s="17"/>
      <c r="CG70" s="17"/>
      <c r="CH70" s="17" t="s">
        <v>396</v>
      </c>
      <c r="CI70" s="17"/>
      <c r="CJ70" s="17" t="s">
        <v>396</v>
      </c>
      <c r="CK70" s="17" t="s">
        <v>401</v>
      </c>
      <c r="CL70" s="17"/>
      <c r="CM70" s="17"/>
      <c r="CN70" s="17"/>
      <c r="CO70" s="17" t="s">
        <v>1342</v>
      </c>
      <c r="CP70" s="24"/>
    </row>
    <row r="71" spans="1:94" ht="66" hidden="1" customHeight="1">
      <c r="A71" s="12" t="s">
        <v>1390</v>
      </c>
      <c r="B71" s="1" t="s">
        <v>163</v>
      </c>
      <c r="C71" s="13" t="s">
        <v>2412</v>
      </c>
      <c r="D71" s="14" t="s">
        <v>1764</v>
      </c>
      <c r="E71" s="15" t="s">
        <v>2413</v>
      </c>
      <c r="F71" s="16" t="s">
        <v>921</v>
      </c>
      <c r="G71" s="16"/>
      <c r="H71" s="14" t="s">
        <v>1783</v>
      </c>
      <c r="I71" s="14" t="s">
        <v>2414</v>
      </c>
      <c r="J71" s="17" t="s">
        <v>444</v>
      </c>
      <c r="K71" s="17">
        <v>1</v>
      </c>
      <c r="L71" s="14" t="s">
        <v>378</v>
      </c>
      <c r="M71" s="17">
        <v>65</v>
      </c>
      <c r="N71" s="17">
        <v>3500</v>
      </c>
      <c r="O71" s="17"/>
      <c r="P71" s="17" t="s">
        <v>2415</v>
      </c>
      <c r="Q71" s="17"/>
      <c r="R71" s="14" t="s">
        <v>760</v>
      </c>
      <c r="S71" s="17"/>
      <c r="T71" s="17"/>
      <c r="U71" s="17" t="s">
        <v>728</v>
      </c>
      <c r="V71" s="17"/>
      <c r="W71" s="14" t="s">
        <v>671</v>
      </c>
      <c r="X71" s="14" t="s">
        <v>671</v>
      </c>
      <c r="Y71" s="14" t="s">
        <v>671</v>
      </c>
      <c r="Z71" s="14" t="s">
        <v>727</v>
      </c>
      <c r="AA71" s="18">
        <v>160</v>
      </c>
      <c r="AB71" s="19">
        <v>80</v>
      </c>
      <c r="AC71" s="17" t="s">
        <v>433</v>
      </c>
      <c r="AD71" s="17"/>
      <c r="AE71" s="14">
        <v>421063277</v>
      </c>
      <c r="AF71" s="14">
        <v>8708755</v>
      </c>
      <c r="AG71" s="14"/>
      <c r="AH71" s="24" t="s">
        <v>1387</v>
      </c>
      <c r="AI71" s="20" t="s">
        <v>1388</v>
      </c>
      <c r="AJ71" s="17" t="s">
        <v>698</v>
      </c>
      <c r="AK71" s="17" t="s">
        <v>1389</v>
      </c>
      <c r="AL71" s="17"/>
      <c r="AM71" s="17"/>
      <c r="AN71" s="17"/>
      <c r="AO71" s="17"/>
      <c r="AP71" s="21" t="s">
        <v>2416</v>
      </c>
      <c r="AQ71" s="30">
        <v>175172176</v>
      </c>
      <c r="AR71" s="21" t="s">
        <v>2040</v>
      </c>
      <c r="AS71" s="21" t="s">
        <v>2062</v>
      </c>
      <c r="AT71" s="21" t="s">
        <v>1978</v>
      </c>
      <c r="AU71" s="30">
        <v>191190191</v>
      </c>
      <c r="AV71" s="21" t="s">
        <v>768</v>
      </c>
      <c r="AW71" s="21" t="s">
        <v>2417</v>
      </c>
      <c r="AX71" s="22">
        <v>44965</v>
      </c>
      <c r="AY71" s="21" t="s">
        <v>2418</v>
      </c>
      <c r="AZ71" s="21" t="s">
        <v>2419</v>
      </c>
      <c r="BA71" s="21">
        <v>2</v>
      </c>
      <c r="BB71" s="21">
        <v>75</v>
      </c>
      <c r="BC71" s="21" t="s">
        <v>2420</v>
      </c>
      <c r="BD71" s="21" t="s">
        <v>2421</v>
      </c>
      <c r="BE71" s="21">
        <v>6</v>
      </c>
      <c r="BF71" s="21">
        <v>130</v>
      </c>
      <c r="BG71" s="22">
        <v>43209</v>
      </c>
      <c r="BH71" s="17" t="s">
        <v>671</v>
      </c>
      <c r="BI71" s="17" t="s">
        <v>671</v>
      </c>
      <c r="BJ71" s="17" t="s">
        <v>671</v>
      </c>
      <c r="BK71" s="17" t="s">
        <v>671</v>
      </c>
      <c r="BL71" s="17" t="s">
        <v>671</v>
      </c>
      <c r="BM71" s="17" t="s">
        <v>671</v>
      </c>
      <c r="BN71" s="17" t="s">
        <v>2256</v>
      </c>
      <c r="BO71" s="17"/>
      <c r="BP71" s="17" t="s">
        <v>671</v>
      </c>
      <c r="BQ71" s="17" t="s">
        <v>386</v>
      </c>
      <c r="BR71" s="17" t="s">
        <v>396</v>
      </c>
      <c r="BS71" s="17" t="s">
        <v>386</v>
      </c>
      <c r="BT71" s="17">
        <v>0</v>
      </c>
      <c r="BU71" s="17" t="s">
        <v>2256</v>
      </c>
      <c r="BV71" s="17" t="s">
        <v>671</v>
      </c>
      <c r="BW71" s="14" t="s">
        <v>386</v>
      </c>
      <c r="BX71" s="19" t="s">
        <v>396</v>
      </c>
      <c r="BY71" s="14" t="s">
        <v>386</v>
      </c>
      <c r="BZ71" s="52" t="s">
        <v>386</v>
      </c>
      <c r="CA71" s="52" t="s">
        <v>386</v>
      </c>
      <c r="CB71" s="52" t="s">
        <v>396</v>
      </c>
      <c r="CC71" s="52"/>
      <c r="CD71" s="52"/>
      <c r="CE71" s="52"/>
      <c r="CF71" s="17"/>
      <c r="CG71" s="17"/>
      <c r="CH71" s="17" t="s">
        <v>396</v>
      </c>
      <c r="CI71" s="17"/>
      <c r="CJ71" s="17" t="s">
        <v>396</v>
      </c>
      <c r="CK71" s="17" t="s">
        <v>401</v>
      </c>
      <c r="CL71" s="17"/>
      <c r="CM71" s="17"/>
      <c r="CN71" s="17"/>
      <c r="CO71" s="17" t="s">
        <v>1390</v>
      </c>
      <c r="CP71" s="24"/>
    </row>
    <row r="72" spans="1:94" ht="66" hidden="1" customHeight="1">
      <c r="A72" s="12" t="s">
        <v>2422</v>
      </c>
      <c r="B72" s="1" t="s">
        <v>146</v>
      </c>
      <c r="C72" s="13" t="s">
        <v>2423</v>
      </c>
      <c r="D72" s="14" t="s">
        <v>1764</v>
      </c>
      <c r="E72" s="15" t="s">
        <v>2424</v>
      </c>
      <c r="F72" s="16" t="s">
        <v>2361</v>
      </c>
      <c r="G72" s="16"/>
      <c r="H72" s="14" t="s">
        <v>1767</v>
      </c>
      <c r="I72" s="14" t="s">
        <v>2425</v>
      </c>
      <c r="J72" s="17" t="s">
        <v>377</v>
      </c>
      <c r="K72" s="17">
        <v>1</v>
      </c>
      <c r="L72" s="14" t="s">
        <v>378</v>
      </c>
      <c r="M72" s="17">
        <v>20</v>
      </c>
      <c r="N72" s="17">
        <v>3540</v>
      </c>
      <c r="O72" s="17"/>
      <c r="P72" s="17" t="s">
        <v>1846</v>
      </c>
      <c r="Q72" s="17"/>
      <c r="R72" s="14" t="s">
        <v>484</v>
      </c>
      <c r="S72" s="17">
        <v>7.75</v>
      </c>
      <c r="T72" s="17">
        <v>197</v>
      </c>
      <c r="U72" s="14" t="s">
        <v>1769</v>
      </c>
      <c r="V72" s="14" t="s">
        <v>386</v>
      </c>
      <c r="W72" s="14" t="s">
        <v>799</v>
      </c>
      <c r="X72" s="14" t="s">
        <v>485</v>
      </c>
      <c r="Y72" s="14" t="s">
        <v>800</v>
      </c>
      <c r="Z72" s="14" t="s">
        <v>486</v>
      </c>
      <c r="AA72" s="31">
        <v>45.2</v>
      </c>
      <c r="AB72" s="19">
        <v>90</v>
      </c>
      <c r="AC72" s="17" t="s">
        <v>433</v>
      </c>
      <c r="AD72" s="17"/>
      <c r="AE72" s="14">
        <v>420150243</v>
      </c>
      <c r="AF72" s="14">
        <v>4896132</v>
      </c>
      <c r="AG72" s="14"/>
      <c r="AH72" s="24" t="s">
        <v>1394</v>
      </c>
      <c r="AI72" s="20" t="s">
        <v>1395</v>
      </c>
      <c r="AJ72" s="17" t="s">
        <v>489</v>
      </c>
      <c r="AK72" s="17" t="s">
        <v>489</v>
      </c>
      <c r="AL72" s="17"/>
      <c r="AM72" s="17"/>
      <c r="AN72" s="17"/>
      <c r="AO72" s="17"/>
      <c r="AP72" s="21" t="s">
        <v>2426</v>
      </c>
      <c r="AQ72" s="21" t="s">
        <v>2427</v>
      </c>
      <c r="AR72" s="21" t="s">
        <v>1976</v>
      </c>
      <c r="AS72" s="21" t="s">
        <v>2002</v>
      </c>
      <c r="AT72" s="21" t="s">
        <v>2426</v>
      </c>
      <c r="AU72" s="21" t="s">
        <v>2343</v>
      </c>
      <c r="AV72" s="21" t="s">
        <v>2040</v>
      </c>
      <c r="AW72" s="21" t="s">
        <v>2155</v>
      </c>
      <c r="AX72" s="22">
        <v>44953</v>
      </c>
      <c r="AY72" s="13" t="s">
        <v>2428</v>
      </c>
      <c r="AZ72" s="13" t="s">
        <v>2429</v>
      </c>
      <c r="BA72" s="13">
        <v>4</v>
      </c>
      <c r="BB72" s="13">
        <v>38</v>
      </c>
      <c r="BC72" s="13" t="s">
        <v>2430</v>
      </c>
      <c r="BD72" s="13" t="s">
        <v>2431</v>
      </c>
      <c r="BE72" s="13">
        <v>7</v>
      </c>
      <c r="BF72" s="13">
        <v>95</v>
      </c>
      <c r="BG72" s="25">
        <v>42705</v>
      </c>
      <c r="BH72" s="17" t="s">
        <v>671</v>
      </c>
      <c r="BI72" s="17" t="s">
        <v>671</v>
      </c>
      <c r="BJ72" s="17" t="s">
        <v>671</v>
      </c>
      <c r="BK72" s="17" t="s">
        <v>671</v>
      </c>
      <c r="BL72" s="17" t="s">
        <v>671</v>
      </c>
      <c r="BM72" s="17" t="s">
        <v>671</v>
      </c>
      <c r="BN72" s="17" t="s">
        <v>1793</v>
      </c>
      <c r="BO72" s="17"/>
      <c r="BP72" s="17" t="s">
        <v>671</v>
      </c>
      <c r="BQ72" s="17" t="s">
        <v>386</v>
      </c>
      <c r="BR72" s="17" t="s">
        <v>396</v>
      </c>
      <c r="BS72" s="17" t="s">
        <v>386</v>
      </c>
      <c r="BT72" s="17">
        <v>0</v>
      </c>
      <c r="BU72" s="17" t="s">
        <v>1793</v>
      </c>
      <c r="BV72" s="17" t="s">
        <v>671</v>
      </c>
      <c r="BW72" s="19" t="s">
        <v>396</v>
      </c>
      <c r="BX72" s="14" t="s">
        <v>386</v>
      </c>
      <c r="BY72" s="14" t="s">
        <v>386</v>
      </c>
      <c r="BZ72" s="52" t="s">
        <v>386</v>
      </c>
      <c r="CA72" s="52" t="s">
        <v>386</v>
      </c>
      <c r="CB72" s="64" t="s">
        <v>396</v>
      </c>
      <c r="CC72" s="64"/>
      <c r="CD72" s="64"/>
      <c r="CE72" s="64"/>
      <c r="CF72" s="17"/>
      <c r="CG72" s="17"/>
      <c r="CH72" s="17" t="s">
        <v>396</v>
      </c>
      <c r="CI72" s="17"/>
      <c r="CJ72" s="17" t="s">
        <v>396</v>
      </c>
      <c r="CK72" s="17" t="s">
        <v>401</v>
      </c>
      <c r="CL72" s="17"/>
      <c r="CM72" s="17"/>
      <c r="CN72" s="17"/>
      <c r="CO72" s="17"/>
      <c r="CP72" s="24" t="s">
        <v>1396</v>
      </c>
    </row>
    <row r="73" spans="1:94" ht="66" hidden="1" customHeight="1">
      <c r="A73" s="12" t="s">
        <v>1427</v>
      </c>
      <c r="B73" s="1" t="str">
        <f>_xlfn.XLOOKUP(A:A,'Dados Elevatórias'!D:D,'Dados Elevatórias'!B:B)</f>
        <v>PL-RJB-EAT0014</v>
      </c>
      <c r="C73" s="13" t="s">
        <v>2432</v>
      </c>
      <c r="D73" s="14" t="s">
        <v>1764</v>
      </c>
      <c r="E73" s="15" t="s">
        <v>2433</v>
      </c>
      <c r="F73" s="16" t="s">
        <v>1436</v>
      </c>
      <c r="G73" s="16"/>
      <c r="H73" s="14" t="s">
        <v>1783</v>
      </c>
      <c r="I73" s="14" t="s">
        <v>2434</v>
      </c>
      <c r="J73" s="35" t="s">
        <v>2435</v>
      </c>
      <c r="K73" s="17">
        <v>1</v>
      </c>
      <c r="L73" s="14" t="s">
        <v>378</v>
      </c>
      <c r="M73" s="17">
        <v>4.5</v>
      </c>
      <c r="N73" s="17"/>
      <c r="O73" s="17"/>
      <c r="P73" s="17" t="s">
        <v>2436</v>
      </c>
      <c r="Q73" s="17"/>
      <c r="R73" s="14" t="s">
        <v>760</v>
      </c>
      <c r="S73" s="17" t="s">
        <v>662</v>
      </c>
      <c r="T73" s="17" t="s">
        <v>662</v>
      </c>
      <c r="U73" s="17" t="s">
        <v>728</v>
      </c>
      <c r="V73" s="17"/>
      <c r="W73" s="14" t="s">
        <v>671</v>
      </c>
      <c r="X73" s="14" t="s">
        <v>671</v>
      </c>
      <c r="Y73" s="14" t="s">
        <v>671</v>
      </c>
      <c r="Z73" s="14" t="s">
        <v>727</v>
      </c>
      <c r="AA73" s="18">
        <v>30</v>
      </c>
      <c r="AB73" s="19">
        <v>30</v>
      </c>
      <c r="AC73" s="17" t="s">
        <v>433</v>
      </c>
      <c r="AD73" s="17"/>
      <c r="AE73" s="14">
        <v>420400932</v>
      </c>
      <c r="AF73" s="14">
        <v>6748009</v>
      </c>
      <c r="AG73" s="14"/>
      <c r="AH73" s="24" t="s">
        <v>1434</v>
      </c>
      <c r="AI73" s="20" t="s">
        <v>1435</v>
      </c>
      <c r="AJ73" s="17" t="s">
        <v>698</v>
      </c>
      <c r="AK73" s="17" t="s">
        <v>489</v>
      </c>
      <c r="AL73" s="17"/>
      <c r="AM73" s="17"/>
      <c r="AN73" s="17"/>
      <c r="AO73" s="17"/>
      <c r="AP73" s="21" t="s">
        <v>2117</v>
      </c>
      <c r="AQ73" s="21" t="s">
        <v>2437</v>
      </c>
      <c r="AR73" s="21" t="s">
        <v>671</v>
      </c>
      <c r="AS73" s="21" t="s">
        <v>2438</v>
      </c>
      <c r="AT73" s="21" t="s">
        <v>2117</v>
      </c>
      <c r="AU73" s="21" t="s">
        <v>2439</v>
      </c>
      <c r="AV73" s="21" t="s">
        <v>671</v>
      </c>
      <c r="AW73" s="21"/>
      <c r="AX73" s="22">
        <v>44963</v>
      </c>
      <c r="AY73" s="13" t="s">
        <v>2440</v>
      </c>
      <c r="AZ73" s="13" t="s">
        <v>2288</v>
      </c>
      <c r="BA73" s="13">
        <v>10</v>
      </c>
      <c r="BB73" s="13">
        <v>40</v>
      </c>
      <c r="BC73" s="13"/>
      <c r="BD73" s="13" t="s">
        <v>2441</v>
      </c>
      <c r="BE73" s="13">
        <v>12</v>
      </c>
      <c r="BF73" s="13">
        <v>60</v>
      </c>
      <c r="BG73" s="25">
        <v>42109</v>
      </c>
      <c r="BH73" s="17"/>
      <c r="BI73" s="17" t="s">
        <v>2442</v>
      </c>
      <c r="BJ73" s="17" t="s">
        <v>671</v>
      </c>
      <c r="BK73" s="17" t="s">
        <v>671</v>
      </c>
      <c r="BL73" s="17" t="s">
        <v>671</v>
      </c>
      <c r="BM73" s="17" t="s">
        <v>671</v>
      </c>
      <c r="BN73" s="17" t="s">
        <v>671</v>
      </c>
      <c r="BO73" s="17"/>
      <c r="BP73" s="17" t="s">
        <v>2310</v>
      </c>
      <c r="BQ73" s="17" t="s">
        <v>386</v>
      </c>
      <c r="BR73" s="17" t="s">
        <v>396</v>
      </c>
      <c r="BS73" s="17" t="s">
        <v>386</v>
      </c>
      <c r="BT73" s="17" t="s">
        <v>671</v>
      </c>
      <c r="BU73" s="17" t="s">
        <v>671</v>
      </c>
      <c r="BV73" s="17" t="s">
        <v>671</v>
      </c>
      <c r="BW73" s="14" t="s">
        <v>386</v>
      </c>
      <c r="BX73" s="14" t="s">
        <v>386</v>
      </c>
      <c r="BY73" s="19" t="s">
        <v>396</v>
      </c>
      <c r="BZ73" s="52" t="s">
        <v>386</v>
      </c>
      <c r="CA73" s="52" t="s">
        <v>386</v>
      </c>
      <c r="CB73" s="64" t="s">
        <v>396</v>
      </c>
      <c r="CC73" s="64"/>
      <c r="CD73" s="64"/>
      <c r="CE73" s="64"/>
      <c r="CF73" s="17"/>
      <c r="CG73" s="17"/>
      <c r="CH73" s="17" t="s">
        <v>396</v>
      </c>
      <c r="CI73" s="17"/>
      <c r="CJ73" s="17" t="s">
        <v>396</v>
      </c>
      <c r="CK73" s="17" t="s">
        <v>401</v>
      </c>
      <c r="CL73" s="17"/>
      <c r="CM73" s="17"/>
      <c r="CN73" s="17"/>
      <c r="CO73" s="17" t="s">
        <v>1436</v>
      </c>
      <c r="CP73" s="24"/>
    </row>
    <row r="74" spans="1:94" ht="66" hidden="1" customHeight="1">
      <c r="A74" s="12" t="s">
        <v>1449</v>
      </c>
      <c r="B74" s="1" t="str">
        <f>_xlfn.XLOOKUP(A:A,'Dados Elevatórias'!D:D,'Dados Elevatórias'!B:B)</f>
        <v>PL-RJB-EAT0831</v>
      </c>
      <c r="C74" s="13" t="s">
        <v>2443</v>
      </c>
      <c r="D74" s="14" t="s">
        <v>1764</v>
      </c>
      <c r="E74" s="15" t="s">
        <v>2444</v>
      </c>
      <c r="F74" s="16" t="s">
        <v>1370</v>
      </c>
      <c r="G74" s="16"/>
      <c r="H74" s="14" t="s">
        <v>576</v>
      </c>
      <c r="I74" s="14" t="s">
        <v>2445</v>
      </c>
      <c r="J74" s="17" t="s">
        <v>377</v>
      </c>
      <c r="K74" s="17">
        <v>1</v>
      </c>
      <c r="L74" s="14" t="s">
        <v>378</v>
      </c>
      <c r="M74" s="17">
        <v>5</v>
      </c>
      <c r="N74" s="17">
        <v>3530</v>
      </c>
      <c r="O74" s="17" t="s">
        <v>2446</v>
      </c>
      <c r="P74" s="17"/>
      <c r="Q74" s="17" t="s">
        <v>2447</v>
      </c>
      <c r="R74" s="14"/>
      <c r="S74" s="17"/>
      <c r="T74" s="17"/>
      <c r="U74" s="17" t="s">
        <v>455</v>
      </c>
      <c r="V74" s="17"/>
      <c r="W74" s="14" t="s">
        <v>671</v>
      </c>
      <c r="X74" s="14" t="s">
        <v>671</v>
      </c>
      <c r="Y74" s="14" t="s">
        <v>671</v>
      </c>
      <c r="Z74" s="14"/>
      <c r="AA74" s="18">
        <v>18</v>
      </c>
      <c r="AB74" s="19">
        <v>30</v>
      </c>
      <c r="AC74" s="17" t="s">
        <v>433</v>
      </c>
      <c r="AD74" s="17" t="s">
        <v>662</v>
      </c>
      <c r="AE74" s="14">
        <v>420160761</v>
      </c>
      <c r="AF74" s="14">
        <v>6098959</v>
      </c>
      <c r="AG74" s="14"/>
      <c r="AH74" s="24" t="s">
        <v>1458</v>
      </c>
      <c r="AI74" s="20" t="s">
        <v>1459</v>
      </c>
      <c r="AJ74" s="17" t="s">
        <v>669</v>
      </c>
      <c r="AK74" s="17" t="s">
        <v>669</v>
      </c>
      <c r="AL74" s="17"/>
      <c r="AM74" s="17"/>
      <c r="AN74" s="17">
        <v>600</v>
      </c>
      <c r="AO74" s="17"/>
      <c r="AP74" s="13" t="s">
        <v>2448</v>
      </c>
      <c r="AQ74" s="13" t="s">
        <v>2449</v>
      </c>
      <c r="AR74" s="13" t="s">
        <v>1954</v>
      </c>
      <c r="AS74" s="13" t="s">
        <v>1790</v>
      </c>
      <c r="AT74" s="13" t="s">
        <v>2448</v>
      </c>
      <c r="AU74" s="13" t="s">
        <v>2450</v>
      </c>
      <c r="AV74" s="13"/>
      <c r="AW74" s="13" t="s">
        <v>1791</v>
      </c>
      <c r="AX74" s="25">
        <v>44962</v>
      </c>
      <c r="AY74" s="13" t="s">
        <v>662</v>
      </c>
      <c r="AZ74" s="13"/>
      <c r="BA74" s="13"/>
      <c r="BB74" s="13"/>
      <c r="BC74" s="13"/>
      <c r="BD74" s="13"/>
      <c r="BE74" s="13"/>
      <c r="BF74" s="13"/>
      <c r="BG74" s="13"/>
      <c r="BH74" s="17" t="s">
        <v>414</v>
      </c>
      <c r="BI74" s="17" t="s">
        <v>2451</v>
      </c>
      <c r="BJ74" s="17"/>
      <c r="BK74" s="17"/>
      <c r="BL74" s="17"/>
      <c r="BM74" s="17"/>
      <c r="BN74" s="17" t="s">
        <v>671</v>
      </c>
      <c r="BO74" s="17" t="s">
        <v>2066</v>
      </c>
      <c r="BP74" s="17" t="s">
        <v>1882</v>
      </c>
      <c r="BQ74" s="17" t="s">
        <v>396</v>
      </c>
      <c r="BR74" s="17" t="s">
        <v>396</v>
      </c>
      <c r="BS74" s="17" t="s">
        <v>396</v>
      </c>
      <c r="BT74" s="17" t="s">
        <v>671</v>
      </c>
      <c r="BU74" s="17" t="s">
        <v>671</v>
      </c>
      <c r="BV74" s="17" t="s">
        <v>1883</v>
      </c>
      <c r="BW74" s="19" t="s">
        <v>396</v>
      </c>
      <c r="BX74" s="14" t="s">
        <v>386</v>
      </c>
      <c r="BY74" s="14" t="s">
        <v>386</v>
      </c>
      <c r="BZ74" s="52" t="s">
        <v>386</v>
      </c>
      <c r="CA74" s="52" t="s">
        <v>386</v>
      </c>
      <c r="CB74" s="64" t="s">
        <v>396</v>
      </c>
      <c r="CC74" s="64"/>
      <c r="CD74" s="64"/>
      <c r="CE74" s="64"/>
      <c r="CF74" s="17"/>
      <c r="CG74" s="17"/>
      <c r="CH74" s="17" t="s">
        <v>396</v>
      </c>
      <c r="CI74" s="17"/>
      <c r="CJ74" s="17" t="s">
        <v>396</v>
      </c>
      <c r="CK74" s="17" t="s">
        <v>401</v>
      </c>
      <c r="CL74" s="17"/>
      <c r="CM74" s="17"/>
      <c r="CN74" s="17"/>
      <c r="CO74" s="17"/>
      <c r="CP74" s="24"/>
    </row>
    <row r="75" spans="1:94" ht="66" hidden="1" customHeight="1">
      <c r="A75" s="1" t="s">
        <v>1464</v>
      </c>
      <c r="B75" s="1" t="str">
        <f>_xlfn.XLOOKUP(A:A,'Dados Elevatórias'!D:D,'Dados Elevatórias'!B:B)</f>
        <v>PL-RJB-EAT0751</v>
      </c>
      <c r="C75" s="13" t="s">
        <v>2452</v>
      </c>
      <c r="D75" s="14" t="s">
        <v>1764</v>
      </c>
      <c r="E75" s="41" t="s">
        <v>2453</v>
      </c>
      <c r="F75" s="16" t="s">
        <v>1370</v>
      </c>
      <c r="G75" s="16"/>
      <c r="H75" s="14" t="s">
        <v>1783</v>
      </c>
      <c r="I75" s="14" t="s">
        <v>2454</v>
      </c>
      <c r="J75" s="17" t="s">
        <v>377</v>
      </c>
      <c r="K75" s="17">
        <v>1</v>
      </c>
      <c r="L75" s="14" t="s">
        <v>378</v>
      </c>
      <c r="M75" s="17">
        <v>3</v>
      </c>
      <c r="N75" s="17">
        <v>3450</v>
      </c>
      <c r="O75" s="17" t="s">
        <v>1467</v>
      </c>
      <c r="P75" s="17" t="s">
        <v>2455</v>
      </c>
      <c r="Q75" s="17" t="s">
        <v>2456</v>
      </c>
      <c r="R75" s="14" t="s">
        <v>722</v>
      </c>
      <c r="S75" s="17"/>
      <c r="T75" s="17"/>
      <c r="U75" s="17" t="s">
        <v>728</v>
      </c>
      <c r="V75" s="17"/>
      <c r="W75" s="14"/>
      <c r="X75" s="14" t="s">
        <v>485</v>
      </c>
      <c r="Y75" s="14" t="s">
        <v>671</v>
      </c>
      <c r="Z75" s="14" t="s">
        <v>727</v>
      </c>
      <c r="AA75" s="32">
        <v>28.48</v>
      </c>
      <c r="AB75" s="19" t="s">
        <v>1471</v>
      </c>
      <c r="AC75" s="17" t="s">
        <v>433</v>
      </c>
      <c r="AD75" s="17"/>
      <c r="AE75" s="17"/>
      <c r="AF75" s="14"/>
      <c r="AG75" s="14"/>
      <c r="AH75" s="17"/>
      <c r="AI75" s="14"/>
      <c r="AJ75" s="17" t="s">
        <v>489</v>
      </c>
      <c r="AK75" s="17" t="s">
        <v>489</v>
      </c>
      <c r="AL75" s="17"/>
      <c r="AM75" s="17"/>
      <c r="AN75" s="17"/>
      <c r="AO75" s="17"/>
      <c r="AP75" s="13" t="s">
        <v>2457</v>
      </c>
      <c r="AQ75" s="13" t="s">
        <v>2458</v>
      </c>
      <c r="AR75" s="13" t="s">
        <v>2178</v>
      </c>
      <c r="AS75" s="13" t="s">
        <v>2295</v>
      </c>
      <c r="AT75" s="13"/>
      <c r="AU75" s="13" t="s">
        <v>2459</v>
      </c>
      <c r="AV75" s="13"/>
      <c r="AW75" s="13" t="s">
        <v>840</v>
      </c>
      <c r="AX75" s="25">
        <v>44998</v>
      </c>
      <c r="AY75" s="13"/>
      <c r="AZ75" s="13"/>
      <c r="BA75" s="13"/>
      <c r="BB75" s="13"/>
      <c r="BC75" s="13"/>
      <c r="BD75" s="13"/>
      <c r="BE75" s="13"/>
      <c r="BF75" s="13"/>
      <c r="BG75" s="13"/>
      <c r="BH75" s="17" t="s">
        <v>671</v>
      </c>
      <c r="BI75" s="17" t="s">
        <v>671</v>
      </c>
      <c r="BJ75" s="17" t="s">
        <v>671</v>
      </c>
      <c r="BK75" s="17" t="s">
        <v>671</v>
      </c>
      <c r="BL75" s="17" t="s">
        <v>671</v>
      </c>
      <c r="BM75" s="17" t="s">
        <v>671</v>
      </c>
      <c r="BN75" s="17" t="s">
        <v>1611</v>
      </c>
      <c r="BO75" s="17"/>
      <c r="BP75" s="17" t="s">
        <v>671</v>
      </c>
      <c r="BQ75" s="17" t="s">
        <v>671</v>
      </c>
      <c r="BR75" s="17" t="s">
        <v>396</v>
      </c>
      <c r="BS75" s="17" t="s">
        <v>396</v>
      </c>
      <c r="BT75" s="17">
        <v>0</v>
      </c>
      <c r="BU75" s="17" t="s">
        <v>1611</v>
      </c>
      <c r="BV75" s="17" t="s">
        <v>671</v>
      </c>
      <c r="BW75" s="14" t="s">
        <v>386</v>
      </c>
      <c r="BX75" s="19" t="s">
        <v>396</v>
      </c>
      <c r="BY75" s="14" t="s">
        <v>386</v>
      </c>
      <c r="BZ75" s="52" t="s">
        <v>386</v>
      </c>
      <c r="CA75" s="52" t="s">
        <v>386</v>
      </c>
      <c r="CB75" s="64" t="s">
        <v>396</v>
      </c>
      <c r="CC75" s="64"/>
      <c r="CD75" s="64"/>
      <c r="CE75" s="64"/>
      <c r="CF75" s="17"/>
      <c r="CG75" s="17"/>
      <c r="CH75" s="17" t="s">
        <v>396</v>
      </c>
      <c r="CI75" s="17"/>
      <c r="CJ75" s="17" t="s">
        <v>396</v>
      </c>
      <c r="CK75" s="17" t="s">
        <v>401</v>
      </c>
      <c r="CL75" s="17"/>
      <c r="CM75" s="17"/>
      <c r="CN75" s="17"/>
      <c r="CO75" s="17"/>
      <c r="CP75" s="17"/>
    </row>
    <row r="76" spans="1:94" ht="66" hidden="1" customHeight="1">
      <c r="A76" s="12" t="s">
        <v>1478</v>
      </c>
      <c r="B76" s="1" t="str">
        <f>_xlfn.XLOOKUP(A:A,'Dados Elevatórias'!D:D,'Dados Elevatórias'!B:B)</f>
        <v>PL-RJB-EAT0739</v>
      </c>
      <c r="C76" s="13" t="s">
        <v>2460</v>
      </c>
      <c r="D76" s="14" t="s">
        <v>1764</v>
      </c>
      <c r="E76" s="15" t="s">
        <v>2461</v>
      </c>
      <c r="F76" s="16" t="s">
        <v>1370</v>
      </c>
      <c r="G76" s="16"/>
      <c r="H76" s="14" t="s">
        <v>443</v>
      </c>
      <c r="I76" s="14" t="s">
        <v>2462</v>
      </c>
      <c r="J76" s="17" t="s">
        <v>377</v>
      </c>
      <c r="K76" s="17">
        <v>1</v>
      </c>
      <c r="L76" s="14" t="s">
        <v>378</v>
      </c>
      <c r="M76" s="17">
        <v>15</v>
      </c>
      <c r="N76" s="17">
        <v>3500</v>
      </c>
      <c r="O76" s="17" t="s">
        <v>1902</v>
      </c>
      <c r="P76" s="17">
        <v>687</v>
      </c>
      <c r="Q76" s="17"/>
      <c r="R76" s="14" t="s">
        <v>898</v>
      </c>
      <c r="S76" s="17"/>
      <c r="T76" s="17"/>
      <c r="U76" s="14" t="s">
        <v>455</v>
      </c>
      <c r="V76" s="14"/>
      <c r="W76" s="14"/>
      <c r="X76" s="14"/>
      <c r="Y76" s="14"/>
      <c r="Z76" s="14" t="s">
        <v>1820</v>
      </c>
      <c r="AA76" s="31">
        <v>45</v>
      </c>
      <c r="AB76" s="19"/>
      <c r="AC76" s="17" t="s">
        <v>433</v>
      </c>
      <c r="AD76" s="17"/>
      <c r="AE76" s="17">
        <v>430097043</v>
      </c>
      <c r="AF76" s="14">
        <v>9434570</v>
      </c>
      <c r="AG76" s="14"/>
      <c r="AH76" s="24" t="s">
        <v>1487</v>
      </c>
      <c r="AI76" s="20" t="s">
        <v>1488</v>
      </c>
      <c r="AJ76" s="17" t="s">
        <v>669</v>
      </c>
      <c r="AK76" s="17" t="s">
        <v>669</v>
      </c>
      <c r="AL76" s="17"/>
      <c r="AM76" s="17"/>
      <c r="AN76" s="17"/>
      <c r="AO76" s="17"/>
      <c r="AP76" s="13" t="s">
        <v>2463</v>
      </c>
      <c r="AQ76" s="13" t="s">
        <v>2464</v>
      </c>
      <c r="AR76" s="13" t="s">
        <v>671</v>
      </c>
      <c r="AS76" s="13" t="s">
        <v>840</v>
      </c>
      <c r="AT76" s="13" t="s">
        <v>2463</v>
      </c>
      <c r="AU76" s="13" t="s">
        <v>2465</v>
      </c>
      <c r="AV76" s="13" t="s">
        <v>671</v>
      </c>
      <c r="AW76" s="13" t="s">
        <v>648</v>
      </c>
      <c r="AX76" s="25">
        <v>44952</v>
      </c>
      <c r="AY76" s="13"/>
      <c r="AZ76" s="13"/>
      <c r="BA76" s="13"/>
      <c r="BB76" s="13"/>
      <c r="BC76" s="13"/>
      <c r="BD76" s="13"/>
      <c r="BE76" s="13"/>
      <c r="BF76" s="13"/>
      <c r="BG76" s="13"/>
      <c r="BH76" s="17" t="s">
        <v>2185</v>
      </c>
      <c r="BI76" s="17" t="s">
        <v>2190</v>
      </c>
      <c r="BJ76" s="17" t="s">
        <v>671</v>
      </c>
      <c r="BK76" s="17" t="s">
        <v>671</v>
      </c>
      <c r="BL76" s="17" t="s">
        <v>671</v>
      </c>
      <c r="BM76" s="17" t="s">
        <v>671</v>
      </c>
      <c r="BN76" s="17" t="s">
        <v>1923</v>
      </c>
      <c r="BO76" s="17"/>
      <c r="BP76" s="17" t="s">
        <v>2466</v>
      </c>
      <c r="BQ76" s="17" t="s">
        <v>386</v>
      </c>
      <c r="BR76" s="17" t="s">
        <v>386</v>
      </c>
      <c r="BS76" s="17" t="s">
        <v>386</v>
      </c>
      <c r="BT76" s="17">
        <v>0</v>
      </c>
      <c r="BU76" s="17" t="s">
        <v>1923</v>
      </c>
      <c r="BV76" s="17" t="s">
        <v>1883</v>
      </c>
      <c r="BW76" s="14" t="s">
        <v>386</v>
      </c>
      <c r="BX76" s="14" t="s">
        <v>386</v>
      </c>
      <c r="BY76" s="19" t="s">
        <v>396</v>
      </c>
      <c r="BZ76" s="52" t="s">
        <v>386</v>
      </c>
      <c r="CA76" s="52" t="s">
        <v>386</v>
      </c>
      <c r="CB76" s="64" t="s">
        <v>396</v>
      </c>
      <c r="CC76" s="64"/>
      <c r="CD76" s="64"/>
      <c r="CE76" s="64"/>
      <c r="CF76" s="17"/>
      <c r="CG76" s="17"/>
      <c r="CH76" s="17" t="s">
        <v>671</v>
      </c>
      <c r="CI76" s="17" t="s">
        <v>671</v>
      </c>
      <c r="CJ76" s="17" t="s">
        <v>671</v>
      </c>
      <c r="CK76" s="17" t="s">
        <v>401</v>
      </c>
      <c r="CL76" s="17"/>
      <c r="CM76" s="17"/>
      <c r="CN76" s="17"/>
      <c r="CO76" s="17"/>
      <c r="CP76" s="24"/>
    </row>
    <row r="77" spans="1:94" ht="66" hidden="1" customHeight="1">
      <c r="A77" s="1" t="s">
        <v>1498</v>
      </c>
      <c r="B77" s="1" t="str">
        <f>_xlfn.XLOOKUP(A:A,'Dados Elevatórias'!D:D,'Dados Elevatórias'!B:B)</f>
        <v>PL-RJB-EAT0061</v>
      </c>
      <c r="C77" s="13" t="s">
        <v>2467</v>
      </c>
      <c r="D77" s="14" t="s">
        <v>1764</v>
      </c>
      <c r="E77" s="15" t="s">
        <v>2468</v>
      </c>
      <c r="F77" s="16" t="s">
        <v>2469</v>
      </c>
      <c r="G77" s="16"/>
      <c r="H77" s="14" t="s">
        <v>1783</v>
      </c>
      <c r="I77" s="14" t="s">
        <v>2470</v>
      </c>
      <c r="J77" s="17" t="s">
        <v>377</v>
      </c>
      <c r="K77" s="17">
        <v>1</v>
      </c>
      <c r="L77" s="14" t="s">
        <v>378</v>
      </c>
      <c r="M77" s="17">
        <v>10</v>
      </c>
      <c r="N77" s="17">
        <v>3535</v>
      </c>
      <c r="O77" s="17" t="s">
        <v>2471</v>
      </c>
      <c r="P77" s="17">
        <v>650</v>
      </c>
      <c r="Q77" s="17" t="s">
        <v>1502</v>
      </c>
      <c r="R77" s="14" t="s">
        <v>898</v>
      </c>
      <c r="S77" s="17"/>
      <c r="T77" s="17" t="s">
        <v>1930</v>
      </c>
      <c r="U77" s="14" t="s">
        <v>455</v>
      </c>
      <c r="V77" s="14"/>
      <c r="W77" s="14"/>
      <c r="X77" s="14"/>
      <c r="Y77" s="14"/>
      <c r="Z77" s="14" t="s">
        <v>1820</v>
      </c>
      <c r="AA77" s="18">
        <v>30</v>
      </c>
      <c r="AB77" s="19">
        <v>55</v>
      </c>
      <c r="AC77" s="17" t="s">
        <v>433</v>
      </c>
      <c r="AD77" s="17"/>
      <c r="AE77" s="14">
        <v>413142699</v>
      </c>
      <c r="AF77" s="14">
        <v>5694464</v>
      </c>
      <c r="AG77" s="14"/>
      <c r="AH77" s="24" t="s">
        <v>1505</v>
      </c>
      <c r="AI77" s="43" t="s">
        <v>1506</v>
      </c>
      <c r="AJ77" s="17" t="s">
        <v>988</v>
      </c>
      <c r="AK77" s="17" t="s">
        <v>988</v>
      </c>
      <c r="AL77" s="17"/>
      <c r="AM77" s="17"/>
      <c r="AN77" s="17"/>
      <c r="AO77" s="17"/>
      <c r="AP77" s="21" t="s">
        <v>2472</v>
      </c>
      <c r="AQ77" s="21" t="s">
        <v>2473</v>
      </c>
      <c r="AR77" s="21" t="s">
        <v>1976</v>
      </c>
      <c r="AS77" s="21" t="s">
        <v>2474</v>
      </c>
      <c r="AT77" s="21" t="s">
        <v>2152</v>
      </c>
      <c r="AU77" s="21" t="s">
        <v>2475</v>
      </c>
      <c r="AV77" s="21" t="s">
        <v>1976</v>
      </c>
      <c r="AW77" s="21" t="s">
        <v>840</v>
      </c>
      <c r="AX77" s="22">
        <v>44956</v>
      </c>
      <c r="AY77" s="13" t="s">
        <v>2476</v>
      </c>
      <c r="AZ77" s="13" t="s">
        <v>1939</v>
      </c>
      <c r="BA77" s="13"/>
      <c r="BB77" s="13"/>
      <c r="BC77" s="13" t="s">
        <v>2477</v>
      </c>
      <c r="BD77" s="13" t="s">
        <v>2478</v>
      </c>
      <c r="BE77" s="13"/>
      <c r="BF77" s="13">
        <v>80</v>
      </c>
      <c r="BG77" s="25">
        <v>42763</v>
      </c>
      <c r="BH77" s="17" t="s">
        <v>671</v>
      </c>
      <c r="BI77" s="17" t="s">
        <v>671</v>
      </c>
      <c r="BJ77" s="17" t="s">
        <v>671</v>
      </c>
      <c r="BK77" s="17" t="s">
        <v>671</v>
      </c>
      <c r="BL77" s="17" t="s">
        <v>671</v>
      </c>
      <c r="BM77" s="17" t="s">
        <v>671</v>
      </c>
      <c r="BN77" s="17" t="s">
        <v>671</v>
      </c>
      <c r="BO77" s="17" t="s">
        <v>1858</v>
      </c>
      <c r="BP77" s="17" t="s">
        <v>671</v>
      </c>
      <c r="BQ77" s="17" t="s">
        <v>386</v>
      </c>
      <c r="BR77" s="17" t="s">
        <v>396</v>
      </c>
      <c r="BS77" s="17" t="s">
        <v>386</v>
      </c>
      <c r="BT77" s="17" t="s">
        <v>671</v>
      </c>
      <c r="BU77" s="17" t="s">
        <v>671</v>
      </c>
      <c r="BV77" s="17" t="s">
        <v>671</v>
      </c>
      <c r="BW77" s="19" t="s">
        <v>396</v>
      </c>
      <c r="BX77" s="14" t="s">
        <v>386</v>
      </c>
      <c r="BY77" s="14" t="s">
        <v>386</v>
      </c>
      <c r="BZ77" s="52" t="s">
        <v>386</v>
      </c>
      <c r="CA77" s="52" t="s">
        <v>386</v>
      </c>
      <c r="CB77" s="64" t="s">
        <v>396</v>
      </c>
      <c r="CC77" s="64" t="s">
        <v>397</v>
      </c>
      <c r="CD77" s="64" t="s">
        <v>398</v>
      </c>
      <c r="CE77" s="64"/>
      <c r="CF77" s="23">
        <v>45689</v>
      </c>
      <c r="CG77" s="23">
        <v>45689</v>
      </c>
      <c r="CH77" s="17" t="s">
        <v>396</v>
      </c>
      <c r="CI77" s="17"/>
      <c r="CJ77" s="17" t="s">
        <v>396</v>
      </c>
      <c r="CK77" s="17" t="s">
        <v>401</v>
      </c>
      <c r="CL77" s="17"/>
      <c r="CM77" s="17"/>
      <c r="CN77" s="17"/>
      <c r="CO77" s="17"/>
      <c r="CP77" s="24" t="s">
        <v>1507</v>
      </c>
    </row>
    <row r="78" spans="1:94" ht="66" hidden="1" customHeight="1">
      <c r="A78" s="12" t="s">
        <v>1524</v>
      </c>
      <c r="B78" s="1" t="str">
        <f>_xlfn.XLOOKUP(A:A,'Dados Elevatórias'!D:D,'Dados Elevatórias'!B:B)</f>
        <v>PL-RJB-EAT0098</v>
      </c>
      <c r="C78" s="13" t="s">
        <v>2479</v>
      </c>
      <c r="D78" s="14" t="s">
        <v>1764</v>
      </c>
      <c r="E78" s="15" t="s">
        <v>2480</v>
      </c>
      <c r="F78" s="16" t="s">
        <v>1970</v>
      </c>
      <c r="G78" s="16"/>
      <c r="H78" s="14" t="s">
        <v>1767</v>
      </c>
      <c r="I78" s="14" t="s">
        <v>2481</v>
      </c>
      <c r="J78" s="17" t="s">
        <v>377</v>
      </c>
      <c r="K78" s="17">
        <v>1</v>
      </c>
      <c r="L78" s="14" t="s">
        <v>378</v>
      </c>
      <c r="M78" s="17">
        <v>10</v>
      </c>
      <c r="N78" s="17" t="s">
        <v>1944</v>
      </c>
      <c r="O78" s="17" t="s">
        <v>1902</v>
      </c>
      <c r="P78" s="17" t="s">
        <v>2230</v>
      </c>
      <c r="Q78" s="17" t="s">
        <v>2482</v>
      </c>
      <c r="R78" s="14" t="s">
        <v>1192</v>
      </c>
      <c r="S78" s="17"/>
      <c r="T78" s="17" t="s">
        <v>1930</v>
      </c>
      <c r="U78" s="17" t="s">
        <v>728</v>
      </c>
      <c r="V78" s="17"/>
      <c r="W78" s="14" t="s">
        <v>671</v>
      </c>
      <c r="X78" s="14" t="s">
        <v>671</v>
      </c>
      <c r="Y78" s="14" t="s">
        <v>671</v>
      </c>
      <c r="Z78" s="14" t="s">
        <v>727</v>
      </c>
      <c r="AA78" s="18" t="s">
        <v>2388</v>
      </c>
      <c r="AB78" s="19"/>
      <c r="AC78" s="17" t="s">
        <v>433</v>
      </c>
      <c r="AD78" s="17"/>
      <c r="AE78" s="14"/>
      <c r="AF78" s="14"/>
      <c r="AG78" s="14"/>
      <c r="AH78" s="24"/>
      <c r="AI78" s="43"/>
      <c r="AJ78" s="17"/>
      <c r="AK78" s="17"/>
      <c r="AL78" s="17"/>
      <c r="AM78" s="17"/>
      <c r="AN78" s="17"/>
      <c r="AO78" s="17"/>
      <c r="AP78" s="30">
        <v>210212210</v>
      </c>
      <c r="AQ78" s="21" t="s">
        <v>2483</v>
      </c>
      <c r="AR78" s="21" t="s">
        <v>2334</v>
      </c>
      <c r="AS78" s="21" t="s">
        <v>2484</v>
      </c>
      <c r="AT78" s="30">
        <v>210212210</v>
      </c>
      <c r="AU78" s="21" t="s">
        <v>2485</v>
      </c>
      <c r="AV78" s="21" t="s">
        <v>1774</v>
      </c>
      <c r="AW78" s="21" t="s">
        <v>587</v>
      </c>
      <c r="AX78" s="22">
        <v>45007</v>
      </c>
      <c r="AY78" s="13"/>
      <c r="AZ78" s="13"/>
      <c r="BA78" s="13"/>
      <c r="BB78" s="13"/>
      <c r="BC78" s="13"/>
      <c r="BD78" s="13"/>
      <c r="BE78" s="13"/>
      <c r="BF78" s="13"/>
      <c r="BG78" s="13"/>
      <c r="BH78" s="17" t="s">
        <v>671</v>
      </c>
      <c r="BI78" s="17" t="s">
        <v>671</v>
      </c>
      <c r="BJ78" s="17" t="s">
        <v>671</v>
      </c>
      <c r="BK78" s="17" t="s">
        <v>671</v>
      </c>
      <c r="BL78" s="17" t="s">
        <v>671</v>
      </c>
      <c r="BM78" s="17" t="s">
        <v>671</v>
      </c>
      <c r="BN78" s="17" t="s">
        <v>1793</v>
      </c>
      <c r="BO78" s="17"/>
      <c r="BP78" s="17" t="s">
        <v>671</v>
      </c>
      <c r="BQ78" s="17" t="s">
        <v>386</v>
      </c>
      <c r="BR78" s="17" t="s">
        <v>396</v>
      </c>
      <c r="BS78" s="17" t="s">
        <v>386</v>
      </c>
      <c r="BT78" s="17">
        <v>0</v>
      </c>
      <c r="BU78" s="17" t="s">
        <v>1793</v>
      </c>
      <c r="BV78" s="17" t="s">
        <v>671</v>
      </c>
      <c r="BW78" s="14" t="s">
        <v>386</v>
      </c>
      <c r="BX78" s="19" t="s">
        <v>396</v>
      </c>
      <c r="BY78" s="14" t="s">
        <v>386</v>
      </c>
      <c r="BZ78" s="52" t="s">
        <v>386</v>
      </c>
      <c r="CA78" s="52" t="s">
        <v>386</v>
      </c>
      <c r="CB78" s="64" t="s">
        <v>396</v>
      </c>
      <c r="CC78" s="64"/>
      <c r="CD78" s="64"/>
      <c r="CE78" s="64"/>
      <c r="CF78" s="17"/>
      <c r="CG78" s="17"/>
      <c r="CH78" s="17" t="s">
        <v>396</v>
      </c>
      <c r="CI78" s="17"/>
      <c r="CJ78" s="17" t="s">
        <v>396</v>
      </c>
      <c r="CK78" s="17" t="s">
        <v>401</v>
      </c>
      <c r="CL78" s="17"/>
      <c r="CM78" s="17"/>
      <c r="CN78" s="17"/>
      <c r="CO78" s="17"/>
      <c r="CP78" s="24"/>
    </row>
    <row r="79" spans="1:94" ht="66" hidden="1" customHeight="1">
      <c r="A79" s="149" t="s">
        <v>2486</v>
      </c>
      <c r="B79" s="1" t="s">
        <v>141</v>
      </c>
      <c r="C79" s="13" t="s">
        <v>2487</v>
      </c>
      <c r="D79" s="14" t="s">
        <v>1764</v>
      </c>
      <c r="E79" s="42" t="s">
        <v>2488</v>
      </c>
      <c r="F79" s="27" t="s">
        <v>1124</v>
      </c>
      <c r="G79" s="27"/>
      <c r="H79" s="17" t="s">
        <v>2489</v>
      </c>
      <c r="I79" s="17" t="s">
        <v>2490</v>
      </c>
      <c r="J79" s="17" t="s">
        <v>377</v>
      </c>
      <c r="K79" s="17">
        <v>1</v>
      </c>
      <c r="L79" s="14" t="s">
        <v>378</v>
      </c>
      <c r="M79" s="17">
        <v>200</v>
      </c>
      <c r="N79" s="17">
        <v>1190</v>
      </c>
      <c r="O79" s="17" t="s">
        <v>1239</v>
      </c>
      <c r="P79" s="17" t="s">
        <v>2491</v>
      </c>
      <c r="Q79" s="17" t="s">
        <v>1231</v>
      </c>
      <c r="R79" s="14"/>
      <c r="S79" s="17"/>
      <c r="T79" s="17"/>
      <c r="U79" s="17" t="s">
        <v>2492</v>
      </c>
      <c r="V79" s="17"/>
      <c r="W79" s="14"/>
      <c r="X79" s="14"/>
      <c r="Y79" s="14"/>
      <c r="Z79" s="14" t="s">
        <v>411</v>
      </c>
      <c r="AA79" s="18"/>
      <c r="AB79" s="19"/>
      <c r="AC79" s="17" t="s">
        <v>563</v>
      </c>
      <c r="AD79" s="17">
        <v>500</v>
      </c>
      <c r="AE79" s="14"/>
      <c r="AF79" s="14"/>
      <c r="AG79" s="14"/>
      <c r="AH79" s="24"/>
      <c r="AI79" s="43"/>
      <c r="AJ79" s="17"/>
      <c r="AK79" s="17"/>
      <c r="AL79" s="17"/>
      <c r="AM79" s="17"/>
      <c r="AN79" s="17"/>
      <c r="AO79" s="17"/>
      <c r="AP79" s="21" t="s">
        <v>2493</v>
      </c>
      <c r="AQ79" s="21" t="s">
        <v>2494</v>
      </c>
      <c r="AR79" s="21" t="s">
        <v>762</v>
      </c>
      <c r="AS79" s="21" t="s">
        <v>2495</v>
      </c>
      <c r="AT79" s="21" t="s">
        <v>671</v>
      </c>
      <c r="AU79" s="21" t="s">
        <v>671</v>
      </c>
      <c r="AV79" s="21" t="s">
        <v>671</v>
      </c>
      <c r="AW79" s="21" t="s">
        <v>671</v>
      </c>
      <c r="AX79" s="22">
        <v>44952</v>
      </c>
      <c r="AY79" s="13">
        <v>13.8</v>
      </c>
      <c r="AZ79" s="13"/>
      <c r="BA79" s="13"/>
      <c r="BB79" s="13"/>
      <c r="BC79" s="13"/>
      <c r="BD79" s="13"/>
      <c r="BE79" s="13"/>
      <c r="BF79" s="13"/>
      <c r="BG79" s="13"/>
      <c r="BH79" s="17" t="s">
        <v>671</v>
      </c>
      <c r="BI79" s="17" t="s">
        <v>671</v>
      </c>
      <c r="BJ79" s="17" t="s">
        <v>671</v>
      </c>
      <c r="BK79" s="17" t="s">
        <v>671</v>
      </c>
      <c r="BL79" s="17" t="s">
        <v>671</v>
      </c>
      <c r="BM79" s="17" t="s">
        <v>671</v>
      </c>
      <c r="BN79" s="17" t="s">
        <v>515</v>
      </c>
      <c r="BO79" s="17" t="s">
        <v>512</v>
      </c>
      <c r="BP79" s="17" t="s">
        <v>671</v>
      </c>
      <c r="BQ79" s="17" t="s">
        <v>386</v>
      </c>
      <c r="BR79" s="17"/>
      <c r="BS79" s="17" t="s">
        <v>386</v>
      </c>
      <c r="BT79" s="17" t="s">
        <v>2496</v>
      </c>
      <c r="BU79" s="17" t="s">
        <v>515</v>
      </c>
      <c r="BV79" s="17" t="s">
        <v>671</v>
      </c>
      <c r="BW79" s="150" t="s">
        <v>396</v>
      </c>
      <c r="BX79" s="14" t="s">
        <v>386</v>
      </c>
      <c r="BY79" s="14" t="s">
        <v>386</v>
      </c>
      <c r="BZ79" s="52" t="s">
        <v>386</v>
      </c>
      <c r="CA79" s="64" t="s">
        <v>396</v>
      </c>
      <c r="CB79" s="174" t="s">
        <v>396</v>
      </c>
      <c r="CC79" s="64" t="s">
        <v>516</v>
      </c>
      <c r="CD79" s="64"/>
      <c r="CE79" s="64" t="s">
        <v>1237</v>
      </c>
      <c r="CF79" s="17"/>
      <c r="CG79" s="17"/>
      <c r="CH79" s="17"/>
      <c r="CI79" s="17"/>
      <c r="CJ79" s="17"/>
      <c r="CK79" s="17"/>
      <c r="CL79" s="17"/>
      <c r="CM79" s="17"/>
      <c r="CN79" s="17"/>
      <c r="CO79" s="17"/>
      <c r="CP79" s="24"/>
    </row>
    <row r="80" spans="1:94" ht="66" hidden="1" customHeight="1">
      <c r="A80" s="149"/>
      <c r="B80" s="1" t="s">
        <v>141</v>
      </c>
      <c r="C80" s="13" t="s">
        <v>2487</v>
      </c>
      <c r="D80" s="14" t="s">
        <v>1764</v>
      </c>
      <c r="E80" s="42" t="s">
        <v>2488</v>
      </c>
      <c r="F80" s="27" t="s">
        <v>1124</v>
      </c>
      <c r="G80" s="27"/>
      <c r="H80" s="17" t="s">
        <v>2489</v>
      </c>
      <c r="I80" s="17" t="s">
        <v>2490</v>
      </c>
      <c r="J80" s="17" t="s">
        <v>377</v>
      </c>
      <c r="K80" s="17">
        <v>2</v>
      </c>
      <c r="L80" s="14" t="s">
        <v>378</v>
      </c>
      <c r="M80" s="17">
        <v>200</v>
      </c>
      <c r="N80" s="17">
        <v>1185</v>
      </c>
      <c r="O80" s="17" t="s">
        <v>1242</v>
      </c>
      <c r="P80" s="17" t="s">
        <v>2491</v>
      </c>
      <c r="Q80" s="17" t="s">
        <v>1240</v>
      </c>
      <c r="R80" s="14"/>
      <c r="S80" s="17"/>
      <c r="T80" s="17"/>
      <c r="U80" s="17" t="s">
        <v>2492</v>
      </c>
      <c r="V80" s="17"/>
      <c r="W80" s="14"/>
      <c r="X80" s="14"/>
      <c r="Y80" s="14"/>
      <c r="Z80" s="14" t="s">
        <v>411</v>
      </c>
      <c r="AA80" s="18"/>
      <c r="AB80" s="19"/>
      <c r="AC80" s="17" t="s">
        <v>563</v>
      </c>
      <c r="AD80" s="17"/>
      <c r="AE80" s="14"/>
      <c r="AF80" s="14"/>
      <c r="AG80" s="14"/>
      <c r="AH80" s="24"/>
      <c r="AI80" s="43"/>
      <c r="AJ80" s="17"/>
      <c r="AK80" s="17"/>
      <c r="AL80" s="17"/>
      <c r="AM80" s="17"/>
      <c r="AN80" s="17"/>
      <c r="AO80" s="17"/>
      <c r="AP80" s="21" t="s">
        <v>2497</v>
      </c>
      <c r="AQ80" s="21" t="s">
        <v>2498</v>
      </c>
      <c r="AR80" s="21" t="s">
        <v>2499</v>
      </c>
      <c r="AS80" s="21" t="s">
        <v>1937</v>
      </c>
      <c r="AT80" s="21" t="s">
        <v>671</v>
      </c>
      <c r="AU80" s="21" t="s">
        <v>671</v>
      </c>
      <c r="AV80" s="21" t="s">
        <v>671</v>
      </c>
      <c r="AW80" s="21" t="s">
        <v>671</v>
      </c>
      <c r="AX80" s="22">
        <v>44952</v>
      </c>
      <c r="AY80" s="13"/>
      <c r="AZ80" s="13"/>
      <c r="BA80" s="13"/>
      <c r="BB80" s="13"/>
      <c r="BC80" s="13"/>
      <c r="BD80" s="13"/>
      <c r="BE80" s="13"/>
      <c r="BF80" s="13"/>
      <c r="BG80" s="13"/>
      <c r="BH80" s="17" t="s">
        <v>671</v>
      </c>
      <c r="BI80" s="17" t="s">
        <v>671</v>
      </c>
      <c r="BJ80" s="17" t="s">
        <v>671</v>
      </c>
      <c r="BK80" s="17" t="s">
        <v>671</v>
      </c>
      <c r="BL80" s="17" t="s">
        <v>671</v>
      </c>
      <c r="BM80" s="17" t="s">
        <v>671</v>
      </c>
      <c r="BN80" s="17" t="s">
        <v>515</v>
      </c>
      <c r="BO80" s="17" t="s">
        <v>512</v>
      </c>
      <c r="BP80" s="17" t="s">
        <v>671</v>
      </c>
      <c r="BQ80" s="17" t="s">
        <v>386</v>
      </c>
      <c r="BR80" s="17"/>
      <c r="BS80" s="17" t="s">
        <v>386</v>
      </c>
      <c r="BT80" s="17" t="s">
        <v>2496</v>
      </c>
      <c r="BU80" s="17" t="s">
        <v>515</v>
      </c>
      <c r="BV80" s="17" t="s">
        <v>671</v>
      </c>
      <c r="BW80" s="150"/>
      <c r="BX80" s="14" t="s">
        <v>386</v>
      </c>
      <c r="BY80" s="14" t="s">
        <v>386</v>
      </c>
      <c r="BZ80" s="52" t="s">
        <v>386</v>
      </c>
      <c r="CA80" s="64" t="s">
        <v>396</v>
      </c>
      <c r="CB80" s="174"/>
      <c r="CC80" s="64"/>
      <c r="CD80" s="64"/>
      <c r="CE80" s="64"/>
      <c r="CF80" s="17"/>
      <c r="CG80" s="17"/>
      <c r="CH80" s="17"/>
      <c r="CI80" s="17"/>
      <c r="CJ80" s="17"/>
      <c r="CK80" s="17"/>
      <c r="CL80" s="17"/>
      <c r="CM80" s="17"/>
      <c r="CN80" s="17"/>
      <c r="CO80" s="17"/>
      <c r="CP80" s="24"/>
    </row>
    <row r="81" spans="1:94" ht="66" hidden="1" customHeight="1">
      <c r="A81" s="149"/>
      <c r="B81" s="1" t="s">
        <v>141</v>
      </c>
      <c r="C81" s="13" t="s">
        <v>2487</v>
      </c>
      <c r="D81" s="14" t="s">
        <v>1764</v>
      </c>
      <c r="E81" s="42" t="s">
        <v>2488</v>
      </c>
      <c r="F81" s="27" t="s">
        <v>1124</v>
      </c>
      <c r="G81" s="27"/>
      <c r="H81" s="17" t="s">
        <v>2489</v>
      </c>
      <c r="I81" s="17" t="s">
        <v>2490</v>
      </c>
      <c r="J81" s="17" t="s">
        <v>377</v>
      </c>
      <c r="K81" s="17">
        <v>3</v>
      </c>
      <c r="L81" s="14" t="s">
        <v>378</v>
      </c>
      <c r="M81" s="17">
        <v>200</v>
      </c>
      <c r="N81" s="17">
        <v>1185</v>
      </c>
      <c r="O81" s="17" t="s">
        <v>2500</v>
      </c>
      <c r="P81" s="17" t="s">
        <v>2491</v>
      </c>
      <c r="Q81" s="17" t="s">
        <v>2501</v>
      </c>
      <c r="R81" s="14"/>
      <c r="S81" s="17"/>
      <c r="T81" s="17"/>
      <c r="U81" s="17" t="s">
        <v>2492</v>
      </c>
      <c r="V81" s="17"/>
      <c r="W81" s="14"/>
      <c r="X81" s="14"/>
      <c r="Y81" s="14"/>
      <c r="Z81" s="14" t="s">
        <v>411</v>
      </c>
      <c r="AA81" s="18"/>
      <c r="AB81" s="19"/>
      <c r="AC81" s="17" t="s">
        <v>563</v>
      </c>
      <c r="AD81" s="17"/>
      <c r="AE81" s="14"/>
      <c r="AF81" s="14"/>
      <c r="AG81" s="14"/>
      <c r="AH81" s="24"/>
      <c r="AI81" s="43"/>
      <c r="AJ81" s="17"/>
      <c r="AK81" s="17"/>
      <c r="AL81" s="17"/>
      <c r="AM81" s="17"/>
      <c r="AN81" s="17"/>
      <c r="AO81" s="17"/>
      <c r="AP81" s="21" t="s">
        <v>2502</v>
      </c>
      <c r="AQ81" s="21" t="s">
        <v>2503</v>
      </c>
      <c r="AR81" s="21" t="s">
        <v>2499</v>
      </c>
      <c r="AS81" s="21" t="s">
        <v>1937</v>
      </c>
      <c r="AT81" s="21" t="s">
        <v>2327</v>
      </c>
      <c r="AU81" s="21" t="s">
        <v>671</v>
      </c>
      <c r="AV81" s="21" t="s">
        <v>671</v>
      </c>
      <c r="AW81" s="21" t="s">
        <v>671</v>
      </c>
      <c r="AX81" s="22">
        <v>44952</v>
      </c>
      <c r="AY81" s="13"/>
      <c r="AZ81" s="13"/>
      <c r="BA81" s="13"/>
      <c r="BB81" s="13"/>
      <c r="BC81" s="13"/>
      <c r="BD81" s="13"/>
      <c r="BE81" s="13"/>
      <c r="BF81" s="13"/>
      <c r="BG81" s="13"/>
      <c r="BH81" s="17" t="s">
        <v>671</v>
      </c>
      <c r="BI81" s="17" t="s">
        <v>671</v>
      </c>
      <c r="BJ81" s="17" t="s">
        <v>671</v>
      </c>
      <c r="BK81" s="17" t="s">
        <v>671</v>
      </c>
      <c r="BL81" s="17" t="s">
        <v>671</v>
      </c>
      <c r="BM81" s="17" t="s">
        <v>671</v>
      </c>
      <c r="BN81" s="17" t="s">
        <v>515</v>
      </c>
      <c r="BO81" s="17" t="s">
        <v>512</v>
      </c>
      <c r="BP81" s="17" t="s">
        <v>671</v>
      </c>
      <c r="BQ81" s="17" t="s">
        <v>386</v>
      </c>
      <c r="BR81" s="17"/>
      <c r="BS81" s="17" t="s">
        <v>386</v>
      </c>
      <c r="BT81" s="17" t="s">
        <v>2496</v>
      </c>
      <c r="BU81" s="17" t="s">
        <v>515</v>
      </c>
      <c r="BV81" s="17" t="s">
        <v>671</v>
      </c>
      <c r="BW81" s="150"/>
      <c r="BX81" s="14" t="s">
        <v>386</v>
      </c>
      <c r="BY81" s="14" t="s">
        <v>386</v>
      </c>
      <c r="BZ81" s="52" t="s">
        <v>386</v>
      </c>
      <c r="CA81" s="64" t="s">
        <v>396</v>
      </c>
      <c r="CB81" s="174"/>
      <c r="CC81" s="64"/>
      <c r="CD81" s="64"/>
      <c r="CE81" s="64"/>
      <c r="CF81" s="17"/>
      <c r="CG81" s="17"/>
      <c r="CH81" s="17"/>
      <c r="CI81" s="17"/>
      <c r="CJ81" s="17"/>
      <c r="CK81" s="17"/>
      <c r="CL81" s="17"/>
      <c r="CM81" s="17"/>
      <c r="CN81" s="17"/>
      <c r="CO81" s="17"/>
      <c r="CP81" s="24"/>
    </row>
    <row r="82" spans="1:94" ht="66" hidden="1" customHeight="1">
      <c r="A82" s="149" t="s">
        <v>2504</v>
      </c>
      <c r="B82" s="1" t="s">
        <v>196</v>
      </c>
      <c r="C82" s="13" t="s">
        <v>2505</v>
      </c>
      <c r="D82" s="14" t="s">
        <v>1764</v>
      </c>
      <c r="E82" s="44" t="s">
        <v>2506</v>
      </c>
      <c r="F82" s="27" t="s">
        <v>604</v>
      </c>
      <c r="G82" s="27"/>
      <c r="H82" s="17" t="s">
        <v>2507</v>
      </c>
      <c r="I82" s="17" t="s">
        <v>2508</v>
      </c>
      <c r="J82" s="17" t="s">
        <v>377</v>
      </c>
      <c r="K82" s="17">
        <v>1</v>
      </c>
      <c r="L82" s="14" t="s">
        <v>378</v>
      </c>
      <c r="M82" s="17" t="s">
        <v>2509</v>
      </c>
      <c r="N82" s="17"/>
      <c r="O82" s="17"/>
      <c r="P82" s="17"/>
      <c r="Q82" s="17"/>
      <c r="R82" s="14"/>
      <c r="S82" s="14"/>
      <c r="T82" s="14"/>
      <c r="U82" s="17" t="s">
        <v>2492</v>
      </c>
      <c r="V82" s="17"/>
      <c r="W82" s="14"/>
      <c r="X82" s="14"/>
      <c r="Y82" s="14"/>
      <c r="Z82" s="14" t="s">
        <v>411</v>
      </c>
      <c r="AA82" s="32">
        <v>810.6</v>
      </c>
      <c r="AB82" s="19"/>
      <c r="AC82" s="17" t="s">
        <v>563</v>
      </c>
      <c r="AD82" s="17" t="s">
        <v>511</v>
      </c>
      <c r="AE82" s="14"/>
      <c r="AF82" s="14"/>
      <c r="AG82" s="14"/>
      <c r="AH82" s="24"/>
      <c r="AI82" s="43"/>
      <c r="AJ82" s="17"/>
      <c r="AK82" s="17"/>
      <c r="AL82" s="17"/>
      <c r="AM82" s="17"/>
      <c r="AN82" s="17"/>
      <c r="AO82" s="17"/>
      <c r="AP82" s="21"/>
      <c r="AQ82" s="21"/>
      <c r="AR82" s="21"/>
      <c r="AS82" s="21"/>
      <c r="AT82" s="21"/>
      <c r="AU82" s="21"/>
      <c r="AV82" s="21"/>
      <c r="AW82" s="21"/>
      <c r="AX82" s="21"/>
      <c r="AY82" s="13"/>
      <c r="AZ82" s="13"/>
      <c r="BA82" s="13"/>
      <c r="BB82" s="13"/>
      <c r="BC82" s="13"/>
      <c r="BD82" s="13"/>
      <c r="BE82" s="13"/>
      <c r="BF82" s="13"/>
      <c r="BG82" s="13"/>
      <c r="BH82" s="17"/>
      <c r="BI82" s="17"/>
      <c r="BJ82" s="17"/>
      <c r="BK82" s="17"/>
      <c r="BL82" s="17"/>
      <c r="BM82" s="17"/>
      <c r="BN82" s="17"/>
      <c r="BO82" s="17"/>
      <c r="BP82" s="17"/>
      <c r="BQ82" s="17"/>
      <c r="BR82" s="17"/>
      <c r="BS82" s="17"/>
      <c r="BT82" s="17"/>
      <c r="BU82" s="17"/>
      <c r="BV82" s="17"/>
      <c r="BW82" s="140" t="s">
        <v>396</v>
      </c>
      <c r="BX82" s="140" t="s">
        <v>386</v>
      </c>
      <c r="BY82" s="140" t="s">
        <v>386</v>
      </c>
      <c r="BZ82" s="173" t="s">
        <v>386</v>
      </c>
      <c r="CA82" s="173" t="s">
        <v>396</v>
      </c>
      <c r="CB82" s="174" t="s">
        <v>396</v>
      </c>
      <c r="CC82" s="64"/>
      <c r="CD82" s="64"/>
      <c r="CE82" s="64"/>
      <c r="CF82" s="17"/>
      <c r="CG82" s="17"/>
      <c r="CH82" s="17"/>
      <c r="CI82" s="17"/>
      <c r="CJ82" s="17"/>
      <c r="CK82" s="17"/>
      <c r="CL82" s="17"/>
      <c r="CM82" s="17"/>
      <c r="CN82" s="17"/>
      <c r="CO82" s="17"/>
      <c r="CP82" s="24"/>
    </row>
    <row r="83" spans="1:94" ht="66" hidden="1" customHeight="1">
      <c r="A83" s="149"/>
      <c r="B83" s="1" t="s">
        <v>196</v>
      </c>
      <c r="C83" s="13" t="s">
        <v>2505</v>
      </c>
      <c r="D83" s="14" t="s">
        <v>1764</v>
      </c>
      <c r="E83" s="44" t="s">
        <v>2506</v>
      </c>
      <c r="F83" s="27" t="s">
        <v>604</v>
      </c>
      <c r="G83" s="27"/>
      <c r="H83" s="17" t="s">
        <v>2507</v>
      </c>
      <c r="I83" s="17" t="s">
        <v>2508</v>
      </c>
      <c r="J83" s="17" t="s">
        <v>377</v>
      </c>
      <c r="K83" s="17">
        <v>2</v>
      </c>
      <c r="L83" s="14" t="s">
        <v>378</v>
      </c>
      <c r="M83" s="17">
        <v>450</v>
      </c>
      <c r="N83" s="17"/>
      <c r="O83" s="17"/>
      <c r="P83" s="17"/>
      <c r="Q83" s="17"/>
      <c r="R83" s="14"/>
      <c r="S83" s="14"/>
      <c r="T83" s="14"/>
      <c r="U83" s="17" t="s">
        <v>2492</v>
      </c>
      <c r="V83" s="17"/>
      <c r="W83" s="14"/>
      <c r="X83" s="14"/>
      <c r="Y83" s="14"/>
      <c r="Z83" s="14" t="s">
        <v>411</v>
      </c>
      <c r="AA83" s="18"/>
      <c r="AB83" s="19"/>
      <c r="AC83" s="17" t="s">
        <v>563</v>
      </c>
      <c r="AD83" s="17" t="s">
        <v>511</v>
      </c>
      <c r="AE83" s="14"/>
      <c r="AF83" s="14"/>
      <c r="AG83" s="14"/>
      <c r="AH83" s="24"/>
      <c r="AI83" s="43"/>
      <c r="AJ83" s="17"/>
      <c r="AK83" s="17"/>
      <c r="AL83" s="17"/>
      <c r="AM83" s="17"/>
      <c r="AN83" s="17"/>
      <c r="AO83" s="17"/>
      <c r="AP83" s="21"/>
      <c r="AQ83" s="21"/>
      <c r="AR83" s="21"/>
      <c r="AS83" s="21"/>
      <c r="AT83" s="21"/>
      <c r="AU83" s="21"/>
      <c r="AV83" s="21"/>
      <c r="AW83" s="21"/>
      <c r="AX83" s="21"/>
      <c r="AY83" s="13"/>
      <c r="AZ83" s="13"/>
      <c r="BA83" s="13"/>
      <c r="BB83" s="13"/>
      <c r="BC83" s="13"/>
      <c r="BD83" s="13"/>
      <c r="BE83" s="13"/>
      <c r="BF83" s="13"/>
      <c r="BG83" s="13"/>
      <c r="BH83" s="17"/>
      <c r="BI83" s="17"/>
      <c r="BJ83" s="17"/>
      <c r="BK83" s="17"/>
      <c r="BL83" s="17"/>
      <c r="BM83" s="17"/>
      <c r="BN83" s="17"/>
      <c r="BO83" s="17"/>
      <c r="BP83" s="17"/>
      <c r="BQ83" s="17"/>
      <c r="BR83" s="17"/>
      <c r="BS83" s="17"/>
      <c r="BT83" s="17"/>
      <c r="BU83" s="17"/>
      <c r="BV83" s="17"/>
      <c r="BW83" s="140"/>
      <c r="BX83" s="140"/>
      <c r="BY83" s="140"/>
      <c r="BZ83" s="173"/>
      <c r="CA83" s="173"/>
      <c r="CB83" s="174"/>
      <c r="CC83" s="64"/>
      <c r="CD83" s="64"/>
      <c r="CE83" s="64"/>
      <c r="CF83" s="17"/>
      <c r="CG83" s="17"/>
      <c r="CH83" s="17"/>
      <c r="CI83" s="17"/>
      <c r="CJ83" s="17"/>
      <c r="CK83" s="17"/>
      <c r="CL83" s="17"/>
      <c r="CM83" s="17"/>
      <c r="CN83" s="17"/>
      <c r="CO83" s="17"/>
      <c r="CP83" s="24"/>
    </row>
    <row r="84" spans="1:94" ht="66" hidden="1" customHeight="1">
      <c r="A84" s="149"/>
      <c r="B84" s="1" t="s">
        <v>196</v>
      </c>
      <c r="C84" s="13" t="s">
        <v>2505</v>
      </c>
      <c r="D84" s="14" t="s">
        <v>1764</v>
      </c>
      <c r="E84" s="44" t="s">
        <v>2506</v>
      </c>
      <c r="F84" s="27" t="s">
        <v>604</v>
      </c>
      <c r="G84" s="27"/>
      <c r="H84" s="17" t="s">
        <v>2507</v>
      </c>
      <c r="I84" s="17" t="s">
        <v>2508</v>
      </c>
      <c r="J84" s="17" t="s">
        <v>377</v>
      </c>
      <c r="K84" s="17">
        <v>3</v>
      </c>
      <c r="L84" s="14" t="s">
        <v>378</v>
      </c>
      <c r="M84" s="17">
        <v>250</v>
      </c>
      <c r="N84" s="17"/>
      <c r="O84" s="17"/>
      <c r="P84" s="17"/>
      <c r="Q84" s="17"/>
      <c r="R84" s="14"/>
      <c r="S84" s="14"/>
      <c r="T84" s="14"/>
      <c r="U84" s="17" t="s">
        <v>2492</v>
      </c>
      <c r="V84" s="17"/>
      <c r="W84" s="14"/>
      <c r="X84" s="14"/>
      <c r="Y84" s="14"/>
      <c r="Z84" s="14" t="s">
        <v>411</v>
      </c>
      <c r="AA84" s="18"/>
      <c r="AB84" s="19"/>
      <c r="AC84" s="17" t="s">
        <v>563</v>
      </c>
      <c r="AD84" s="17" t="s">
        <v>511</v>
      </c>
      <c r="AE84" s="14"/>
      <c r="AF84" s="14"/>
      <c r="AG84" s="14"/>
      <c r="AH84" s="24"/>
      <c r="AI84" s="43"/>
      <c r="AJ84" s="17"/>
      <c r="AK84" s="17"/>
      <c r="AL84" s="17"/>
      <c r="AM84" s="17"/>
      <c r="AN84" s="17"/>
      <c r="AO84" s="17"/>
      <c r="AP84" s="21"/>
      <c r="AQ84" s="21"/>
      <c r="AR84" s="21"/>
      <c r="AS84" s="21"/>
      <c r="AT84" s="21"/>
      <c r="AU84" s="21"/>
      <c r="AV84" s="21"/>
      <c r="AW84" s="21"/>
      <c r="AX84" s="21"/>
      <c r="AY84" s="13"/>
      <c r="AZ84" s="13"/>
      <c r="BA84" s="13"/>
      <c r="BB84" s="13"/>
      <c r="BC84" s="13"/>
      <c r="BD84" s="13"/>
      <c r="BE84" s="13"/>
      <c r="BF84" s="13"/>
      <c r="BG84" s="13"/>
      <c r="BH84" s="17"/>
      <c r="BI84" s="17"/>
      <c r="BJ84" s="17"/>
      <c r="BK84" s="17"/>
      <c r="BL84" s="17"/>
      <c r="BM84" s="17"/>
      <c r="BN84" s="17"/>
      <c r="BO84" s="17"/>
      <c r="BP84" s="17"/>
      <c r="BQ84" s="17"/>
      <c r="BR84" s="17"/>
      <c r="BS84" s="17"/>
      <c r="BT84" s="17"/>
      <c r="BU84" s="17"/>
      <c r="BV84" s="17"/>
      <c r="BW84" s="140"/>
      <c r="BX84" s="140"/>
      <c r="BY84" s="140"/>
      <c r="BZ84" s="173"/>
      <c r="CA84" s="173"/>
      <c r="CB84" s="174"/>
      <c r="CC84" s="64"/>
      <c r="CD84" s="64"/>
      <c r="CE84" s="64"/>
      <c r="CF84" s="17"/>
      <c r="CG84" s="17"/>
      <c r="CH84" s="17"/>
      <c r="CI84" s="17"/>
      <c r="CJ84" s="17"/>
      <c r="CK84" s="17"/>
      <c r="CL84" s="17"/>
      <c r="CM84" s="17"/>
      <c r="CN84" s="17"/>
      <c r="CO84" s="17"/>
      <c r="CP84" s="24"/>
    </row>
    <row r="85" spans="1:94" ht="66" hidden="1" customHeight="1">
      <c r="A85" s="149"/>
      <c r="B85" s="1" t="s">
        <v>196</v>
      </c>
      <c r="C85" s="13" t="s">
        <v>2505</v>
      </c>
      <c r="D85" s="14" t="s">
        <v>1764</v>
      </c>
      <c r="E85" s="44" t="s">
        <v>2506</v>
      </c>
      <c r="F85" s="27" t="s">
        <v>604</v>
      </c>
      <c r="G85" s="27"/>
      <c r="H85" s="17" t="s">
        <v>2507</v>
      </c>
      <c r="I85" s="17" t="s">
        <v>2508</v>
      </c>
      <c r="J85" s="17" t="s">
        <v>377</v>
      </c>
      <c r="K85" s="17">
        <v>4</v>
      </c>
      <c r="L85" s="14" t="s">
        <v>378</v>
      </c>
      <c r="M85" s="17">
        <v>250</v>
      </c>
      <c r="N85" s="17"/>
      <c r="O85" s="17"/>
      <c r="P85" s="17"/>
      <c r="Q85" s="17"/>
      <c r="R85" s="14"/>
      <c r="S85" s="14"/>
      <c r="T85" s="14"/>
      <c r="U85" s="17" t="s">
        <v>2492</v>
      </c>
      <c r="V85" s="17"/>
      <c r="W85" s="14"/>
      <c r="X85" s="14"/>
      <c r="Y85" s="14"/>
      <c r="Z85" s="14" t="s">
        <v>411</v>
      </c>
      <c r="AA85" s="18"/>
      <c r="AB85" s="19"/>
      <c r="AC85" s="17" t="s">
        <v>563</v>
      </c>
      <c r="AD85" s="17" t="s">
        <v>511</v>
      </c>
      <c r="AE85" s="14"/>
      <c r="AF85" s="14"/>
      <c r="AG85" s="14"/>
      <c r="AH85" s="24"/>
      <c r="AI85" s="43"/>
      <c r="AJ85" s="17"/>
      <c r="AK85" s="17"/>
      <c r="AL85" s="17"/>
      <c r="AM85" s="17"/>
      <c r="AN85" s="17"/>
      <c r="AO85" s="17"/>
      <c r="AP85" s="21"/>
      <c r="AQ85" s="21"/>
      <c r="AR85" s="21"/>
      <c r="AS85" s="21"/>
      <c r="AT85" s="21"/>
      <c r="AU85" s="21"/>
      <c r="AV85" s="21"/>
      <c r="AW85" s="21"/>
      <c r="AX85" s="21"/>
      <c r="AY85" s="13"/>
      <c r="AZ85" s="13"/>
      <c r="BA85" s="13"/>
      <c r="BB85" s="13"/>
      <c r="BC85" s="13"/>
      <c r="BD85" s="13"/>
      <c r="BE85" s="13"/>
      <c r="BF85" s="13"/>
      <c r="BG85" s="13"/>
      <c r="BH85" s="17"/>
      <c r="BI85" s="17"/>
      <c r="BJ85" s="17"/>
      <c r="BK85" s="17"/>
      <c r="BL85" s="17"/>
      <c r="BM85" s="17"/>
      <c r="BN85" s="17"/>
      <c r="BO85" s="17"/>
      <c r="BP85" s="17"/>
      <c r="BQ85" s="17"/>
      <c r="BR85" s="17"/>
      <c r="BS85" s="17"/>
      <c r="BT85" s="17"/>
      <c r="BU85" s="17"/>
      <c r="BV85" s="17"/>
      <c r="BW85" s="140"/>
      <c r="BX85" s="140"/>
      <c r="BY85" s="140"/>
      <c r="BZ85" s="173"/>
      <c r="CA85" s="173"/>
      <c r="CB85" s="174"/>
      <c r="CC85" s="64"/>
      <c r="CD85" s="64"/>
      <c r="CE85" s="64"/>
      <c r="CF85" s="17"/>
      <c r="CG85" s="17"/>
      <c r="CH85" s="17"/>
      <c r="CI85" s="17"/>
      <c r="CJ85" s="17"/>
      <c r="CK85" s="17"/>
      <c r="CL85" s="17"/>
      <c r="CM85" s="17"/>
      <c r="CN85" s="17"/>
      <c r="CO85" s="17"/>
      <c r="CP85" s="24"/>
    </row>
    <row r="86" spans="1:94" ht="66" hidden="1" customHeight="1">
      <c r="A86" s="149" t="s">
        <v>2510</v>
      </c>
      <c r="B86" s="1" t="s">
        <v>154</v>
      </c>
      <c r="C86" s="13" t="s">
        <v>2511</v>
      </c>
      <c r="D86" s="14" t="s">
        <v>1764</v>
      </c>
      <c r="E86" s="44" t="s">
        <v>2512</v>
      </c>
      <c r="F86" s="27" t="s">
        <v>471</v>
      </c>
      <c r="G86" s="27"/>
      <c r="H86" s="17" t="s">
        <v>2513</v>
      </c>
      <c r="I86" s="17" t="s">
        <v>2514</v>
      </c>
      <c r="J86" s="17" t="s">
        <v>377</v>
      </c>
      <c r="K86" s="17">
        <v>1</v>
      </c>
      <c r="L86" s="14" t="s">
        <v>378</v>
      </c>
      <c r="M86" s="17">
        <v>300</v>
      </c>
      <c r="N86" s="17">
        <v>1790</v>
      </c>
      <c r="O86" s="17" t="s">
        <v>2515</v>
      </c>
      <c r="P86" s="17"/>
      <c r="Q86" s="17" t="s">
        <v>2516</v>
      </c>
      <c r="R86" s="14"/>
      <c r="S86" s="14"/>
      <c r="T86" s="14"/>
      <c r="U86" s="17" t="s">
        <v>2492</v>
      </c>
      <c r="V86" s="17"/>
      <c r="W86" s="14"/>
      <c r="X86" s="14"/>
      <c r="Y86" s="14"/>
      <c r="Z86" s="14" t="s">
        <v>411</v>
      </c>
      <c r="AA86" s="18"/>
      <c r="AB86" s="19"/>
      <c r="AC86" s="17" t="s">
        <v>563</v>
      </c>
      <c r="AD86" s="17"/>
      <c r="AE86" s="14"/>
      <c r="AF86" s="14"/>
      <c r="AG86" s="14"/>
      <c r="AH86" s="24"/>
      <c r="AI86" s="43"/>
      <c r="AJ86" s="17"/>
      <c r="AK86" s="17"/>
      <c r="AL86" s="17"/>
      <c r="AM86" s="17"/>
      <c r="AN86" s="17"/>
      <c r="AO86" s="17"/>
      <c r="AP86" s="21" t="s">
        <v>2517</v>
      </c>
      <c r="AQ86" s="30">
        <v>280275292</v>
      </c>
      <c r="AR86" s="21" t="s">
        <v>2142</v>
      </c>
      <c r="AS86" s="21" t="s">
        <v>1934</v>
      </c>
      <c r="AT86" s="21" t="s">
        <v>671</v>
      </c>
      <c r="AU86" s="21" t="s">
        <v>671</v>
      </c>
      <c r="AV86" s="21" t="s">
        <v>671</v>
      </c>
      <c r="AW86" s="21" t="s">
        <v>671</v>
      </c>
      <c r="AX86" s="22">
        <v>44959</v>
      </c>
      <c r="AY86" s="13"/>
      <c r="AZ86" s="13"/>
      <c r="BA86" s="13"/>
      <c r="BB86" s="13"/>
      <c r="BC86" s="13"/>
      <c r="BD86" s="13"/>
      <c r="BE86" s="13"/>
      <c r="BF86" s="13"/>
      <c r="BG86" s="13"/>
      <c r="BH86" s="17" t="s">
        <v>671</v>
      </c>
      <c r="BI86" s="17" t="s">
        <v>671</v>
      </c>
      <c r="BJ86" s="17" t="s">
        <v>671</v>
      </c>
      <c r="BK86" s="17" t="s">
        <v>671</v>
      </c>
      <c r="BL86" s="17" t="s">
        <v>671</v>
      </c>
      <c r="BM86" s="17" t="s">
        <v>671</v>
      </c>
      <c r="BN86" s="17" t="s">
        <v>2518</v>
      </c>
      <c r="BO86" s="17"/>
      <c r="BP86" s="17" t="s">
        <v>671</v>
      </c>
      <c r="BQ86" s="17" t="s">
        <v>386</v>
      </c>
      <c r="BR86" s="17" t="s">
        <v>386</v>
      </c>
      <c r="BS86" s="17" t="s">
        <v>386</v>
      </c>
      <c r="BT86" s="17" t="s">
        <v>2519</v>
      </c>
      <c r="BU86" s="17" t="s">
        <v>2518</v>
      </c>
      <c r="BV86" s="17" t="s">
        <v>671</v>
      </c>
      <c r="BW86" s="150" t="s">
        <v>396</v>
      </c>
      <c r="BX86" s="140" t="s">
        <v>386</v>
      </c>
      <c r="BY86" s="140" t="s">
        <v>386</v>
      </c>
      <c r="BZ86" s="173" t="s">
        <v>386</v>
      </c>
      <c r="CA86" s="64" t="s">
        <v>396</v>
      </c>
      <c r="CB86" s="173" t="s">
        <v>396</v>
      </c>
      <c r="CC86" s="52" t="s">
        <v>2520</v>
      </c>
      <c r="CD86" s="52" t="s">
        <v>594</v>
      </c>
      <c r="CE86" s="52">
        <v>64.2</v>
      </c>
      <c r="CF86" s="17"/>
      <c r="CG86" s="17"/>
      <c r="CH86" s="17"/>
      <c r="CI86" s="17"/>
      <c r="CJ86" s="17"/>
      <c r="CK86" s="17"/>
      <c r="CL86" s="17"/>
      <c r="CM86" s="17"/>
      <c r="CN86" s="17"/>
      <c r="CO86" s="17"/>
      <c r="CP86" s="24"/>
    </row>
    <row r="87" spans="1:94" ht="66" hidden="1" customHeight="1">
      <c r="A87" s="149"/>
      <c r="B87" s="1" t="s">
        <v>154</v>
      </c>
      <c r="C87" s="13" t="s">
        <v>2511</v>
      </c>
      <c r="D87" s="14" t="s">
        <v>1764</v>
      </c>
      <c r="E87" s="44" t="s">
        <v>2512</v>
      </c>
      <c r="F87" s="27" t="s">
        <v>471</v>
      </c>
      <c r="G87" s="27"/>
      <c r="H87" s="17" t="s">
        <v>2513</v>
      </c>
      <c r="I87" s="17" t="s">
        <v>2514</v>
      </c>
      <c r="J87" s="17" t="s">
        <v>377</v>
      </c>
      <c r="K87" s="17">
        <v>2</v>
      </c>
      <c r="L87" s="14" t="s">
        <v>378</v>
      </c>
      <c r="M87" s="17">
        <v>300</v>
      </c>
      <c r="N87" s="17">
        <v>1790</v>
      </c>
      <c r="O87" s="17" t="s">
        <v>2521</v>
      </c>
      <c r="P87" s="17"/>
      <c r="Q87" s="17" t="s">
        <v>2522</v>
      </c>
      <c r="R87" s="14"/>
      <c r="S87" s="14"/>
      <c r="T87" s="14"/>
      <c r="U87" s="17" t="s">
        <v>2492</v>
      </c>
      <c r="V87" s="17"/>
      <c r="W87" s="14"/>
      <c r="X87" s="14"/>
      <c r="Y87" s="14"/>
      <c r="Z87" s="14" t="s">
        <v>411</v>
      </c>
      <c r="AA87" s="18"/>
      <c r="AB87" s="19"/>
      <c r="AC87" s="17" t="s">
        <v>563</v>
      </c>
      <c r="AD87" s="17"/>
      <c r="AE87" s="14"/>
      <c r="AF87" s="14"/>
      <c r="AG87" s="14"/>
      <c r="AH87" s="24"/>
      <c r="AI87" s="43"/>
      <c r="AJ87" s="17"/>
      <c r="AK87" s="17"/>
      <c r="AL87" s="17"/>
      <c r="AM87" s="17"/>
      <c r="AN87" s="17"/>
      <c r="AO87" s="17"/>
      <c r="AP87" s="21" t="s">
        <v>2523</v>
      </c>
      <c r="AQ87" s="30">
        <v>340327335</v>
      </c>
      <c r="AR87" s="21" t="s">
        <v>2142</v>
      </c>
      <c r="AS87" s="21" t="s">
        <v>1934</v>
      </c>
      <c r="AT87" s="21" t="s">
        <v>671</v>
      </c>
      <c r="AU87" s="21" t="s">
        <v>671</v>
      </c>
      <c r="AV87" s="21" t="s">
        <v>671</v>
      </c>
      <c r="AW87" s="21" t="s">
        <v>671</v>
      </c>
      <c r="AX87" s="22">
        <v>44960</v>
      </c>
      <c r="AY87" s="13"/>
      <c r="AZ87" s="13"/>
      <c r="BA87" s="13"/>
      <c r="BB87" s="13"/>
      <c r="BC87" s="13"/>
      <c r="BD87" s="13"/>
      <c r="BE87" s="13"/>
      <c r="BF87" s="13"/>
      <c r="BG87" s="13"/>
      <c r="BH87" s="17" t="s">
        <v>671</v>
      </c>
      <c r="BI87" s="17" t="s">
        <v>671</v>
      </c>
      <c r="BJ87" s="17" t="s">
        <v>671</v>
      </c>
      <c r="BK87" s="17" t="s">
        <v>671</v>
      </c>
      <c r="BL87" s="17" t="s">
        <v>671</v>
      </c>
      <c r="BM87" s="17" t="s">
        <v>671</v>
      </c>
      <c r="BN87" s="17" t="s">
        <v>2518</v>
      </c>
      <c r="BO87" s="17"/>
      <c r="BP87" s="17" t="s">
        <v>671</v>
      </c>
      <c r="BQ87" s="17" t="s">
        <v>386</v>
      </c>
      <c r="BR87" s="17" t="s">
        <v>386</v>
      </c>
      <c r="BS87" s="17" t="s">
        <v>386</v>
      </c>
      <c r="BT87" s="17" t="s">
        <v>2519</v>
      </c>
      <c r="BU87" s="17" t="s">
        <v>2518</v>
      </c>
      <c r="BV87" s="17" t="s">
        <v>671</v>
      </c>
      <c r="BW87" s="150"/>
      <c r="BX87" s="140"/>
      <c r="BY87" s="140"/>
      <c r="BZ87" s="173"/>
      <c r="CA87" s="64" t="s">
        <v>396</v>
      </c>
      <c r="CB87" s="173"/>
      <c r="CC87" s="52"/>
      <c r="CD87" s="52"/>
      <c r="CE87" s="52"/>
      <c r="CF87" s="17"/>
      <c r="CG87" s="17"/>
      <c r="CH87" s="17"/>
      <c r="CI87" s="17"/>
      <c r="CJ87" s="17"/>
      <c r="CK87" s="17"/>
      <c r="CL87" s="17"/>
      <c r="CM87" s="17"/>
      <c r="CN87" s="17"/>
      <c r="CO87" s="17"/>
      <c r="CP87" s="24"/>
    </row>
    <row r="88" spans="1:94" ht="66" hidden="1" customHeight="1">
      <c r="A88" s="149"/>
      <c r="B88" s="1" t="s">
        <v>154</v>
      </c>
      <c r="C88" s="13" t="s">
        <v>2511</v>
      </c>
      <c r="D88" s="14" t="s">
        <v>1764</v>
      </c>
      <c r="E88" s="44" t="s">
        <v>2512</v>
      </c>
      <c r="F88" s="27" t="s">
        <v>471</v>
      </c>
      <c r="G88" s="27"/>
      <c r="H88" s="17" t="s">
        <v>2513</v>
      </c>
      <c r="I88" s="17" t="s">
        <v>2514</v>
      </c>
      <c r="J88" s="17" t="s">
        <v>377</v>
      </c>
      <c r="K88" s="17">
        <v>3</v>
      </c>
      <c r="L88" s="14" t="s">
        <v>378</v>
      </c>
      <c r="M88" s="17">
        <v>300</v>
      </c>
      <c r="N88" s="17">
        <v>1790</v>
      </c>
      <c r="O88" s="17" t="s">
        <v>2524</v>
      </c>
      <c r="P88" s="17"/>
      <c r="Q88" s="17" t="s">
        <v>2525</v>
      </c>
      <c r="R88" s="14"/>
      <c r="S88" s="14"/>
      <c r="T88" s="14"/>
      <c r="U88" s="17" t="s">
        <v>2492</v>
      </c>
      <c r="V88" s="17"/>
      <c r="W88" s="14"/>
      <c r="X88" s="14"/>
      <c r="Y88" s="14"/>
      <c r="Z88" s="14" t="s">
        <v>411</v>
      </c>
      <c r="AA88" s="18"/>
      <c r="AB88" s="19"/>
      <c r="AC88" s="17" t="s">
        <v>563</v>
      </c>
      <c r="AD88" s="17"/>
      <c r="AE88" s="14"/>
      <c r="AF88" s="14"/>
      <c r="AG88" s="14"/>
      <c r="AH88" s="24"/>
      <c r="AI88" s="43"/>
      <c r="AJ88" s="17"/>
      <c r="AK88" s="17"/>
      <c r="AL88" s="17"/>
      <c r="AM88" s="17"/>
      <c r="AN88" s="17"/>
      <c r="AO88" s="17"/>
      <c r="AP88" s="21" t="s">
        <v>2526</v>
      </c>
      <c r="AQ88" s="30">
        <v>315310333</v>
      </c>
      <c r="AR88" s="21"/>
      <c r="AS88" s="21"/>
      <c r="AT88" s="21" t="s">
        <v>671</v>
      </c>
      <c r="AU88" s="21" t="s">
        <v>671</v>
      </c>
      <c r="AV88" s="21" t="s">
        <v>671</v>
      </c>
      <c r="AW88" s="21" t="s">
        <v>671</v>
      </c>
      <c r="AX88" s="22">
        <v>44961</v>
      </c>
      <c r="AY88" s="13"/>
      <c r="AZ88" s="13"/>
      <c r="BA88" s="13"/>
      <c r="BB88" s="13"/>
      <c r="BC88" s="13"/>
      <c r="BD88" s="13"/>
      <c r="BE88" s="13"/>
      <c r="BF88" s="13"/>
      <c r="BG88" s="13"/>
      <c r="BH88" s="17" t="s">
        <v>671</v>
      </c>
      <c r="BI88" s="17" t="s">
        <v>671</v>
      </c>
      <c r="BJ88" s="17" t="s">
        <v>671</v>
      </c>
      <c r="BK88" s="17" t="s">
        <v>671</v>
      </c>
      <c r="BL88" s="17" t="s">
        <v>671</v>
      </c>
      <c r="BM88" s="17" t="s">
        <v>671</v>
      </c>
      <c r="BN88" s="17" t="s">
        <v>2518</v>
      </c>
      <c r="BO88" s="17"/>
      <c r="BP88" s="17" t="s">
        <v>671</v>
      </c>
      <c r="BQ88" s="17" t="s">
        <v>386</v>
      </c>
      <c r="BR88" s="17" t="s">
        <v>386</v>
      </c>
      <c r="BS88" s="17" t="s">
        <v>386</v>
      </c>
      <c r="BT88" s="17" t="s">
        <v>2519</v>
      </c>
      <c r="BU88" s="17" t="s">
        <v>2518</v>
      </c>
      <c r="BV88" s="17" t="s">
        <v>671</v>
      </c>
      <c r="BW88" s="150"/>
      <c r="BX88" s="140"/>
      <c r="BY88" s="140"/>
      <c r="BZ88" s="173"/>
      <c r="CA88" s="64" t="s">
        <v>396</v>
      </c>
      <c r="CB88" s="173"/>
      <c r="CC88" s="52"/>
      <c r="CD88" s="52"/>
      <c r="CE88" s="52"/>
      <c r="CF88" s="17"/>
      <c r="CG88" s="17"/>
      <c r="CH88" s="17"/>
      <c r="CI88" s="17"/>
      <c r="CJ88" s="17"/>
      <c r="CK88" s="17"/>
      <c r="CL88" s="17"/>
      <c r="CM88" s="17"/>
      <c r="CN88" s="17"/>
      <c r="CO88" s="17"/>
      <c r="CP88" s="24"/>
    </row>
    <row r="89" spans="1:94" ht="66" hidden="1" customHeight="1">
      <c r="A89" s="149"/>
      <c r="B89" s="1" t="s">
        <v>154</v>
      </c>
      <c r="C89" s="13" t="s">
        <v>2511</v>
      </c>
      <c r="D89" s="14" t="s">
        <v>1764</v>
      </c>
      <c r="E89" s="44" t="s">
        <v>2512</v>
      </c>
      <c r="F89" s="27" t="s">
        <v>471</v>
      </c>
      <c r="G89" s="27"/>
      <c r="H89" s="17" t="s">
        <v>2513</v>
      </c>
      <c r="I89" s="17" t="s">
        <v>2514</v>
      </c>
      <c r="J89" s="17" t="s">
        <v>377</v>
      </c>
      <c r="K89" s="17">
        <v>4</v>
      </c>
      <c r="L89" s="14" t="s">
        <v>378</v>
      </c>
      <c r="M89" s="17">
        <v>300</v>
      </c>
      <c r="N89" s="17">
        <v>1790</v>
      </c>
      <c r="O89" s="17" t="s">
        <v>2527</v>
      </c>
      <c r="P89" s="17"/>
      <c r="Q89" s="17" t="s">
        <v>2528</v>
      </c>
      <c r="R89" s="14"/>
      <c r="S89" s="14"/>
      <c r="T89" s="14"/>
      <c r="U89" s="17" t="s">
        <v>2492</v>
      </c>
      <c r="V89" s="17"/>
      <c r="W89" s="14"/>
      <c r="X89" s="14"/>
      <c r="Y89" s="14"/>
      <c r="Z89" s="14" t="s">
        <v>411</v>
      </c>
      <c r="AA89" s="18"/>
      <c r="AB89" s="19"/>
      <c r="AC89" s="17" t="s">
        <v>563</v>
      </c>
      <c r="AD89" s="17"/>
      <c r="AE89" s="14"/>
      <c r="AF89" s="14"/>
      <c r="AG89" s="14"/>
      <c r="AH89" s="24"/>
      <c r="AI89" s="43"/>
      <c r="AJ89" s="17"/>
      <c r="AK89" s="17"/>
      <c r="AL89" s="17"/>
      <c r="AM89" s="17"/>
      <c r="AN89" s="17"/>
      <c r="AO89" s="17"/>
      <c r="AP89" s="21" t="s">
        <v>2529</v>
      </c>
      <c r="AQ89" s="21"/>
      <c r="AR89" s="21"/>
      <c r="AS89" s="21"/>
      <c r="AT89" s="21" t="s">
        <v>671</v>
      </c>
      <c r="AU89" s="21" t="s">
        <v>671</v>
      </c>
      <c r="AV89" s="21" t="s">
        <v>671</v>
      </c>
      <c r="AW89" s="21" t="s">
        <v>671</v>
      </c>
      <c r="AX89" s="22">
        <v>44962</v>
      </c>
      <c r="AY89" s="13"/>
      <c r="AZ89" s="13"/>
      <c r="BA89" s="13"/>
      <c r="BB89" s="13"/>
      <c r="BC89" s="13"/>
      <c r="BD89" s="13"/>
      <c r="BE89" s="13"/>
      <c r="BF89" s="13"/>
      <c r="BG89" s="13"/>
      <c r="BH89" s="17" t="s">
        <v>671</v>
      </c>
      <c r="BI89" s="17" t="s">
        <v>671</v>
      </c>
      <c r="BJ89" s="17" t="s">
        <v>671</v>
      </c>
      <c r="BK89" s="17" t="s">
        <v>671</v>
      </c>
      <c r="BL89" s="17" t="s">
        <v>671</v>
      </c>
      <c r="BM89" s="17" t="s">
        <v>671</v>
      </c>
      <c r="BN89" s="17" t="s">
        <v>2518</v>
      </c>
      <c r="BO89" s="17"/>
      <c r="BP89" s="17" t="s">
        <v>671</v>
      </c>
      <c r="BQ89" s="17" t="s">
        <v>386</v>
      </c>
      <c r="BR89" s="17" t="s">
        <v>396</v>
      </c>
      <c r="BS89" s="17" t="s">
        <v>386</v>
      </c>
      <c r="BT89" s="17" t="s">
        <v>2519</v>
      </c>
      <c r="BU89" s="17" t="s">
        <v>2518</v>
      </c>
      <c r="BV89" s="17" t="s">
        <v>671</v>
      </c>
      <c r="BW89" s="14" t="s">
        <v>386</v>
      </c>
      <c r="BX89" s="19" t="s">
        <v>396</v>
      </c>
      <c r="BY89" s="14" t="s">
        <v>386</v>
      </c>
      <c r="BZ89" s="52" t="s">
        <v>386</v>
      </c>
      <c r="CA89" s="64" t="s">
        <v>396</v>
      </c>
      <c r="CB89" s="173"/>
      <c r="CC89" s="52"/>
      <c r="CD89" s="52"/>
      <c r="CE89" s="52"/>
      <c r="CF89" s="17"/>
      <c r="CG89" s="17"/>
      <c r="CH89" s="17"/>
      <c r="CI89" s="17"/>
      <c r="CJ89" s="17"/>
      <c r="CK89" s="17"/>
      <c r="CL89" s="17"/>
      <c r="CM89" s="17"/>
      <c r="CN89" s="17"/>
      <c r="CO89" s="17"/>
      <c r="CP89" s="24"/>
    </row>
    <row r="90" spans="1:94" ht="66" hidden="1" customHeight="1">
      <c r="A90" s="149" t="s">
        <v>2530</v>
      </c>
      <c r="B90" s="1" t="s">
        <v>185</v>
      </c>
      <c r="C90" s="13" t="s">
        <v>2531</v>
      </c>
      <c r="D90" s="14" t="s">
        <v>1764</v>
      </c>
      <c r="E90" s="44" t="s">
        <v>2532</v>
      </c>
      <c r="F90" s="27" t="s">
        <v>251</v>
      </c>
      <c r="G90" s="27"/>
      <c r="H90" s="17" t="s">
        <v>248</v>
      </c>
      <c r="I90" s="17"/>
      <c r="J90" s="17" t="s">
        <v>377</v>
      </c>
      <c r="K90" s="17">
        <v>1</v>
      </c>
      <c r="L90" s="14" t="s">
        <v>378</v>
      </c>
      <c r="M90" s="17">
        <v>400</v>
      </c>
      <c r="N90" s="17"/>
      <c r="O90" s="17"/>
      <c r="P90" s="17"/>
      <c r="Q90" s="17"/>
      <c r="R90" s="14"/>
      <c r="S90" s="14"/>
      <c r="T90" s="14"/>
      <c r="U90" s="14" t="s">
        <v>2492</v>
      </c>
      <c r="V90" s="14"/>
      <c r="W90" s="14"/>
      <c r="X90" s="14"/>
      <c r="Y90" s="14"/>
      <c r="Z90" s="14" t="s">
        <v>486</v>
      </c>
      <c r="AA90" s="18"/>
      <c r="AB90" s="19"/>
      <c r="AC90" s="17" t="s">
        <v>563</v>
      </c>
      <c r="AD90" s="17" t="s">
        <v>511</v>
      </c>
      <c r="AE90" s="14"/>
      <c r="AF90" s="14"/>
      <c r="AG90" s="14"/>
      <c r="AH90" s="24"/>
      <c r="AI90" s="43"/>
      <c r="AJ90" s="17"/>
      <c r="AK90" s="17"/>
      <c r="AL90" s="17"/>
      <c r="AM90" s="17"/>
      <c r="AN90" s="17"/>
      <c r="AO90" s="17"/>
      <c r="AP90" s="21" t="s">
        <v>2533</v>
      </c>
      <c r="AQ90" s="21"/>
      <c r="AR90" s="21"/>
      <c r="AS90" s="21"/>
      <c r="AT90" s="21"/>
      <c r="AU90" s="21"/>
      <c r="AV90" s="21"/>
      <c r="AW90" s="21"/>
      <c r="AX90" s="21"/>
      <c r="AY90" s="13"/>
      <c r="AZ90" s="13"/>
      <c r="BA90" s="13"/>
      <c r="BB90" s="13"/>
      <c r="BC90" s="13"/>
      <c r="BD90" s="13"/>
      <c r="BE90" s="13"/>
      <c r="BF90" s="13"/>
      <c r="BG90" s="13"/>
      <c r="BH90" s="17"/>
      <c r="BI90" s="17"/>
      <c r="BJ90" s="17"/>
      <c r="BK90" s="17"/>
      <c r="BL90" s="17"/>
      <c r="BM90" s="17"/>
      <c r="BN90" s="17"/>
      <c r="BO90" s="17"/>
      <c r="BP90" s="17"/>
      <c r="BQ90" s="17"/>
      <c r="BR90" s="17"/>
      <c r="BS90" s="17"/>
      <c r="BT90" s="17"/>
      <c r="BU90" s="17"/>
      <c r="BV90" s="17"/>
      <c r="BW90" s="150" t="s">
        <v>396</v>
      </c>
      <c r="BX90" s="140" t="s">
        <v>386</v>
      </c>
      <c r="BY90" s="140" t="s">
        <v>386</v>
      </c>
      <c r="BZ90" s="173" t="s">
        <v>386</v>
      </c>
      <c r="CA90" s="174" t="s">
        <v>396</v>
      </c>
      <c r="CB90" s="173" t="s">
        <v>386</v>
      </c>
      <c r="CC90" s="52" t="s">
        <v>516</v>
      </c>
      <c r="CD90" s="52" t="s">
        <v>517</v>
      </c>
      <c r="CE90" s="52" t="s">
        <v>518</v>
      </c>
      <c r="CF90" s="17"/>
      <c r="CG90" s="17"/>
      <c r="CH90" s="17"/>
      <c r="CI90" s="17"/>
      <c r="CJ90" s="17"/>
      <c r="CK90" s="17"/>
      <c r="CL90" s="17"/>
      <c r="CM90" s="17"/>
      <c r="CN90" s="17"/>
      <c r="CO90" s="17"/>
      <c r="CP90" s="24"/>
    </row>
    <row r="91" spans="1:94" ht="66" hidden="1" customHeight="1">
      <c r="A91" s="149"/>
      <c r="B91" s="1" t="s">
        <v>185</v>
      </c>
      <c r="C91" s="13" t="s">
        <v>2531</v>
      </c>
      <c r="D91" s="14" t="s">
        <v>1764</v>
      </c>
      <c r="E91" s="44" t="s">
        <v>2532</v>
      </c>
      <c r="F91" s="27" t="s">
        <v>251</v>
      </c>
      <c r="G91" s="27"/>
      <c r="H91" s="17" t="s">
        <v>248</v>
      </c>
      <c r="I91" s="17"/>
      <c r="J91" s="17" t="s">
        <v>377</v>
      </c>
      <c r="K91" s="17">
        <v>2</v>
      </c>
      <c r="L91" s="14" t="s">
        <v>378</v>
      </c>
      <c r="M91" s="17">
        <v>400</v>
      </c>
      <c r="N91" s="17">
        <v>950</v>
      </c>
      <c r="O91" s="17" t="s">
        <v>501</v>
      </c>
      <c r="P91" s="17"/>
      <c r="Q91" s="17" t="s">
        <v>2534</v>
      </c>
      <c r="R91" s="14"/>
      <c r="S91" s="14"/>
      <c r="T91" s="14"/>
      <c r="U91" s="14" t="s">
        <v>2492</v>
      </c>
      <c r="V91" s="14"/>
      <c r="W91" s="14"/>
      <c r="X91" s="14"/>
      <c r="Y91" s="14"/>
      <c r="Z91" s="14" t="s">
        <v>411</v>
      </c>
      <c r="AA91" s="18"/>
      <c r="AB91" s="19"/>
      <c r="AC91" s="17" t="s">
        <v>563</v>
      </c>
      <c r="AD91" s="17" t="s">
        <v>511</v>
      </c>
      <c r="AE91" s="14"/>
      <c r="AF91" s="14"/>
      <c r="AG91" s="14"/>
      <c r="AH91" s="24"/>
      <c r="AI91" s="43"/>
      <c r="AJ91" s="17"/>
      <c r="AK91" s="17"/>
      <c r="AL91" s="17"/>
      <c r="AM91" s="17"/>
      <c r="AN91" s="17"/>
      <c r="AO91" s="17"/>
      <c r="AP91" s="21" t="s">
        <v>2535</v>
      </c>
      <c r="AQ91" s="30">
        <v>340340337</v>
      </c>
      <c r="AR91" s="21"/>
      <c r="AS91" s="21"/>
      <c r="AT91" s="21"/>
      <c r="AU91" s="21"/>
      <c r="AV91" s="21"/>
      <c r="AW91" s="21"/>
      <c r="AX91" s="22">
        <v>44935</v>
      </c>
      <c r="AY91" s="13"/>
      <c r="AZ91" s="13"/>
      <c r="BA91" s="13"/>
      <c r="BB91" s="13"/>
      <c r="BC91" s="13"/>
      <c r="BD91" s="13"/>
      <c r="BE91" s="13"/>
      <c r="BF91" s="13"/>
      <c r="BG91" s="13"/>
      <c r="BH91" s="17" t="s">
        <v>671</v>
      </c>
      <c r="BI91" s="17" t="s">
        <v>671</v>
      </c>
      <c r="BJ91" s="17" t="s">
        <v>671</v>
      </c>
      <c r="BK91" s="17" t="s">
        <v>671</v>
      </c>
      <c r="BL91" s="17" t="s">
        <v>671</v>
      </c>
      <c r="BM91" s="17" t="s">
        <v>671</v>
      </c>
      <c r="BN91" s="17"/>
      <c r="BO91" s="17"/>
      <c r="BP91" s="17" t="s">
        <v>671</v>
      </c>
      <c r="BQ91" s="17" t="s">
        <v>671</v>
      </c>
      <c r="BR91" s="17" t="s">
        <v>671</v>
      </c>
      <c r="BS91" s="17" t="s">
        <v>671</v>
      </c>
      <c r="BT91" s="17"/>
      <c r="BU91" s="17"/>
      <c r="BV91" s="17"/>
      <c r="BW91" s="150"/>
      <c r="BX91" s="140"/>
      <c r="BY91" s="140"/>
      <c r="BZ91" s="173"/>
      <c r="CA91" s="174"/>
      <c r="CB91" s="173"/>
      <c r="CC91" s="52"/>
      <c r="CD91" s="52"/>
      <c r="CE91" s="52"/>
      <c r="CF91" s="17"/>
      <c r="CG91" s="17"/>
      <c r="CH91" s="17" t="s">
        <v>671</v>
      </c>
      <c r="CI91" s="17" t="s">
        <v>671</v>
      </c>
      <c r="CJ91" s="17" t="s">
        <v>671</v>
      </c>
      <c r="CK91" s="17"/>
      <c r="CL91" s="17"/>
      <c r="CM91" s="17"/>
      <c r="CN91" s="17"/>
      <c r="CO91" s="17"/>
      <c r="CP91" s="24"/>
    </row>
    <row r="92" spans="1:94" ht="66" hidden="1" customHeight="1">
      <c r="A92" s="149"/>
      <c r="B92" s="1" t="s">
        <v>185</v>
      </c>
      <c r="C92" s="13" t="s">
        <v>2531</v>
      </c>
      <c r="D92" s="14" t="s">
        <v>1764</v>
      </c>
      <c r="E92" s="44" t="s">
        <v>2532</v>
      </c>
      <c r="F92" s="27" t="s">
        <v>251</v>
      </c>
      <c r="G92" s="27"/>
      <c r="H92" s="17" t="s">
        <v>248</v>
      </c>
      <c r="I92" s="17"/>
      <c r="J92" s="17" t="s">
        <v>377</v>
      </c>
      <c r="K92" s="17">
        <v>3</v>
      </c>
      <c r="L92" s="14" t="s">
        <v>378</v>
      </c>
      <c r="M92" s="17">
        <v>400</v>
      </c>
      <c r="N92" s="17">
        <v>950</v>
      </c>
      <c r="O92" s="17" t="s">
        <v>522</v>
      </c>
      <c r="P92" s="17"/>
      <c r="Q92" s="17" t="s">
        <v>523</v>
      </c>
      <c r="R92" s="14"/>
      <c r="S92" s="14"/>
      <c r="T92" s="14"/>
      <c r="U92" s="14" t="s">
        <v>2492</v>
      </c>
      <c r="V92" s="14"/>
      <c r="W92" s="14"/>
      <c r="X92" s="14"/>
      <c r="Y92" s="14"/>
      <c r="Z92" s="14" t="s">
        <v>411</v>
      </c>
      <c r="AA92" s="18"/>
      <c r="AB92" s="19"/>
      <c r="AC92" s="17" t="s">
        <v>563</v>
      </c>
      <c r="AD92" s="17" t="s">
        <v>511</v>
      </c>
      <c r="AE92" s="14"/>
      <c r="AF92" s="14"/>
      <c r="AG92" s="14"/>
      <c r="AH92" s="24"/>
      <c r="AI92" s="43"/>
      <c r="AJ92" s="17"/>
      <c r="AK92" s="17"/>
      <c r="AL92" s="17"/>
      <c r="AM92" s="17"/>
      <c r="AN92" s="17"/>
      <c r="AO92" s="17"/>
      <c r="AP92" s="21" t="s">
        <v>2536</v>
      </c>
      <c r="AQ92" s="30">
        <v>338337339</v>
      </c>
      <c r="AR92" s="21"/>
      <c r="AS92" s="21"/>
      <c r="AT92" s="21"/>
      <c r="AU92" s="21"/>
      <c r="AV92" s="21"/>
      <c r="AW92" s="21"/>
      <c r="AX92" s="22">
        <v>44935</v>
      </c>
      <c r="AY92" s="13"/>
      <c r="AZ92" s="13"/>
      <c r="BA92" s="13"/>
      <c r="BB92" s="13"/>
      <c r="BC92" s="13"/>
      <c r="BD92" s="13"/>
      <c r="BE92" s="13"/>
      <c r="BF92" s="13"/>
      <c r="BG92" s="13"/>
      <c r="BH92" s="17" t="s">
        <v>671</v>
      </c>
      <c r="BI92" s="17" t="s">
        <v>671</v>
      </c>
      <c r="BJ92" s="17" t="s">
        <v>671</v>
      </c>
      <c r="BK92" s="17" t="s">
        <v>671</v>
      </c>
      <c r="BL92" s="17" t="s">
        <v>671</v>
      </c>
      <c r="BM92" s="17" t="s">
        <v>671</v>
      </c>
      <c r="BN92" s="17"/>
      <c r="BO92" s="17"/>
      <c r="BP92" s="17" t="s">
        <v>671</v>
      </c>
      <c r="BQ92" s="17" t="s">
        <v>671</v>
      </c>
      <c r="BR92" s="17" t="s">
        <v>671</v>
      </c>
      <c r="BS92" s="17" t="s">
        <v>671</v>
      </c>
      <c r="BT92" s="17"/>
      <c r="BU92" s="17"/>
      <c r="BV92" s="17"/>
      <c r="BW92" s="150"/>
      <c r="BX92" s="140"/>
      <c r="BY92" s="140"/>
      <c r="BZ92" s="173"/>
      <c r="CA92" s="174"/>
      <c r="CB92" s="173"/>
      <c r="CC92" s="52"/>
      <c r="CD92" s="52"/>
      <c r="CE92" s="52"/>
      <c r="CF92" s="17"/>
      <c r="CG92" s="17"/>
      <c r="CH92" s="17" t="s">
        <v>671</v>
      </c>
      <c r="CI92" s="17" t="s">
        <v>671</v>
      </c>
      <c r="CJ92" s="17" t="s">
        <v>671</v>
      </c>
      <c r="CK92" s="17"/>
      <c r="CL92" s="17"/>
      <c r="CM92" s="17"/>
      <c r="CN92" s="17"/>
      <c r="CO92" s="17"/>
      <c r="CP92" s="24"/>
    </row>
    <row r="93" spans="1:94" ht="66" hidden="1" customHeight="1">
      <c r="A93" s="149" t="s">
        <v>2537</v>
      </c>
      <c r="B93" s="1" t="s">
        <v>143</v>
      </c>
      <c r="C93" s="13" t="s">
        <v>2538</v>
      </c>
      <c r="D93" s="14" t="s">
        <v>1764</v>
      </c>
      <c r="E93" s="44" t="s">
        <v>2539</v>
      </c>
      <c r="F93" s="27" t="s">
        <v>254</v>
      </c>
      <c r="G93" s="27"/>
      <c r="H93" s="17" t="s">
        <v>576</v>
      </c>
      <c r="I93" s="17" t="s">
        <v>2540</v>
      </c>
      <c r="J93" s="17" t="s">
        <v>377</v>
      </c>
      <c r="K93" s="17">
        <v>1</v>
      </c>
      <c r="L93" s="14" t="s">
        <v>378</v>
      </c>
      <c r="M93" s="17">
        <v>200</v>
      </c>
      <c r="N93" s="17">
        <v>3500</v>
      </c>
      <c r="O93" s="17"/>
      <c r="P93" s="17"/>
      <c r="Q93" s="17"/>
      <c r="R93" s="14"/>
      <c r="S93" s="14"/>
      <c r="T93" s="14"/>
      <c r="U93" s="14" t="s">
        <v>455</v>
      </c>
      <c r="V93" s="14"/>
      <c r="W93" s="14"/>
      <c r="X93" s="14"/>
      <c r="Y93" s="14"/>
      <c r="Z93" s="14"/>
      <c r="AA93" s="18" t="s">
        <v>2541</v>
      </c>
      <c r="AB93" s="19" t="s">
        <v>2542</v>
      </c>
      <c r="AC93" s="17"/>
      <c r="AD93" s="17">
        <v>250</v>
      </c>
      <c r="AE93" s="14"/>
      <c r="AF93" s="14"/>
      <c r="AG93" s="14"/>
      <c r="AH93" s="24"/>
      <c r="AI93" s="43"/>
      <c r="AJ93" s="17"/>
      <c r="AK93" s="17"/>
      <c r="AL93" s="17"/>
      <c r="AM93" s="17"/>
      <c r="AN93" s="17"/>
      <c r="AO93" s="17"/>
      <c r="AP93" s="21"/>
      <c r="AQ93" s="21"/>
      <c r="AR93" s="21"/>
      <c r="AS93" s="21"/>
      <c r="AT93" s="21"/>
      <c r="AU93" s="21"/>
      <c r="AV93" s="21"/>
      <c r="AW93" s="21"/>
      <c r="AX93" s="21"/>
      <c r="AY93" s="13">
        <v>13.8</v>
      </c>
      <c r="AZ93" s="13"/>
      <c r="BA93" s="13"/>
      <c r="BB93" s="13"/>
      <c r="BC93" s="13"/>
      <c r="BD93" s="13"/>
      <c r="BE93" s="13"/>
      <c r="BF93" s="13"/>
      <c r="BG93" s="13"/>
      <c r="BH93" s="17"/>
      <c r="BI93" s="17"/>
      <c r="BJ93" s="17"/>
      <c r="BK93" s="17"/>
      <c r="BL93" s="17"/>
      <c r="BM93" s="17"/>
      <c r="BN93" s="17"/>
      <c r="BO93" s="17"/>
      <c r="BP93" s="17"/>
      <c r="BQ93" s="17"/>
      <c r="BR93" s="17"/>
      <c r="BS93" s="17"/>
      <c r="BT93" s="17"/>
      <c r="BU93" s="17"/>
      <c r="BV93" s="17"/>
      <c r="BW93" s="19" t="s">
        <v>396</v>
      </c>
      <c r="BX93" s="14" t="s">
        <v>386</v>
      </c>
      <c r="BY93" s="14" t="s">
        <v>386</v>
      </c>
      <c r="BZ93" s="52" t="s">
        <v>386</v>
      </c>
      <c r="CA93" s="173" t="s">
        <v>396</v>
      </c>
      <c r="CB93" s="173" t="s">
        <v>396</v>
      </c>
      <c r="CC93" s="52" t="s">
        <v>516</v>
      </c>
      <c r="CD93" s="52" t="s">
        <v>2543</v>
      </c>
      <c r="CE93" s="52">
        <v>99.9</v>
      </c>
      <c r="CF93" s="17"/>
      <c r="CG93" s="17"/>
      <c r="CH93" s="17"/>
      <c r="CI93" s="17"/>
      <c r="CJ93" s="17"/>
      <c r="CK93" s="17"/>
      <c r="CL93" s="17"/>
      <c r="CM93" s="17"/>
      <c r="CN93" s="17"/>
      <c r="CO93" s="17"/>
      <c r="CP93" s="24"/>
    </row>
    <row r="94" spans="1:94" ht="66" hidden="1" customHeight="1">
      <c r="A94" s="149"/>
      <c r="B94" s="1" t="s">
        <v>143</v>
      </c>
      <c r="C94" s="13" t="s">
        <v>2538</v>
      </c>
      <c r="D94" s="14" t="s">
        <v>1764</v>
      </c>
      <c r="E94" s="44" t="s">
        <v>2539</v>
      </c>
      <c r="F94" s="27" t="s">
        <v>254</v>
      </c>
      <c r="G94" s="27"/>
      <c r="H94" s="17" t="s">
        <v>576</v>
      </c>
      <c r="I94" s="17" t="s">
        <v>2540</v>
      </c>
      <c r="J94" s="17" t="s">
        <v>377</v>
      </c>
      <c r="K94" s="17">
        <v>2</v>
      </c>
      <c r="L94" s="14" t="s">
        <v>378</v>
      </c>
      <c r="M94" s="17">
        <v>200</v>
      </c>
      <c r="N94" s="17">
        <v>1790</v>
      </c>
      <c r="O94" s="17"/>
      <c r="P94" s="17"/>
      <c r="Q94" s="17"/>
      <c r="R94" s="14"/>
      <c r="S94" s="14"/>
      <c r="T94" s="14"/>
      <c r="U94" s="14" t="s">
        <v>455</v>
      </c>
      <c r="V94" s="14"/>
      <c r="W94" s="14"/>
      <c r="X94" s="14"/>
      <c r="Y94" s="14"/>
      <c r="Z94" s="14"/>
      <c r="AA94" s="18"/>
      <c r="AB94" s="19"/>
      <c r="AC94" s="17"/>
      <c r="AD94" s="17"/>
      <c r="AE94" s="14"/>
      <c r="AF94" s="14"/>
      <c r="AG94" s="14"/>
      <c r="AH94" s="24"/>
      <c r="AI94" s="43"/>
      <c r="AJ94" s="17"/>
      <c r="AK94" s="17"/>
      <c r="AL94" s="17"/>
      <c r="AM94" s="17"/>
      <c r="AN94" s="17"/>
      <c r="AO94" s="17"/>
      <c r="AP94" s="21"/>
      <c r="AQ94" s="21"/>
      <c r="AR94" s="21"/>
      <c r="AS94" s="21"/>
      <c r="AT94" s="21"/>
      <c r="AU94" s="21"/>
      <c r="AV94" s="21"/>
      <c r="AW94" s="21"/>
      <c r="AX94" s="21"/>
      <c r="AY94" s="13"/>
      <c r="AZ94" s="13"/>
      <c r="BA94" s="13"/>
      <c r="BB94" s="13"/>
      <c r="BC94" s="13"/>
      <c r="BD94" s="13"/>
      <c r="BE94" s="13"/>
      <c r="BF94" s="13"/>
      <c r="BG94" s="13"/>
      <c r="BH94" s="17"/>
      <c r="BI94" s="17"/>
      <c r="BJ94" s="17"/>
      <c r="BK94" s="17"/>
      <c r="BL94" s="17"/>
      <c r="BM94" s="17"/>
      <c r="BN94" s="17"/>
      <c r="BO94" s="17"/>
      <c r="BP94" s="17"/>
      <c r="BQ94" s="17"/>
      <c r="BR94" s="17"/>
      <c r="BS94" s="17"/>
      <c r="BT94" s="17"/>
      <c r="BU94" s="17"/>
      <c r="BV94" s="17"/>
      <c r="BW94" s="14" t="s">
        <v>386</v>
      </c>
      <c r="BX94" s="150" t="s">
        <v>396</v>
      </c>
      <c r="BY94" s="140" t="s">
        <v>386</v>
      </c>
      <c r="BZ94" s="52" t="s">
        <v>386</v>
      </c>
      <c r="CA94" s="173"/>
      <c r="CB94" s="173"/>
      <c r="CC94" s="52"/>
      <c r="CD94" s="52"/>
      <c r="CE94" s="52"/>
      <c r="CF94" s="17"/>
      <c r="CG94" s="17"/>
      <c r="CH94" s="17"/>
      <c r="CI94" s="17"/>
      <c r="CJ94" s="17"/>
      <c r="CK94" s="17"/>
      <c r="CL94" s="17"/>
      <c r="CM94" s="17"/>
      <c r="CN94" s="17"/>
      <c r="CO94" s="17"/>
      <c r="CP94" s="24"/>
    </row>
    <row r="95" spans="1:94" ht="66" hidden="1" customHeight="1">
      <c r="A95" s="149"/>
      <c r="B95" s="1">
        <f>_xlfn.XLOOKUP(A:A,'Dados Elevatórias'!D:D,'Dados Elevatórias'!B:B)</f>
        <v>0</v>
      </c>
      <c r="C95" s="13" t="s">
        <v>2538</v>
      </c>
      <c r="D95" s="14" t="s">
        <v>1764</v>
      </c>
      <c r="E95" s="44" t="s">
        <v>2539</v>
      </c>
      <c r="F95" s="27" t="s">
        <v>254</v>
      </c>
      <c r="G95" s="27"/>
      <c r="H95" s="17" t="s">
        <v>576</v>
      </c>
      <c r="I95" s="17" t="s">
        <v>2540</v>
      </c>
      <c r="J95" s="17" t="s">
        <v>377</v>
      </c>
      <c r="K95" s="17">
        <v>3</v>
      </c>
      <c r="L95" s="14" t="s">
        <v>378</v>
      </c>
      <c r="M95" s="17"/>
      <c r="N95" s="17"/>
      <c r="O95" s="17"/>
      <c r="P95" s="17"/>
      <c r="Q95" s="17"/>
      <c r="R95" s="14"/>
      <c r="S95" s="14"/>
      <c r="T95" s="14"/>
      <c r="U95" s="14" t="s">
        <v>455</v>
      </c>
      <c r="V95" s="14"/>
      <c r="W95" s="14"/>
      <c r="X95" s="14"/>
      <c r="Y95" s="14"/>
      <c r="Z95" s="14"/>
      <c r="AA95" s="18"/>
      <c r="AB95" s="19"/>
      <c r="AC95" s="17"/>
      <c r="AD95" s="17"/>
      <c r="AE95" s="14"/>
      <c r="AF95" s="14"/>
      <c r="AG95" s="14"/>
      <c r="AH95" s="24"/>
      <c r="AI95" s="43"/>
      <c r="AJ95" s="17"/>
      <c r="AK95" s="17"/>
      <c r="AL95" s="17"/>
      <c r="AM95" s="17"/>
      <c r="AN95" s="17"/>
      <c r="AO95" s="17"/>
      <c r="AP95" s="21"/>
      <c r="AQ95" s="21"/>
      <c r="AR95" s="21"/>
      <c r="AS95" s="21"/>
      <c r="AT95" s="21"/>
      <c r="AU95" s="21"/>
      <c r="AV95" s="21"/>
      <c r="AW95" s="21"/>
      <c r="AX95" s="21"/>
      <c r="AY95" s="13"/>
      <c r="AZ95" s="13"/>
      <c r="BA95" s="13"/>
      <c r="BB95" s="13"/>
      <c r="BC95" s="13"/>
      <c r="BD95" s="13"/>
      <c r="BE95" s="13"/>
      <c r="BF95" s="13"/>
      <c r="BG95" s="13"/>
      <c r="BH95" s="17"/>
      <c r="BI95" s="17"/>
      <c r="BJ95" s="17"/>
      <c r="BK95" s="17"/>
      <c r="BL95" s="17"/>
      <c r="BM95" s="17"/>
      <c r="BN95" s="17"/>
      <c r="BO95" s="17"/>
      <c r="BP95" s="17"/>
      <c r="BQ95" s="17"/>
      <c r="BR95" s="17"/>
      <c r="BS95" s="17"/>
      <c r="BT95" s="17"/>
      <c r="BU95" s="17"/>
      <c r="BV95" s="17"/>
      <c r="BW95" s="14" t="s">
        <v>386</v>
      </c>
      <c r="BX95" s="150"/>
      <c r="BY95" s="140"/>
      <c r="BZ95" s="52" t="s">
        <v>386</v>
      </c>
      <c r="CA95" s="173"/>
      <c r="CB95" s="173"/>
      <c r="CC95" s="52"/>
      <c r="CD95" s="52"/>
      <c r="CE95" s="52"/>
      <c r="CF95" s="17"/>
      <c r="CG95" s="17"/>
      <c r="CH95" s="17"/>
      <c r="CI95" s="17"/>
      <c r="CJ95" s="17"/>
      <c r="CK95" s="17"/>
      <c r="CL95" s="17"/>
      <c r="CM95" s="17"/>
      <c r="CN95" s="17"/>
      <c r="CO95" s="17"/>
      <c r="CP95" s="24"/>
    </row>
    <row r="96" spans="1:94" ht="66" hidden="1" customHeight="1">
      <c r="A96" s="149"/>
      <c r="B96" s="1">
        <f>_xlfn.XLOOKUP(A:A,'Dados Elevatórias'!D:D,'Dados Elevatórias'!B:B)</f>
        <v>0</v>
      </c>
      <c r="C96" s="13" t="s">
        <v>2538</v>
      </c>
      <c r="D96" s="14" t="s">
        <v>1764</v>
      </c>
      <c r="E96" s="44" t="s">
        <v>2539</v>
      </c>
      <c r="F96" s="27" t="s">
        <v>254</v>
      </c>
      <c r="G96" s="27"/>
      <c r="H96" s="17" t="s">
        <v>576</v>
      </c>
      <c r="I96" s="17" t="s">
        <v>2540</v>
      </c>
      <c r="J96" s="17" t="s">
        <v>377</v>
      </c>
      <c r="K96" s="17">
        <v>4</v>
      </c>
      <c r="L96" s="14" t="s">
        <v>378</v>
      </c>
      <c r="M96" s="17"/>
      <c r="N96" s="17"/>
      <c r="O96" s="17"/>
      <c r="P96" s="17"/>
      <c r="Q96" s="17"/>
      <c r="R96" s="14"/>
      <c r="S96" s="14"/>
      <c r="T96" s="14"/>
      <c r="U96" s="14" t="s">
        <v>455</v>
      </c>
      <c r="V96" s="14"/>
      <c r="W96" s="14"/>
      <c r="X96" s="14"/>
      <c r="Y96" s="14"/>
      <c r="Z96" s="14"/>
      <c r="AA96" s="18"/>
      <c r="AB96" s="19"/>
      <c r="AC96" s="17"/>
      <c r="AD96" s="17"/>
      <c r="AE96" s="14"/>
      <c r="AF96" s="14"/>
      <c r="AG96" s="14"/>
      <c r="AH96" s="24"/>
      <c r="AI96" s="43"/>
      <c r="AJ96" s="17"/>
      <c r="AK96" s="17"/>
      <c r="AL96" s="17"/>
      <c r="AM96" s="17"/>
      <c r="AN96" s="17"/>
      <c r="AO96" s="17"/>
      <c r="AP96" s="21"/>
      <c r="AQ96" s="21"/>
      <c r="AR96" s="21"/>
      <c r="AS96" s="21"/>
      <c r="AT96" s="21"/>
      <c r="AU96" s="21"/>
      <c r="AV96" s="21"/>
      <c r="AW96" s="21"/>
      <c r="AX96" s="22">
        <v>43319</v>
      </c>
      <c r="AY96" s="13" t="s">
        <v>2544</v>
      </c>
      <c r="AZ96" s="13" t="s">
        <v>2545</v>
      </c>
      <c r="BA96" s="13"/>
      <c r="BB96" s="13"/>
      <c r="BC96" s="13"/>
      <c r="BD96" s="13"/>
      <c r="BE96" s="13"/>
      <c r="BF96" s="13"/>
      <c r="BG96" s="25">
        <v>42459</v>
      </c>
      <c r="BH96" s="17"/>
      <c r="BI96" s="17"/>
      <c r="BJ96" s="17"/>
      <c r="BK96" s="17"/>
      <c r="BL96" s="17"/>
      <c r="BM96" s="17"/>
      <c r="BN96" s="17"/>
      <c r="BO96" s="17"/>
      <c r="BP96" s="17"/>
      <c r="BQ96" s="17"/>
      <c r="BR96" s="17"/>
      <c r="BS96" s="17"/>
      <c r="BT96" s="17"/>
      <c r="BU96" s="17"/>
      <c r="BV96" s="17"/>
      <c r="BW96" s="14" t="s">
        <v>386</v>
      </c>
      <c r="BX96" s="150"/>
      <c r="BY96" s="140"/>
      <c r="BZ96" s="52" t="s">
        <v>386</v>
      </c>
      <c r="CA96" s="173"/>
      <c r="CB96" s="173"/>
      <c r="CC96" s="52"/>
      <c r="CD96" s="52"/>
      <c r="CE96" s="52"/>
      <c r="CF96" s="17"/>
      <c r="CG96" s="17"/>
      <c r="CH96" s="17"/>
      <c r="CI96" s="17"/>
      <c r="CJ96" s="17"/>
      <c r="CK96" s="17"/>
      <c r="CL96" s="17"/>
      <c r="CM96" s="17"/>
      <c r="CN96" s="17"/>
      <c r="CO96" s="17"/>
      <c r="CP96" s="24" t="s">
        <v>2546</v>
      </c>
    </row>
    <row r="97" spans="1:94" ht="66" hidden="1" customHeight="1">
      <c r="A97" s="12" t="s">
        <v>2547</v>
      </c>
      <c r="B97" s="1" t="s">
        <v>93</v>
      </c>
      <c r="C97" s="13" t="s">
        <v>2548</v>
      </c>
      <c r="D97" s="14" t="s">
        <v>1764</v>
      </c>
      <c r="E97" s="44" t="s">
        <v>2549</v>
      </c>
      <c r="F97" s="27" t="s">
        <v>251</v>
      </c>
      <c r="G97" s="27"/>
      <c r="H97" s="17" t="s">
        <v>443</v>
      </c>
      <c r="I97" s="17" t="s">
        <v>1444</v>
      </c>
      <c r="J97" s="17" t="s">
        <v>377</v>
      </c>
      <c r="K97" s="17">
        <v>1</v>
      </c>
      <c r="L97" s="14" t="s">
        <v>378</v>
      </c>
      <c r="M97" s="17" t="s">
        <v>2550</v>
      </c>
      <c r="N97" s="17">
        <v>1745</v>
      </c>
      <c r="O97" s="17" t="s">
        <v>2551</v>
      </c>
      <c r="P97" s="17"/>
      <c r="Q97" s="17"/>
      <c r="R97" s="14"/>
      <c r="S97" s="14"/>
      <c r="T97" s="14"/>
      <c r="U97" s="14" t="s">
        <v>727</v>
      </c>
      <c r="V97" s="14"/>
      <c r="W97" s="14"/>
      <c r="X97" s="14"/>
      <c r="Y97" s="14"/>
      <c r="Z97" s="14"/>
      <c r="AA97" s="18"/>
      <c r="AB97" s="19"/>
      <c r="AC97" s="17"/>
      <c r="AD97" s="17"/>
      <c r="AE97" s="14"/>
      <c r="AF97" s="14"/>
      <c r="AG97" s="14"/>
      <c r="AH97" s="24"/>
      <c r="AI97" s="43"/>
      <c r="AJ97" s="17"/>
      <c r="AK97" s="17"/>
      <c r="AL97" s="17"/>
      <c r="AM97" s="17"/>
      <c r="AN97" s="17"/>
      <c r="AO97" s="17"/>
      <c r="AP97" s="21"/>
      <c r="AQ97" s="21"/>
      <c r="AR97" s="21"/>
      <c r="AS97" s="21"/>
      <c r="AT97" s="21"/>
      <c r="AU97" s="21"/>
      <c r="AV97" s="21"/>
      <c r="AW97" s="21"/>
      <c r="AX97" s="35"/>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4" t="s">
        <v>386</v>
      </c>
      <c r="BX97" s="19" t="s">
        <v>386</v>
      </c>
      <c r="BY97" s="14" t="s">
        <v>396</v>
      </c>
      <c r="BZ97" s="52" t="s">
        <v>386</v>
      </c>
      <c r="CA97" s="52" t="s">
        <v>386</v>
      </c>
      <c r="CB97" s="52" t="s">
        <v>396</v>
      </c>
      <c r="CC97" s="52"/>
      <c r="CD97" s="52"/>
      <c r="CE97" s="52"/>
      <c r="CF97" s="17"/>
      <c r="CG97" s="17"/>
      <c r="CH97" s="17"/>
      <c r="CI97" s="17"/>
      <c r="CJ97" s="17"/>
      <c r="CK97" s="17"/>
      <c r="CL97" s="17"/>
      <c r="CM97" s="17"/>
      <c r="CN97" s="17"/>
      <c r="CO97" s="17"/>
      <c r="CP97" s="24"/>
    </row>
    <row r="98" spans="1:94" ht="66" hidden="1" customHeight="1">
      <c r="A98" s="12" t="s">
        <v>2552</v>
      </c>
      <c r="B98" s="1" t="s">
        <v>230</v>
      </c>
      <c r="C98" s="13" t="s">
        <v>2553</v>
      </c>
      <c r="D98" s="14" t="s">
        <v>1764</v>
      </c>
      <c r="E98" s="44" t="s">
        <v>2554</v>
      </c>
      <c r="F98" s="27" t="s">
        <v>248</v>
      </c>
      <c r="G98" s="27"/>
      <c r="H98" s="17" t="s">
        <v>248</v>
      </c>
      <c r="I98" s="17" t="s">
        <v>2555</v>
      </c>
      <c r="J98" s="17" t="s">
        <v>377</v>
      </c>
      <c r="K98" s="17">
        <v>1</v>
      </c>
      <c r="L98" s="14" t="s">
        <v>378</v>
      </c>
      <c r="M98" s="17"/>
      <c r="N98" s="17"/>
      <c r="O98" s="68"/>
      <c r="P98" s="17"/>
      <c r="Q98" s="17"/>
      <c r="R98" s="14"/>
      <c r="S98" s="14"/>
      <c r="T98" s="14"/>
      <c r="U98" s="14" t="s">
        <v>727</v>
      </c>
      <c r="V98" s="14"/>
      <c r="W98" s="14"/>
      <c r="X98" s="14"/>
      <c r="Y98" s="14"/>
      <c r="Z98" s="14"/>
      <c r="AA98" s="18"/>
      <c r="AB98" s="19"/>
      <c r="AC98" s="17"/>
      <c r="AD98" s="17"/>
      <c r="AE98" s="14"/>
      <c r="AF98" s="14"/>
      <c r="AG98" s="14"/>
      <c r="AH98" s="24"/>
      <c r="AI98" s="43"/>
      <c r="AJ98" s="17"/>
      <c r="AK98" s="17"/>
      <c r="AL98" s="17"/>
      <c r="AM98" s="17"/>
      <c r="AN98" s="17"/>
      <c r="AO98" s="17"/>
      <c r="AP98" s="21"/>
      <c r="AQ98" s="21"/>
      <c r="AR98" s="21"/>
      <c r="AS98" s="21"/>
      <c r="AT98" s="21"/>
      <c r="AU98" s="21"/>
      <c r="AV98" s="21"/>
      <c r="AW98" s="21"/>
      <c r="AX98" s="35"/>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4" t="s">
        <v>386</v>
      </c>
      <c r="BX98" s="19" t="s">
        <v>386</v>
      </c>
      <c r="BY98" s="14" t="s">
        <v>396</v>
      </c>
      <c r="BZ98" s="52" t="s">
        <v>386</v>
      </c>
      <c r="CA98" s="52" t="s">
        <v>386</v>
      </c>
      <c r="CB98" s="52" t="s">
        <v>396</v>
      </c>
      <c r="CC98" s="52"/>
      <c r="CD98" s="52"/>
      <c r="CE98" s="52"/>
      <c r="CF98" s="17"/>
      <c r="CG98" s="17"/>
      <c r="CH98" s="17"/>
      <c r="CI98" s="17"/>
      <c r="CJ98" s="17"/>
      <c r="CK98" s="17"/>
      <c r="CL98" s="17"/>
      <c r="CM98" s="17"/>
      <c r="CN98" s="17"/>
      <c r="CO98" s="17"/>
      <c r="CP98" s="24"/>
    </row>
    <row r="99" spans="1:94" ht="66" hidden="1" customHeight="1">
      <c r="A99" s="12" t="s">
        <v>2556</v>
      </c>
      <c r="B99" s="1" t="s">
        <v>231</v>
      </c>
      <c r="C99" s="13" t="s">
        <v>2557</v>
      </c>
      <c r="D99" s="14" t="s">
        <v>1764</v>
      </c>
      <c r="E99" s="44" t="s">
        <v>2558</v>
      </c>
      <c r="F99" s="27" t="s">
        <v>248</v>
      </c>
      <c r="G99" s="27"/>
      <c r="H99" s="17" t="s">
        <v>248</v>
      </c>
      <c r="I99" s="17" t="s">
        <v>1902</v>
      </c>
      <c r="J99" s="17" t="s">
        <v>377</v>
      </c>
      <c r="K99" s="17">
        <v>1</v>
      </c>
      <c r="L99" s="14" t="s">
        <v>378</v>
      </c>
      <c r="M99" s="17">
        <v>5</v>
      </c>
      <c r="N99" s="17"/>
      <c r="O99" s="17"/>
      <c r="P99" s="17"/>
      <c r="Q99" s="17"/>
      <c r="R99" s="14"/>
      <c r="S99" s="14"/>
      <c r="T99" s="14"/>
      <c r="U99" s="14" t="s">
        <v>727</v>
      </c>
      <c r="V99" s="14"/>
      <c r="W99" s="14"/>
      <c r="X99" s="14"/>
      <c r="Y99" s="14"/>
      <c r="Z99" s="14"/>
      <c r="AA99" s="18"/>
      <c r="AB99" s="19"/>
      <c r="AC99" s="17"/>
      <c r="AD99" s="17"/>
      <c r="AE99" s="14"/>
      <c r="AF99" s="14"/>
      <c r="AG99" s="14"/>
      <c r="AH99" s="24"/>
      <c r="AI99" s="43"/>
      <c r="AJ99" s="17"/>
      <c r="AK99" s="17"/>
      <c r="AL99" s="17"/>
      <c r="AM99" s="17"/>
      <c r="AN99" s="17"/>
      <c r="AO99" s="17"/>
      <c r="AP99" s="21"/>
      <c r="AQ99" s="21"/>
      <c r="AR99" s="21"/>
      <c r="AS99" s="21"/>
      <c r="AT99" s="21"/>
      <c r="AU99" s="21"/>
      <c r="AV99" s="21"/>
      <c r="AW99" s="21"/>
      <c r="AX99" s="35"/>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4" t="s">
        <v>386</v>
      </c>
      <c r="BX99" s="19" t="s">
        <v>386</v>
      </c>
      <c r="BY99" s="14" t="s">
        <v>396</v>
      </c>
      <c r="BZ99" s="52" t="s">
        <v>386</v>
      </c>
      <c r="CA99" s="52" t="s">
        <v>386</v>
      </c>
      <c r="CB99" s="52" t="s">
        <v>396</v>
      </c>
      <c r="CC99" s="52"/>
      <c r="CD99" s="52"/>
      <c r="CE99" s="52"/>
      <c r="CF99" s="17"/>
      <c r="CG99" s="17"/>
      <c r="CH99" s="17"/>
      <c r="CI99" s="17"/>
      <c r="CJ99" s="17"/>
      <c r="CK99" s="17"/>
      <c r="CL99" s="17"/>
      <c r="CM99" s="17"/>
      <c r="CN99" s="17"/>
      <c r="CO99" s="17"/>
      <c r="CP99" s="24"/>
    </row>
    <row r="100" spans="1:94" ht="66" hidden="1" customHeight="1">
      <c r="A100" s="12" t="s">
        <v>964</v>
      </c>
      <c r="B100" s="1" t="str">
        <f>_xlfn.XLOOKUP(A:A,'Dados Elevatórias'!D:D,'Dados Elevatórias'!B:B)</f>
        <v>PL-RJB-ETE0040</v>
      </c>
      <c r="C100" s="13" t="s">
        <v>2559</v>
      </c>
      <c r="D100" s="14" t="s">
        <v>1764</v>
      </c>
      <c r="E100" s="44" t="s">
        <v>2560</v>
      </c>
      <c r="F100" s="27" t="s">
        <v>966</v>
      </c>
      <c r="G100" s="27"/>
      <c r="H100" s="17" t="s">
        <v>248</v>
      </c>
      <c r="I100" s="17" t="s">
        <v>2561</v>
      </c>
      <c r="J100" s="17" t="s">
        <v>377</v>
      </c>
      <c r="K100" s="17">
        <v>1</v>
      </c>
      <c r="L100" s="14" t="s">
        <v>378</v>
      </c>
      <c r="M100" s="17"/>
      <c r="N100" s="17"/>
      <c r="O100" s="17"/>
      <c r="P100" s="17"/>
      <c r="Q100" s="17"/>
      <c r="R100" s="14"/>
      <c r="S100" s="14"/>
      <c r="T100" s="14"/>
      <c r="U100" s="14" t="s">
        <v>727</v>
      </c>
      <c r="V100" s="14"/>
      <c r="W100" s="14"/>
      <c r="X100" s="14"/>
      <c r="Y100" s="14"/>
      <c r="Z100" s="14"/>
      <c r="AA100" s="18"/>
      <c r="AB100" s="19"/>
      <c r="AC100" s="17"/>
      <c r="AD100" s="17"/>
      <c r="AE100" s="14"/>
      <c r="AF100" s="14"/>
      <c r="AG100" s="14"/>
      <c r="AH100" s="24"/>
      <c r="AI100" s="43"/>
      <c r="AJ100" s="17"/>
      <c r="AK100" s="17"/>
      <c r="AL100" s="17"/>
      <c r="AM100" s="17"/>
      <c r="AN100" s="17"/>
      <c r="AO100" s="17"/>
      <c r="AP100" s="21"/>
      <c r="AQ100" s="21"/>
      <c r="AR100" s="21"/>
      <c r="AS100" s="21"/>
      <c r="AT100" s="21"/>
      <c r="AU100" s="21"/>
      <c r="AV100" s="21"/>
      <c r="AW100" s="21"/>
      <c r="AX100" s="35"/>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9" t="s">
        <v>386</v>
      </c>
      <c r="BX100" s="14" t="s">
        <v>396</v>
      </c>
      <c r="BY100" s="14" t="s">
        <v>386</v>
      </c>
      <c r="BZ100" s="52" t="s">
        <v>386</v>
      </c>
      <c r="CA100" s="64" t="s">
        <v>396</v>
      </c>
      <c r="CB100" s="64" t="s">
        <v>396</v>
      </c>
      <c r="CC100" s="64"/>
      <c r="CD100" s="64"/>
      <c r="CE100" s="64"/>
      <c r="CF100" s="17"/>
      <c r="CG100" s="17"/>
      <c r="CH100" s="17"/>
      <c r="CI100" s="17"/>
      <c r="CJ100" s="17"/>
      <c r="CK100" s="17"/>
      <c r="CL100" s="17"/>
      <c r="CM100" s="17"/>
      <c r="CN100" s="17"/>
      <c r="CO100" s="17"/>
      <c r="CP100" s="24"/>
    </row>
    <row r="101" spans="1:94" ht="66" hidden="1" customHeight="1">
      <c r="A101" s="149" t="s">
        <v>2562</v>
      </c>
      <c r="B101" s="1" t="s">
        <v>218</v>
      </c>
      <c r="C101" s="13" t="s">
        <v>2563</v>
      </c>
      <c r="D101" s="14" t="s">
        <v>1764</v>
      </c>
      <c r="E101" s="44" t="s">
        <v>2564</v>
      </c>
      <c r="F101" s="27" t="s">
        <v>1399</v>
      </c>
      <c r="G101" s="27"/>
      <c r="H101" s="17" t="s">
        <v>248</v>
      </c>
      <c r="I101" s="17" t="s">
        <v>2565</v>
      </c>
      <c r="J101" s="17" t="s">
        <v>377</v>
      </c>
      <c r="K101" s="17">
        <v>1</v>
      </c>
      <c r="L101" s="14" t="s">
        <v>378</v>
      </c>
      <c r="M101" s="17">
        <v>30</v>
      </c>
      <c r="N101" s="17">
        <v>3500</v>
      </c>
      <c r="O101" s="17"/>
      <c r="P101" s="17"/>
      <c r="Q101" s="17"/>
      <c r="R101" s="14"/>
      <c r="S101" s="14"/>
      <c r="T101" s="14"/>
      <c r="U101" s="14" t="s">
        <v>1769</v>
      </c>
      <c r="V101" s="14"/>
      <c r="W101" s="14"/>
      <c r="X101" s="14" t="s">
        <v>411</v>
      </c>
      <c r="Y101" s="14"/>
      <c r="Z101" s="14" t="s">
        <v>411</v>
      </c>
      <c r="AA101" s="18"/>
      <c r="AB101" s="19">
        <v>46</v>
      </c>
      <c r="AC101" s="17" t="s">
        <v>433</v>
      </c>
      <c r="AD101" s="17"/>
      <c r="AE101" s="14"/>
      <c r="AF101" s="14"/>
      <c r="AG101" s="14"/>
      <c r="AH101" s="24"/>
      <c r="AI101" s="43"/>
      <c r="AJ101" s="17" t="s">
        <v>1412</v>
      </c>
      <c r="AK101" s="17" t="s">
        <v>1412</v>
      </c>
      <c r="AL101" s="17"/>
      <c r="AM101" s="17"/>
      <c r="AN101" s="17"/>
      <c r="AO101" s="17"/>
      <c r="AP101" s="21" t="s">
        <v>2115</v>
      </c>
      <c r="AQ101" s="21" t="s">
        <v>2566</v>
      </c>
      <c r="AR101" s="21"/>
      <c r="AS101" s="21"/>
      <c r="AT101" s="21"/>
      <c r="AU101" s="21"/>
      <c r="AV101" s="21"/>
      <c r="AW101" s="21"/>
      <c r="AX101" s="45">
        <v>44903</v>
      </c>
      <c r="AY101" s="17"/>
      <c r="AZ101" s="17"/>
      <c r="BA101" s="17"/>
      <c r="BB101" s="17"/>
      <c r="BC101" s="17"/>
      <c r="BD101" s="17"/>
      <c r="BE101" s="17"/>
      <c r="BF101" s="17"/>
      <c r="BG101" s="17"/>
      <c r="BH101" s="17" t="s">
        <v>671</v>
      </c>
      <c r="BI101" s="17" t="s">
        <v>671</v>
      </c>
      <c r="BJ101" s="17" t="s">
        <v>671</v>
      </c>
      <c r="BK101" s="17" t="s">
        <v>671</v>
      </c>
      <c r="BL101" s="17" t="s">
        <v>671</v>
      </c>
      <c r="BM101" s="17" t="s">
        <v>671</v>
      </c>
      <c r="BN101" s="17"/>
      <c r="BO101" s="17"/>
      <c r="BP101" s="17" t="s">
        <v>671</v>
      </c>
      <c r="BQ101" s="17" t="s">
        <v>386</v>
      </c>
      <c r="BR101" s="17" t="s">
        <v>396</v>
      </c>
      <c r="BS101" s="17" t="s">
        <v>386</v>
      </c>
      <c r="BT101" s="17"/>
      <c r="BU101" s="17"/>
      <c r="BV101" s="17" t="s">
        <v>671</v>
      </c>
      <c r="BW101" s="19" t="s">
        <v>396</v>
      </c>
      <c r="BX101" s="14" t="s">
        <v>386</v>
      </c>
      <c r="BY101" s="14" t="s">
        <v>386</v>
      </c>
      <c r="BZ101" s="52" t="s">
        <v>386</v>
      </c>
      <c r="CA101" s="52" t="s">
        <v>396</v>
      </c>
      <c r="CB101" s="52" t="s">
        <v>396</v>
      </c>
      <c r="CC101" s="52" t="s">
        <v>1416</v>
      </c>
      <c r="CD101" s="52" t="s">
        <v>1417</v>
      </c>
      <c r="CE101" s="52"/>
      <c r="CF101" s="17"/>
      <c r="CG101" s="17"/>
      <c r="CH101" s="17"/>
      <c r="CI101" s="17"/>
      <c r="CJ101" s="17"/>
      <c r="CK101" s="17"/>
      <c r="CL101" s="17"/>
      <c r="CM101" s="17"/>
      <c r="CN101" s="17"/>
      <c r="CO101" s="17"/>
      <c r="CP101" s="24"/>
    </row>
    <row r="102" spans="1:94" ht="66" hidden="1" customHeight="1">
      <c r="A102" s="149"/>
      <c r="B102" s="1" t="s">
        <v>218</v>
      </c>
      <c r="C102" s="13" t="s">
        <v>2563</v>
      </c>
      <c r="D102" s="14" t="s">
        <v>1764</v>
      </c>
      <c r="E102" s="44" t="s">
        <v>2564</v>
      </c>
      <c r="F102" s="27" t="s">
        <v>1399</v>
      </c>
      <c r="G102" s="27"/>
      <c r="H102" s="17" t="s">
        <v>248</v>
      </c>
      <c r="I102" s="17" t="s">
        <v>2565</v>
      </c>
      <c r="J102" s="17" t="s">
        <v>377</v>
      </c>
      <c r="K102" s="17">
        <v>1</v>
      </c>
      <c r="L102" s="14" t="s">
        <v>378</v>
      </c>
      <c r="M102" s="17">
        <v>30</v>
      </c>
      <c r="N102" s="17">
        <v>1772</v>
      </c>
      <c r="O102" s="17" t="s">
        <v>1402</v>
      </c>
      <c r="P102" s="17" t="s">
        <v>2567</v>
      </c>
      <c r="Q102" s="17" t="s">
        <v>1405</v>
      </c>
      <c r="R102" s="14" t="s">
        <v>1406</v>
      </c>
      <c r="S102" s="14"/>
      <c r="T102" s="14"/>
      <c r="U102" s="14" t="s">
        <v>1769</v>
      </c>
      <c r="V102" s="14"/>
      <c r="W102" s="14"/>
      <c r="X102" s="14"/>
      <c r="Y102" s="14"/>
      <c r="Z102" s="14"/>
      <c r="AA102" s="18">
        <v>216</v>
      </c>
      <c r="AB102" s="19">
        <v>17</v>
      </c>
      <c r="AC102" s="17"/>
      <c r="AD102" s="17"/>
      <c r="AE102" s="14">
        <v>400381683</v>
      </c>
      <c r="AF102" s="14">
        <v>5651593</v>
      </c>
      <c r="AG102" s="14"/>
      <c r="AH102" s="24" t="s">
        <v>2568</v>
      </c>
      <c r="AI102" s="43" t="s">
        <v>2569</v>
      </c>
      <c r="AJ102" s="17" t="s">
        <v>1412</v>
      </c>
      <c r="AK102" s="17" t="s">
        <v>1412</v>
      </c>
      <c r="AL102" s="17"/>
      <c r="AM102" s="17"/>
      <c r="AN102" s="17"/>
      <c r="AO102" s="17"/>
      <c r="AP102" s="21" t="s">
        <v>2570</v>
      </c>
      <c r="AQ102" s="21" t="s">
        <v>2571</v>
      </c>
      <c r="AR102" s="21"/>
      <c r="AS102" s="21"/>
      <c r="AT102" s="21"/>
      <c r="AU102" s="21"/>
      <c r="AV102" s="21"/>
      <c r="AW102" s="21"/>
      <c r="AX102" s="35"/>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9" t="s">
        <v>386</v>
      </c>
      <c r="BX102" s="14" t="s">
        <v>386</v>
      </c>
      <c r="BY102" s="14" t="s">
        <v>396</v>
      </c>
      <c r="BZ102" s="52" t="s">
        <v>386</v>
      </c>
      <c r="CA102" s="64" t="s">
        <v>396</v>
      </c>
      <c r="CB102" s="64" t="s">
        <v>396</v>
      </c>
      <c r="CC102" s="64"/>
      <c r="CD102" s="64"/>
      <c r="CE102" s="64"/>
      <c r="CF102" s="17"/>
      <c r="CG102" s="17"/>
      <c r="CH102" s="17"/>
      <c r="CI102" s="17"/>
      <c r="CJ102" s="17"/>
      <c r="CK102" s="17"/>
      <c r="CL102" s="17"/>
      <c r="CM102" s="17"/>
      <c r="CN102" s="17"/>
      <c r="CO102" s="17"/>
      <c r="CP102" s="24"/>
    </row>
    <row r="103" spans="1:94" ht="66" hidden="1" customHeight="1">
      <c r="A103" s="46" t="s">
        <v>1489</v>
      </c>
      <c r="B103" s="1" t="str">
        <f>_xlfn.XLOOKUP(A:A,'Dados Elevatórias'!D:D,'Dados Elevatórias'!B:B)</f>
        <v>PL-RJB-EAT0828</v>
      </c>
      <c r="C103" s="47"/>
      <c r="D103" s="14" t="s">
        <v>1764</v>
      </c>
      <c r="E103" s="48" t="s">
        <v>2572</v>
      </c>
      <c r="F103" s="17"/>
      <c r="G103" s="17"/>
      <c r="H103" s="17" t="s">
        <v>251</v>
      </c>
      <c r="I103" s="32"/>
      <c r="J103" s="32"/>
      <c r="K103" s="17">
        <v>1</v>
      </c>
      <c r="L103" s="32"/>
      <c r="M103" s="32">
        <v>10</v>
      </c>
      <c r="N103" s="32">
        <v>3535</v>
      </c>
      <c r="O103" s="32"/>
      <c r="P103" s="32">
        <v>2.84</v>
      </c>
      <c r="Q103" s="32">
        <v>10.23</v>
      </c>
      <c r="R103" s="47"/>
      <c r="S103" s="32">
        <v>1.42</v>
      </c>
      <c r="T103" s="32">
        <v>5.1100000000000003</v>
      </c>
      <c r="U103" s="14" t="s">
        <v>455</v>
      </c>
      <c r="V103" s="14" t="s">
        <v>386</v>
      </c>
      <c r="W103" s="14"/>
      <c r="X103" s="14"/>
      <c r="Y103" s="14"/>
      <c r="Z103" s="14"/>
      <c r="AA103" s="31">
        <v>10.23</v>
      </c>
      <c r="AB103" s="31">
        <v>84.56</v>
      </c>
      <c r="AC103" s="17" t="s">
        <v>2573</v>
      </c>
      <c r="AD103" s="17" t="s">
        <v>662</v>
      </c>
      <c r="AE103" s="17"/>
      <c r="AF103" s="17"/>
      <c r="AG103" s="17"/>
      <c r="AH103" s="17"/>
      <c r="AI103" s="17"/>
      <c r="AJ103" s="17"/>
      <c r="AK103" s="17"/>
      <c r="AL103" s="17">
        <v>75</v>
      </c>
      <c r="AM103" s="17">
        <v>665</v>
      </c>
      <c r="AN103" s="17"/>
      <c r="AO103" s="17"/>
      <c r="AP103" s="35"/>
      <c r="AQ103" s="35"/>
      <c r="AR103" s="35"/>
      <c r="AS103" s="35"/>
      <c r="AT103" s="35"/>
      <c r="AU103" s="35"/>
      <c r="AV103" s="35"/>
      <c r="AW103" s="35"/>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t="s">
        <v>491</v>
      </c>
      <c r="CD103" s="17" t="s">
        <v>1340</v>
      </c>
      <c r="CE103" s="17"/>
      <c r="CF103" s="17"/>
      <c r="CG103" s="17"/>
      <c r="CH103" s="17"/>
      <c r="CI103" s="17"/>
      <c r="CJ103" s="17"/>
      <c r="CK103" s="17"/>
      <c r="CL103" s="17"/>
      <c r="CM103" s="17"/>
      <c r="CN103" s="17"/>
      <c r="CO103" s="17"/>
      <c r="CP103" s="47"/>
    </row>
    <row r="104" spans="1:94" ht="66" hidden="1" customHeight="1">
      <c r="A104" s="1" t="s">
        <v>1472</v>
      </c>
      <c r="B104" s="1" t="str">
        <f>_xlfn.XLOOKUP(A:A,'Dados Elevatórias'!D:D,'Dados Elevatórias'!B:B)</f>
        <v>PL-RJB-EAT0829</v>
      </c>
      <c r="C104" s="47"/>
      <c r="D104" s="14" t="s">
        <v>1764</v>
      </c>
      <c r="E104" s="48" t="s">
        <v>2574</v>
      </c>
      <c r="F104" s="17"/>
      <c r="G104" s="17"/>
      <c r="H104" s="17" t="s">
        <v>251</v>
      </c>
      <c r="I104" s="32"/>
      <c r="J104" s="32"/>
      <c r="K104" s="17">
        <v>1</v>
      </c>
      <c r="L104" s="32"/>
      <c r="M104" s="32" t="s">
        <v>2550</v>
      </c>
      <c r="N104" s="32">
        <v>3515</v>
      </c>
      <c r="O104" s="32"/>
      <c r="P104" s="32">
        <v>4.7699999999999996</v>
      </c>
      <c r="Q104" s="32">
        <v>17.16</v>
      </c>
      <c r="R104" s="47"/>
      <c r="S104" s="32">
        <v>2.38</v>
      </c>
      <c r="T104" s="32">
        <v>8.58</v>
      </c>
      <c r="U104" s="14" t="s">
        <v>455</v>
      </c>
      <c r="V104" s="14" t="s">
        <v>386</v>
      </c>
      <c r="W104" s="14"/>
      <c r="X104" s="14"/>
      <c r="Y104" s="14"/>
      <c r="Z104" s="14"/>
      <c r="AA104" s="18">
        <v>17.1648</v>
      </c>
      <c r="AB104" s="31">
        <v>45.68</v>
      </c>
      <c r="AC104" s="17" t="s">
        <v>2573</v>
      </c>
      <c r="AD104" s="17" t="s">
        <v>662</v>
      </c>
      <c r="AE104" s="17"/>
      <c r="AF104" s="17"/>
      <c r="AG104" s="17"/>
      <c r="AH104" s="17"/>
      <c r="AI104" s="17"/>
      <c r="AJ104" s="17"/>
      <c r="AK104" s="17"/>
      <c r="AL104" s="17"/>
      <c r="AM104" s="17"/>
      <c r="AN104" s="17"/>
      <c r="AO104" s="17"/>
      <c r="AP104" s="35"/>
      <c r="AQ104" s="35"/>
      <c r="AR104" s="35"/>
      <c r="AS104" s="35"/>
      <c r="AT104" s="35"/>
      <c r="AU104" s="35"/>
      <c r="AV104" s="35"/>
      <c r="AW104" s="35"/>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t="s">
        <v>397</v>
      </c>
      <c r="CD104" s="17" t="s">
        <v>398</v>
      </c>
      <c r="CE104" s="17"/>
      <c r="CF104" s="17"/>
      <c r="CG104" s="17"/>
      <c r="CH104" s="17"/>
      <c r="CI104" s="17"/>
      <c r="CJ104" s="17"/>
      <c r="CK104" s="17"/>
      <c r="CL104" s="17"/>
      <c r="CM104" s="17"/>
      <c r="CN104" s="17"/>
      <c r="CO104" s="17"/>
      <c r="CP104" s="47"/>
    </row>
    <row r="105" spans="1:94" ht="66" hidden="1" customHeight="1">
      <c r="A105" s="49" t="s">
        <v>1051</v>
      </c>
      <c r="B105" s="1" t="str">
        <f>_xlfn.XLOOKUP(A:A,'Dados Elevatórias'!D:D,'Dados Elevatórias'!B:B)</f>
        <v>PL-RJB-EAT0830</v>
      </c>
      <c r="C105" s="47"/>
      <c r="D105" s="14" t="s">
        <v>1764</v>
      </c>
      <c r="E105" s="48" t="s">
        <v>2575</v>
      </c>
      <c r="F105" s="17" t="s">
        <v>251</v>
      </c>
      <c r="G105" s="17"/>
      <c r="H105" s="32"/>
      <c r="I105" s="32">
        <v>75</v>
      </c>
      <c r="J105" s="32" t="s">
        <v>2576</v>
      </c>
      <c r="K105" s="32">
        <v>550</v>
      </c>
      <c r="L105" s="32" t="s">
        <v>2577</v>
      </c>
      <c r="M105" s="32" t="s">
        <v>2578</v>
      </c>
      <c r="N105" s="32" t="s">
        <v>2579</v>
      </c>
      <c r="O105" s="32" t="s">
        <v>2580</v>
      </c>
      <c r="P105" s="32">
        <v>4.34</v>
      </c>
      <c r="Q105" s="32">
        <v>15.63</v>
      </c>
      <c r="R105" s="47"/>
      <c r="S105" s="32">
        <v>2.17</v>
      </c>
      <c r="T105" s="32">
        <v>7.81</v>
      </c>
      <c r="U105" s="14" t="s">
        <v>455</v>
      </c>
      <c r="V105" s="14"/>
      <c r="W105" s="14"/>
      <c r="X105" s="14"/>
      <c r="Y105" s="14"/>
      <c r="Z105" s="14"/>
      <c r="AA105" s="18"/>
      <c r="AB105" s="32">
        <v>45.14</v>
      </c>
      <c r="AC105" s="17"/>
      <c r="AD105" s="17"/>
      <c r="AE105" s="17"/>
      <c r="AF105" s="17"/>
      <c r="AG105" s="17"/>
      <c r="AH105" s="17"/>
      <c r="AI105" s="17"/>
      <c r="AJ105" s="17"/>
      <c r="AK105" s="17"/>
      <c r="AL105" s="17"/>
      <c r="AM105" s="17"/>
      <c r="AN105" s="17"/>
      <c r="AO105" s="17"/>
      <c r="AP105" s="35"/>
      <c r="AQ105" s="35"/>
      <c r="AR105" s="35"/>
      <c r="AS105" s="35"/>
      <c r="AT105" s="35"/>
      <c r="AU105" s="35"/>
      <c r="AV105" s="35"/>
      <c r="AW105" s="35"/>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t="s">
        <v>491</v>
      </c>
      <c r="CD105" s="17" t="s">
        <v>1061</v>
      </c>
      <c r="CE105" s="17"/>
      <c r="CF105" s="17"/>
      <c r="CG105" s="17"/>
      <c r="CH105" s="17"/>
      <c r="CI105" s="17"/>
      <c r="CJ105" s="17"/>
      <c r="CK105" s="17"/>
      <c r="CL105" s="17"/>
      <c r="CM105" s="17"/>
      <c r="CN105" s="17"/>
      <c r="CO105" s="17"/>
      <c r="CP105" s="47"/>
    </row>
    <row r="106" spans="1:94" ht="66" hidden="1" customHeight="1">
      <c r="A106" s="46" t="s">
        <v>1214</v>
      </c>
      <c r="B106" s="1" t="str">
        <f>_xlfn.XLOOKUP(A:A,'Dados Elevatórias'!D:D,'Dados Elevatórias'!B:B)</f>
        <v>PL-RJB-EAT0832</v>
      </c>
      <c r="C106" s="47"/>
      <c r="D106" s="14" t="s">
        <v>1764</v>
      </c>
      <c r="E106" s="48" t="s">
        <v>2581</v>
      </c>
      <c r="F106" s="17"/>
      <c r="G106" s="17"/>
      <c r="H106" s="17" t="s">
        <v>254</v>
      </c>
      <c r="I106" s="32"/>
      <c r="J106" s="32"/>
      <c r="K106" s="17">
        <v>1</v>
      </c>
      <c r="L106" s="32"/>
      <c r="M106" s="32"/>
      <c r="N106" s="32"/>
      <c r="O106" s="32"/>
      <c r="P106" s="32">
        <v>3</v>
      </c>
      <c r="Q106" s="32">
        <v>10.8</v>
      </c>
      <c r="R106" s="47"/>
      <c r="S106" s="32">
        <v>1.5</v>
      </c>
      <c r="T106" s="32">
        <v>5.4</v>
      </c>
      <c r="U106" s="14" t="s">
        <v>455</v>
      </c>
      <c r="V106" s="14" t="s">
        <v>386</v>
      </c>
      <c r="W106" s="14"/>
      <c r="X106" s="14"/>
      <c r="Y106" s="14"/>
      <c r="Z106" s="14"/>
      <c r="AA106" s="18"/>
      <c r="AB106" s="31">
        <v>46</v>
      </c>
      <c r="AC106" s="17" t="s">
        <v>2573</v>
      </c>
      <c r="AD106" s="17" t="s">
        <v>662</v>
      </c>
      <c r="AE106" s="17"/>
      <c r="AF106" s="17"/>
      <c r="AG106" s="17"/>
      <c r="AH106" s="17"/>
      <c r="AI106" s="17"/>
      <c r="AJ106" s="17"/>
      <c r="AK106" s="17"/>
      <c r="AL106" s="17"/>
      <c r="AM106" s="17"/>
      <c r="AN106" s="17"/>
      <c r="AO106" s="17"/>
      <c r="AP106" s="35"/>
      <c r="AQ106" s="35"/>
      <c r="AR106" s="35"/>
      <c r="AS106" s="35"/>
      <c r="AT106" s="35"/>
      <c r="AU106" s="35"/>
      <c r="AV106" s="35"/>
      <c r="AW106" s="35"/>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t="s">
        <v>1217</v>
      </c>
      <c r="CD106" s="17" t="s">
        <v>1218</v>
      </c>
      <c r="CE106" s="17"/>
      <c r="CF106" s="17"/>
      <c r="CG106" s="17"/>
      <c r="CH106" s="17"/>
      <c r="CI106" s="17"/>
      <c r="CJ106" s="17"/>
      <c r="CK106" s="17"/>
      <c r="CL106" s="17"/>
      <c r="CM106" s="17"/>
      <c r="CN106" s="17"/>
      <c r="CO106" s="24"/>
      <c r="CP106" s="47"/>
    </row>
    <row r="107" spans="1:94" ht="66" hidden="1" customHeight="1">
      <c r="A107" s="50" t="s">
        <v>1508</v>
      </c>
      <c r="B107" s="1" t="str">
        <f>_xlfn.XLOOKUP(A:A,'Dados Elevatórias'!D:D,'Dados Elevatórias'!B:B)</f>
        <v>PL-RJB-EAT0817</v>
      </c>
      <c r="C107" s="47"/>
      <c r="D107" s="14" t="s">
        <v>1764</v>
      </c>
      <c r="E107" s="48" t="s">
        <v>2582</v>
      </c>
      <c r="F107" s="17" t="s">
        <v>248</v>
      </c>
      <c r="G107" s="17"/>
      <c r="H107" s="24" t="s">
        <v>421</v>
      </c>
      <c r="I107" s="17">
        <v>100</v>
      </c>
      <c r="J107" s="17" t="s">
        <v>2576</v>
      </c>
      <c r="K107" s="17" t="s">
        <v>2583</v>
      </c>
      <c r="L107" s="17" t="s">
        <v>1902</v>
      </c>
      <c r="M107" s="17">
        <v>20</v>
      </c>
      <c r="N107" s="17" t="s">
        <v>2584</v>
      </c>
      <c r="O107" s="17" t="s">
        <v>1902</v>
      </c>
      <c r="P107" s="17"/>
      <c r="Q107" s="17">
        <v>39.456000000000003</v>
      </c>
      <c r="R107" s="47"/>
      <c r="S107" s="14">
        <v>5.48</v>
      </c>
      <c r="T107" s="14">
        <v>19.728000000000002</v>
      </c>
      <c r="U107" s="14" t="s">
        <v>455</v>
      </c>
      <c r="V107" s="14"/>
      <c r="W107" s="14"/>
      <c r="X107" s="14"/>
      <c r="Y107" s="14"/>
      <c r="Z107" s="14"/>
      <c r="AA107" s="32" t="s">
        <v>2585</v>
      </c>
      <c r="AB107" s="14">
        <v>54</v>
      </c>
      <c r="AC107" s="17"/>
      <c r="AD107" s="17"/>
      <c r="AE107" s="17"/>
      <c r="AF107" s="17"/>
      <c r="AG107" s="17"/>
      <c r="AH107" s="17"/>
      <c r="AI107" s="17"/>
      <c r="AJ107" s="17"/>
      <c r="AK107" s="17"/>
      <c r="AL107" s="17"/>
      <c r="AM107" s="17"/>
      <c r="AN107" s="17"/>
      <c r="AO107" s="17"/>
      <c r="AP107" s="35"/>
      <c r="AQ107" s="35"/>
      <c r="AR107" s="35"/>
      <c r="AS107" s="35"/>
      <c r="AT107" s="35"/>
      <c r="AU107" s="35"/>
      <c r="AV107" s="35"/>
      <c r="AW107" s="35"/>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t="s">
        <v>1522</v>
      </c>
      <c r="CD107" s="17" t="s">
        <v>1523</v>
      </c>
      <c r="CE107" s="17"/>
      <c r="CF107" s="17"/>
      <c r="CG107" s="17"/>
      <c r="CH107" s="17"/>
      <c r="CI107" s="17"/>
      <c r="CJ107" s="17"/>
      <c r="CK107" s="17"/>
      <c r="CL107" s="17"/>
      <c r="CM107" s="17"/>
      <c r="CN107" s="17"/>
      <c r="CO107" s="24"/>
      <c r="CP107" s="47"/>
    </row>
    <row r="108" spans="1:94" ht="66" hidden="1" customHeight="1">
      <c r="A108" s="147" t="s">
        <v>829</v>
      </c>
      <c r="B108" s="1" t="str">
        <f>_xlfn.XLOOKUP(A:A,'Dados Elevatórias'!D:D,'Dados Elevatórias'!B:B)</f>
        <v>PL-RJB-EAT0816</v>
      </c>
      <c r="C108" s="137"/>
      <c r="D108" s="140" t="s">
        <v>1764</v>
      </c>
      <c r="E108" s="144" t="s">
        <v>2586</v>
      </c>
      <c r="F108" s="138" t="s">
        <v>248</v>
      </c>
      <c r="G108" s="145"/>
      <c r="H108" s="136" t="s">
        <v>421</v>
      </c>
      <c r="I108" s="138">
        <v>75</v>
      </c>
      <c r="J108" s="138" t="s">
        <v>2576</v>
      </c>
      <c r="K108" s="138" t="s">
        <v>2583</v>
      </c>
      <c r="L108" s="138" t="s">
        <v>1902</v>
      </c>
      <c r="M108" s="141">
        <v>7.5</v>
      </c>
      <c r="N108" s="141">
        <v>32.5</v>
      </c>
      <c r="O108" s="138" t="s">
        <v>1902</v>
      </c>
      <c r="P108" s="138"/>
      <c r="Q108" s="138">
        <v>10.548</v>
      </c>
      <c r="R108" s="137"/>
      <c r="S108" s="140">
        <v>1.4650000000000001</v>
      </c>
      <c r="T108" s="140">
        <v>5.274</v>
      </c>
      <c r="U108" s="140" t="s">
        <v>455</v>
      </c>
      <c r="V108" s="140"/>
      <c r="W108" s="140"/>
      <c r="X108" s="140"/>
      <c r="Y108" s="140"/>
      <c r="Z108" s="140"/>
      <c r="AA108" s="141">
        <v>32.5</v>
      </c>
      <c r="AB108" s="140">
        <v>50</v>
      </c>
      <c r="AC108" s="138"/>
      <c r="AD108" s="138"/>
      <c r="AE108" s="138"/>
      <c r="AF108" s="138"/>
      <c r="AG108" s="138"/>
      <c r="AH108" s="138"/>
      <c r="AI108" s="138"/>
      <c r="AJ108" s="138"/>
      <c r="AK108" s="138"/>
      <c r="AL108" s="138"/>
      <c r="AM108" s="138"/>
      <c r="AN108" s="138"/>
      <c r="AO108" s="138"/>
      <c r="AP108" s="139"/>
      <c r="AQ108" s="139"/>
      <c r="AR108" s="139"/>
      <c r="AS108" s="139"/>
      <c r="AT108" s="139"/>
      <c r="AU108" s="139"/>
      <c r="AV108" s="139"/>
      <c r="AW108" s="139"/>
      <c r="AX108" s="138"/>
      <c r="AY108" s="138"/>
      <c r="AZ108" s="138"/>
      <c r="BA108" s="138"/>
      <c r="BB108" s="138"/>
      <c r="BC108" s="138"/>
      <c r="BD108" s="138"/>
      <c r="BE108" s="138"/>
      <c r="BF108" s="138"/>
      <c r="BG108" s="138"/>
      <c r="BH108" s="138"/>
      <c r="BI108" s="138"/>
      <c r="BJ108" s="138"/>
      <c r="BK108" s="138"/>
      <c r="BL108" s="138"/>
      <c r="BM108" s="138"/>
      <c r="BN108" s="138"/>
      <c r="BO108" s="138"/>
      <c r="BP108" s="138"/>
      <c r="BQ108" s="138"/>
      <c r="BR108" s="138"/>
      <c r="BS108" s="138"/>
      <c r="BT108" s="138"/>
      <c r="BU108" s="138"/>
      <c r="BV108" s="138"/>
      <c r="BW108" s="138"/>
      <c r="BX108" s="138"/>
      <c r="BY108" s="138"/>
      <c r="BZ108" s="138"/>
      <c r="CA108" s="138"/>
      <c r="CB108" s="138"/>
      <c r="CC108" s="138" t="s">
        <v>397</v>
      </c>
      <c r="CD108" s="138" t="s">
        <v>398</v>
      </c>
      <c r="CE108" s="17" t="s">
        <v>845</v>
      </c>
      <c r="CF108" s="138"/>
      <c r="CG108" s="138"/>
      <c r="CH108" s="138"/>
      <c r="CI108" s="138"/>
      <c r="CJ108" s="138"/>
      <c r="CK108" s="138"/>
      <c r="CL108" s="138"/>
      <c r="CM108" s="138"/>
      <c r="CN108" s="138"/>
      <c r="CO108" s="136"/>
      <c r="CP108" s="137"/>
    </row>
    <row r="109" spans="1:94" ht="66" hidden="1" customHeight="1">
      <c r="A109" s="147"/>
      <c r="B109" s="1" t="s">
        <v>203</v>
      </c>
      <c r="C109" s="137"/>
      <c r="D109" s="140"/>
      <c r="E109" s="144"/>
      <c r="F109" s="138"/>
      <c r="G109" s="146"/>
      <c r="H109" s="136"/>
      <c r="I109" s="138"/>
      <c r="J109" s="138"/>
      <c r="K109" s="138"/>
      <c r="L109" s="138"/>
      <c r="M109" s="141"/>
      <c r="N109" s="141"/>
      <c r="O109" s="138"/>
      <c r="P109" s="138"/>
      <c r="Q109" s="138"/>
      <c r="R109" s="137"/>
      <c r="S109" s="140"/>
      <c r="T109" s="140"/>
      <c r="U109" s="140"/>
      <c r="V109" s="140"/>
      <c r="W109" s="140"/>
      <c r="X109" s="140"/>
      <c r="Y109" s="140"/>
      <c r="Z109" s="140"/>
      <c r="AA109" s="141"/>
      <c r="AB109" s="140"/>
      <c r="AC109" s="138"/>
      <c r="AD109" s="138"/>
      <c r="AE109" s="138"/>
      <c r="AF109" s="138"/>
      <c r="AG109" s="138"/>
      <c r="AH109" s="138"/>
      <c r="AI109" s="138"/>
      <c r="AJ109" s="138"/>
      <c r="AK109" s="138"/>
      <c r="AL109" s="138"/>
      <c r="AM109" s="138"/>
      <c r="AN109" s="138"/>
      <c r="AO109" s="138"/>
      <c r="AP109" s="139"/>
      <c r="AQ109" s="139"/>
      <c r="AR109" s="139"/>
      <c r="AS109" s="139"/>
      <c r="AT109" s="139"/>
      <c r="AU109" s="139"/>
      <c r="AV109" s="139"/>
      <c r="AW109" s="139"/>
      <c r="AX109" s="138"/>
      <c r="AY109" s="138"/>
      <c r="AZ109" s="138"/>
      <c r="BA109" s="138"/>
      <c r="BB109" s="138"/>
      <c r="BC109" s="138"/>
      <c r="BD109" s="138"/>
      <c r="BE109" s="138"/>
      <c r="BF109" s="138"/>
      <c r="BG109" s="138"/>
      <c r="BH109" s="138"/>
      <c r="BI109" s="138"/>
      <c r="BJ109" s="138"/>
      <c r="BK109" s="138"/>
      <c r="BL109" s="138"/>
      <c r="BM109" s="138"/>
      <c r="BN109" s="138"/>
      <c r="BO109" s="138"/>
      <c r="BP109" s="138"/>
      <c r="BQ109" s="138"/>
      <c r="BR109" s="138"/>
      <c r="BS109" s="138"/>
      <c r="BT109" s="138"/>
      <c r="BU109" s="138"/>
      <c r="BV109" s="138"/>
      <c r="BW109" s="138"/>
      <c r="BX109" s="138"/>
      <c r="BY109" s="138"/>
      <c r="BZ109" s="138"/>
      <c r="CA109" s="138"/>
      <c r="CB109" s="138"/>
      <c r="CC109" s="138"/>
      <c r="CD109" s="138"/>
      <c r="CE109" s="17" t="s">
        <v>2587</v>
      </c>
      <c r="CF109" s="138"/>
      <c r="CG109" s="138"/>
      <c r="CH109" s="138"/>
      <c r="CI109" s="138"/>
      <c r="CJ109" s="138"/>
      <c r="CK109" s="138"/>
      <c r="CL109" s="138"/>
      <c r="CM109" s="138"/>
      <c r="CN109" s="138"/>
      <c r="CO109" s="136"/>
      <c r="CP109" s="137"/>
    </row>
    <row r="110" spans="1:94" ht="66" hidden="1" customHeight="1">
      <c r="A110" s="147" t="s">
        <v>747</v>
      </c>
      <c r="B110" s="1" t="str">
        <f>_xlfn.XLOOKUP(A:A,'Dados Elevatórias'!D:D,'Dados Elevatórias'!B:B)</f>
        <v>PL-RJB-EAT0822</v>
      </c>
      <c r="C110" s="148" t="s">
        <v>2588</v>
      </c>
      <c r="D110" s="140" t="s">
        <v>1764</v>
      </c>
      <c r="E110" s="144" t="s">
        <v>2589</v>
      </c>
      <c r="F110" s="138" t="s">
        <v>248</v>
      </c>
      <c r="G110" s="145"/>
      <c r="H110" s="138" t="s">
        <v>248</v>
      </c>
      <c r="I110" s="138"/>
      <c r="J110" s="138"/>
      <c r="K110" s="138">
        <v>1</v>
      </c>
      <c r="L110" s="138"/>
      <c r="M110" s="138"/>
      <c r="N110" s="138"/>
      <c r="O110" s="138"/>
      <c r="P110" s="138"/>
      <c r="Q110" s="138"/>
      <c r="R110" s="137"/>
      <c r="S110" s="140">
        <v>38.119999999999997</v>
      </c>
      <c r="T110" s="140">
        <v>137.232</v>
      </c>
      <c r="U110" s="140" t="s">
        <v>455</v>
      </c>
      <c r="V110" s="140" t="s">
        <v>386</v>
      </c>
      <c r="W110" s="140"/>
      <c r="X110" s="140"/>
      <c r="Y110" s="140"/>
      <c r="Z110" s="140"/>
      <c r="AA110" s="142">
        <v>274.464</v>
      </c>
      <c r="AB110" s="140">
        <v>55</v>
      </c>
      <c r="AC110" s="138" t="s">
        <v>2573</v>
      </c>
      <c r="AD110" s="138" t="s">
        <v>662</v>
      </c>
      <c r="AE110" s="138"/>
      <c r="AF110" s="138"/>
      <c r="AG110" s="138"/>
      <c r="AH110" s="138"/>
      <c r="AI110" s="138"/>
      <c r="AJ110" s="138"/>
      <c r="AK110" s="138"/>
      <c r="AL110" s="138"/>
      <c r="AM110" s="138"/>
      <c r="AN110" s="138"/>
      <c r="AO110" s="138"/>
      <c r="AP110" s="139"/>
      <c r="AQ110" s="139"/>
      <c r="AR110" s="139"/>
      <c r="AS110" s="139"/>
      <c r="AT110" s="139"/>
      <c r="AU110" s="139"/>
      <c r="AV110" s="139"/>
      <c r="AW110" s="139"/>
      <c r="AX110" s="138"/>
      <c r="AY110" s="138"/>
      <c r="AZ110" s="138"/>
      <c r="BA110" s="138"/>
      <c r="BB110" s="138"/>
      <c r="BC110" s="138"/>
      <c r="BD110" s="138"/>
      <c r="BE110" s="138"/>
      <c r="BF110" s="138"/>
      <c r="BG110" s="138"/>
      <c r="BH110" s="138"/>
      <c r="BI110" s="138"/>
      <c r="BJ110" s="138"/>
      <c r="BK110" s="138"/>
      <c r="BL110" s="138"/>
      <c r="BM110" s="138"/>
      <c r="BN110" s="138"/>
      <c r="BO110" s="138"/>
      <c r="BP110" s="138"/>
      <c r="BQ110" s="138"/>
      <c r="BR110" s="138"/>
      <c r="BS110" s="138"/>
      <c r="BT110" s="138"/>
      <c r="BU110" s="138"/>
      <c r="BV110" s="138"/>
      <c r="BW110" s="138"/>
      <c r="BX110" s="138"/>
      <c r="BY110" s="138"/>
      <c r="BZ110" s="138"/>
      <c r="CA110" s="138"/>
      <c r="CB110" s="138"/>
      <c r="CC110" s="138" t="s">
        <v>516</v>
      </c>
      <c r="CD110" s="138" t="s">
        <v>768</v>
      </c>
      <c r="CE110" s="17" t="s">
        <v>769</v>
      </c>
      <c r="CF110" s="138"/>
      <c r="CG110" s="138"/>
      <c r="CH110" s="138"/>
      <c r="CI110" s="138"/>
      <c r="CJ110" s="138"/>
      <c r="CK110" s="138"/>
      <c r="CL110" s="138"/>
      <c r="CM110" s="138"/>
      <c r="CN110" s="138"/>
      <c r="CO110" s="136"/>
      <c r="CP110" s="137"/>
    </row>
    <row r="111" spans="1:94" ht="66" hidden="1" customHeight="1">
      <c r="A111" s="147"/>
      <c r="B111" s="1" t="s">
        <v>206</v>
      </c>
      <c r="C111" s="148"/>
      <c r="D111" s="140"/>
      <c r="E111" s="144"/>
      <c r="F111" s="138"/>
      <c r="G111" s="146"/>
      <c r="H111" s="138"/>
      <c r="I111" s="138"/>
      <c r="J111" s="138"/>
      <c r="K111" s="138"/>
      <c r="L111" s="138"/>
      <c r="M111" s="138"/>
      <c r="N111" s="138"/>
      <c r="O111" s="138"/>
      <c r="P111" s="138"/>
      <c r="Q111" s="138"/>
      <c r="R111" s="137"/>
      <c r="S111" s="140"/>
      <c r="T111" s="140"/>
      <c r="U111" s="140"/>
      <c r="V111" s="140"/>
      <c r="W111" s="140"/>
      <c r="X111" s="140"/>
      <c r="Y111" s="140"/>
      <c r="Z111" s="140"/>
      <c r="AA111" s="142"/>
      <c r="AB111" s="140"/>
      <c r="AC111" s="138"/>
      <c r="AD111" s="138"/>
      <c r="AE111" s="138"/>
      <c r="AF111" s="138"/>
      <c r="AG111" s="138"/>
      <c r="AH111" s="138"/>
      <c r="AI111" s="138"/>
      <c r="AJ111" s="138"/>
      <c r="AK111" s="138"/>
      <c r="AL111" s="138"/>
      <c r="AM111" s="138"/>
      <c r="AN111" s="138"/>
      <c r="AO111" s="138"/>
      <c r="AP111" s="139"/>
      <c r="AQ111" s="139"/>
      <c r="AR111" s="139"/>
      <c r="AS111" s="139"/>
      <c r="AT111" s="139"/>
      <c r="AU111" s="139"/>
      <c r="AV111" s="139"/>
      <c r="AW111" s="139"/>
      <c r="AX111" s="138"/>
      <c r="AY111" s="138"/>
      <c r="AZ111" s="138"/>
      <c r="BA111" s="138"/>
      <c r="BB111" s="138"/>
      <c r="BC111" s="138"/>
      <c r="BD111" s="138"/>
      <c r="BE111" s="138"/>
      <c r="BF111" s="138"/>
      <c r="BG111" s="138"/>
      <c r="BH111" s="138"/>
      <c r="BI111" s="138"/>
      <c r="BJ111" s="138"/>
      <c r="BK111" s="138"/>
      <c r="BL111" s="138"/>
      <c r="BM111" s="138"/>
      <c r="BN111" s="138"/>
      <c r="BO111" s="138"/>
      <c r="BP111" s="138"/>
      <c r="BQ111" s="138"/>
      <c r="BR111" s="138"/>
      <c r="BS111" s="138"/>
      <c r="BT111" s="138"/>
      <c r="BU111" s="138"/>
      <c r="BV111" s="138"/>
      <c r="BW111" s="138"/>
      <c r="BX111" s="138"/>
      <c r="BY111" s="138"/>
      <c r="BZ111" s="138"/>
      <c r="CA111" s="138"/>
      <c r="CB111" s="138"/>
      <c r="CC111" s="138"/>
      <c r="CD111" s="138"/>
      <c r="CE111" s="17" t="s">
        <v>2587</v>
      </c>
      <c r="CF111" s="138"/>
      <c r="CG111" s="138"/>
      <c r="CH111" s="138"/>
      <c r="CI111" s="138"/>
      <c r="CJ111" s="138"/>
      <c r="CK111" s="138"/>
      <c r="CL111" s="138"/>
      <c r="CM111" s="138"/>
      <c r="CN111" s="138"/>
      <c r="CO111" s="136"/>
      <c r="CP111" s="137"/>
    </row>
    <row r="112" spans="1:94" ht="66" hidden="1" customHeight="1">
      <c r="A112" s="12" t="s">
        <v>889</v>
      </c>
      <c r="B112" s="1" t="str">
        <f>_xlfn.XLOOKUP(A:A,'Dados Elevatórias'!D:D,'Dados Elevatórias'!B:B)</f>
        <v>PL-RJB-EAT0761</v>
      </c>
      <c r="C112" s="13" t="s">
        <v>2590</v>
      </c>
      <c r="D112" s="14" t="s">
        <v>1764</v>
      </c>
      <c r="E112" s="44"/>
      <c r="F112" s="27"/>
      <c r="G112" s="27"/>
      <c r="H112" s="17" t="s">
        <v>443</v>
      </c>
      <c r="I112" s="17"/>
      <c r="J112" s="17"/>
      <c r="K112" s="17"/>
      <c r="L112" s="14"/>
      <c r="M112" s="32">
        <v>5</v>
      </c>
      <c r="N112" s="17"/>
      <c r="O112" s="17"/>
      <c r="P112" s="17"/>
      <c r="Q112" s="17"/>
      <c r="R112" s="14"/>
      <c r="S112" s="14"/>
      <c r="T112" s="14"/>
      <c r="U112" s="14" t="s">
        <v>455</v>
      </c>
      <c r="V112" s="14"/>
      <c r="W112" s="14"/>
      <c r="X112" s="14"/>
      <c r="Y112" s="14"/>
      <c r="Z112" s="14"/>
      <c r="AA112" s="18">
        <v>17.5</v>
      </c>
      <c r="AB112" s="19"/>
      <c r="AC112" s="17"/>
      <c r="AD112" s="17"/>
      <c r="AE112" s="14"/>
      <c r="AF112" s="14"/>
      <c r="AG112" s="14"/>
      <c r="AH112" s="24"/>
      <c r="AI112" s="43"/>
      <c r="AJ112" s="17"/>
      <c r="AK112" s="17"/>
      <c r="AL112" s="17"/>
      <c r="AM112" s="17"/>
      <c r="AN112" s="17"/>
      <c r="AO112" s="17"/>
      <c r="AP112" s="21"/>
      <c r="AQ112" s="21"/>
      <c r="AR112" s="21"/>
      <c r="AS112" s="21"/>
      <c r="AT112" s="21"/>
      <c r="AU112" s="21"/>
      <c r="AV112" s="21"/>
      <c r="AW112" s="21"/>
      <c r="AX112" s="21"/>
      <c r="AY112" s="13"/>
      <c r="AZ112" s="13"/>
      <c r="BA112" s="13"/>
      <c r="BB112" s="13"/>
      <c r="BC112" s="13"/>
      <c r="BD112" s="13"/>
      <c r="BE112" s="13"/>
      <c r="BF112" s="13"/>
      <c r="BG112" s="13"/>
      <c r="BH112" s="17"/>
      <c r="BI112" s="17"/>
      <c r="BJ112" s="17"/>
      <c r="BK112" s="17"/>
      <c r="BL112" s="17"/>
      <c r="BM112" s="17"/>
      <c r="BN112" s="17"/>
      <c r="BO112" s="17"/>
      <c r="BP112" s="17"/>
      <c r="BQ112" s="17"/>
      <c r="BR112" s="17"/>
      <c r="BS112" s="17"/>
      <c r="BT112" s="17"/>
      <c r="BU112" s="17"/>
      <c r="BV112" s="17"/>
      <c r="BW112" s="14"/>
      <c r="BX112" s="19"/>
      <c r="BY112" s="14"/>
      <c r="BZ112" s="52"/>
      <c r="CA112" s="52"/>
      <c r="CB112" s="52"/>
      <c r="CC112" s="52"/>
      <c r="CD112" s="52"/>
      <c r="CE112" s="52"/>
      <c r="CF112" s="17"/>
      <c r="CG112" s="17"/>
      <c r="CH112" s="17"/>
      <c r="CI112" s="17"/>
      <c r="CJ112" s="17"/>
      <c r="CK112" s="17"/>
      <c r="CL112" s="17"/>
      <c r="CM112" s="17"/>
      <c r="CN112" s="17"/>
      <c r="CO112" s="17"/>
      <c r="CP112" s="24"/>
    </row>
    <row r="113" spans="1:94" ht="66" hidden="1" customHeight="1">
      <c r="A113" s="12" t="s">
        <v>1015</v>
      </c>
      <c r="B113" s="1" t="str">
        <f>_xlfn.XLOOKUP(A:A,'Dados Elevatórias'!D:D,'Dados Elevatórias'!B:B)</f>
        <v>PL-RJB-EAT0811</v>
      </c>
      <c r="C113" s="13" t="s">
        <v>2591</v>
      </c>
      <c r="D113" s="14" t="s">
        <v>1764</v>
      </c>
      <c r="E113" s="44"/>
      <c r="F113" s="27"/>
      <c r="G113" s="27"/>
      <c r="H113" s="17" t="s">
        <v>443</v>
      </c>
      <c r="I113" s="17"/>
      <c r="J113" s="17"/>
      <c r="K113" s="17"/>
      <c r="L113" s="14"/>
      <c r="M113" s="32">
        <v>10</v>
      </c>
      <c r="N113" s="17"/>
      <c r="O113" s="17"/>
      <c r="P113" s="17"/>
      <c r="Q113" s="17"/>
      <c r="R113" s="14"/>
      <c r="S113" s="14"/>
      <c r="T113" s="14"/>
      <c r="U113" s="14" t="s">
        <v>455</v>
      </c>
      <c r="V113" s="14"/>
      <c r="W113" s="14"/>
      <c r="X113" s="14"/>
      <c r="Y113" s="14"/>
      <c r="Z113" s="14"/>
      <c r="AA113" s="32">
        <v>30</v>
      </c>
      <c r="AB113" s="19"/>
      <c r="AC113" s="17"/>
      <c r="AD113" s="17"/>
      <c r="AE113" s="14"/>
      <c r="AF113" s="14"/>
      <c r="AG113" s="14"/>
      <c r="AH113" s="24"/>
      <c r="AI113" s="43"/>
      <c r="AJ113" s="17"/>
      <c r="AK113" s="17"/>
      <c r="AL113" s="17"/>
      <c r="AM113" s="17"/>
      <c r="AN113" s="17"/>
      <c r="AO113" s="17"/>
      <c r="AP113" s="21"/>
      <c r="AQ113" s="21"/>
      <c r="AR113" s="21"/>
      <c r="AS113" s="21"/>
      <c r="AT113" s="21"/>
      <c r="AU113" s="21"/>
      <c r="AV113" s="21"/>
      <c r="AW113" s="21"/>
      <c r="AX113" s="21"/>
      <c r="AY113" s="13"/>
      <c r="AZ113" s="13"/>
      <c r="BA113" s="13"/>
      <c r="BB113" s="13"/>
      <c r="BC113" s="13"/>
      <c r="BD113" s="13"/>
      <c r="BE113" s="13"/>
      <c r="BF113" s="13"/>
      <c r="BG113" s="13"/>
      <c r="BH113" s="17"/>
      <c r="BI113" s="17"/>
      <c r="BJ113" s="17"/>
      <c r="BK113" s="17"/>
      <c r="BL113" s="17"/>
      <c r="BM113" s="17"/>
      <c r="BN113" s="17"/>
      <c r="BO113" s="17"/>
      <c r="BP113" s="17"/>
      <c r="BQ113" s="17"/>
      <c r="BR113" s="17"/>
      <c r="BS113" s="17"/>
      <c r="BT113" s="17"/>
      <c r="BU113" s="17"/>
      <c r="BV113" s="17"/>
      <c r="BW113" s="14"/>
      <c r="BX113" s="19"/>
      <c r="BY113" s="14"/>
      <c r="BZ113" s="52"/>
      <c r="CA113" s="52"/>
      <c r="CB113" s="52"/>
      <c r="CC113" s="52"/>
      <c r="CD113" s="52"/>
      <c r="CE113" s="52"/>
      <c r="CF113" s="17"/>
      <c r="CG113" s="17"/>
      <c r="CH113" s="17"/>
      <c r="CI113" s="17"/>
      <c r="CJ113" s="17"/>
      <c r="CK113" s="17"/>
      <c r="CL113" s="17"/>
      <c r="CM113" s="17"/>
      <c r="CN113" s="17"/>
      <c r="CO113" s="17"/>
      <c r="CP113" s="24"/>
    </row>
    <row r="114" spans="1:94" ht="66" hidden="1" customHeight="1">
      <c r="A114" s="12" t="s">
        <v>1105</v>
      </c>
      <c r="B114" s="1" t="str">
        <f>_xlfn.XLOOKUP(A:A,'Dados Elevatórias'!D:D,'Dados Elevatórias'!B:B)</f>
        <v>PL-RJB-EAT0045</v>
      </c>
      <c r="C114" s="13" t="s">
        <v>2592</v>
      </c>
      <c r="D114" s="14" t="s">
        <v>1764</v>
      </c>
      <c r="E114" s="44"/>
      <c r="F114" s="27"/>
      <c r="G114" s="27"/>
      <c r="H114" s="17" t="s">
        <v>421</v>
      </c>
      <c r="I114" s="17"/>
      <c r="J114" s="17"/>
      <c r="K114" s="17"/>
      <c r="L114" s="14"/>
      <c r="M114" s="17">
        <v>10</v>
      </c>
      <c r="N114" s="17"/>
      <c r="O114" s="17"/>
      <c r="P114" s="17"/>
      <c r="Q114" s="17"/>
      <c r="R114" s="14"/>
      <c r="S114" s="14"/>
      <c r="T114" s="14"/>
      <c r="U114" s="14" t="s">
        <v>455</v>
      </c>
      <c r="V114" s="14"/>
      <c r="W114" s="14"/>
      <c r="X114" s="14"/>
      <c r="Y114" s="14"/>
      <c r="Z114" s="14"/>
      <c r="AA114" s="18"/>
      <c r="AB114" s="19"/>
      <c r="AC114" s="17"/>
      <c r="AD114" s="17"/>
      <c r="AE114" s="14"/>
      <c r="AF114" s="14"/>
      <c r="AG114" s="14"/>
      <c r="AH114" s="24"/>
      <c r="AI114" s="43"/>
      <c r="AJ114" s="17"/>
      <c r="AK114" s="17"/>
      <c r="AL114" s="17"/>
      <c r="AM114" s="17"/>
      <c r="AN114" s="17"/>
      <c r="AO114" s="17"/>
      <c r="AP114" s="21"/>
      <c r="AQ114" s="21"/>
      <c r="AR114" s="21"/>
      <c r="AS114" s="21"/>
      <c r="AT114" s="21"/>
      <c r="AU114" s="21"/>
      <c r="AV114" s="21"/>
      <c r="AW114" s="21"/>
      <c r="AX114" s="21"/>
      <c r="AY114" s="13"/>
      <c r="AZ114" s="13"/>
      <c r="BA114" s="13"/>
      <c r="BB114" s="13"/>
      <c r="BC114" s="13"/>
      <c r="BD114" s="13"/>
      <c r="BE114" s="13"/>
      <c r="BF114" s="13"/>
      <c r="BG114" s="13"/>
      <c r="BH114" s="17"/>
      <c r="BI114" s="17"/>
      <c r="BJ114" s="17"/>
      <c r="BK114" s="17"/>
      <c r="BL114" s="17"/>
      <c r="BM114" s="17"/>
      <c r="BN114" s="17"/>
      <c r="BO114" s="17"/>
      <c r="BP114" s="17"/>
      <c r="BQ114" s="17"/>
      <c r="BR114" s="17"/>
      <c r="BS114" s="17"/>
      <c r="BT114" s="17"/>
      <c r="BU114" s="17"/>
      <c r="BV114" s="17"/>
      <c r="BW114" s="14"/>
      <c r="BX114" s="19"/>
      <c r="BY114" s="14"/>
      <c r="BZ114" s="52"/>
      <c r="CA114" s="52"/>
      <c r="CB114" s="52"/>
      <c r="CC114" s="52"/>
      <c r="CD114" s="52"/>
      <c r="CE114" s="52"/>
      <c r="CF114" s="17"/>
      <c r="CG114" s="17"/>
      <c r="CH114" s="17"/>
      <c r="CI114" s="17"/>
      <c r="CJ114" s="17"/>
      <c r="CK114" s="17"/>
      <c r="CL114" s="17"/>
      <c r="CM114" s="17"/>
      <c r="CN114" s="17"/>
      <c r="CO114" s="17"/>
      <c r="CP114" s="24"/>
    </row>
    <row r="115" spans="1:94" ht="66" hidden="1" customHeight="1">
      <c r="A115" s="12" t="s">
        <v>776</v>
      </c>
      <c r="B115" s="1" t="str">
        <f>_xlfn.XLOOKUP(A:A,'Dados Elevatórias'!D:D,'Dados Elevatórias'!B:B)</f>
        <v>PL-RJB-EAT1016</v>
      </c>
      <c r="C115" s="13" t="s">
        <v>2593</v>
      </c>
      <c r="D115" s="14" t="s">
        <v>1764</v>
      </c>
      <c r="E115" s="44"/>
      <c r="F115" s="27"/>
      <c r="G115" s="27"/>
      <c r="H115" s="17"/>
      <c r="I115" s="17"/>
      <c r="J115" s="17"/>
      <c r="K115" s="17"/>
      <c r="L115" s="14"/>
      <c r="M115" s="17"/>
      <c r="N115" s="17"/>
      <c r="O115" s="17"/>
      <c r="P115" s="17"/>
      <c r="Q115" s="17"/>
      <c r="R115" s="14"/>
      <c r="S115" s="14"/>
      <c r="T115" s="14"/>
      <c r="U115" s="14" t="s">
        <v>455</v>
      </c>
      <c r="V115" s="14"/>
      <c r="W115" s="14"/>
      <c r="X115" s="14"/>
      <c r="Y115" s="14"/>
      <c r="Z115" s="14"/>
      <c r="AA115" s="18"/>
      <c r="AB115" s="19"/>
      <c r="AC115" s="17"/>
      <c r="AD115" s="17"/>
      <c r="AE115" s="14"/>
      <c r="AF115" s="14"/>
      <c r="AG115" s="14"/>
      <c r="AH115" s="24"/>
      <c r="AI115" s="43"/>
      <c r="AJ115" s="17"/>
      <c r="AK115" s="17"/>
      <c r="AL115" s="17"/>
      <c r="AM115" s="17"/>
      <c r="AN115" s="17"/>
      <c r="AO115" s="17"/>
      <c r="AP115" s="21"/>
      <c r="AQ115" s="21"/>
      <c r="AR115" s="21"/>
      <c r="AS115" s="21"/>
      <c r="AT115" s="21"/>
      <c r="AU115" s="21"/>
      <c r="AV115" s="21"/>
      <c r="AW115" s="21"/>
      <c r="AX115" s="21"/>
      <c r="AY115" s="13"/>
      <c r="AZ115" s="13"/>
      <c r="BA115" s="13"/>
      <c r="BB115" s="13"/>
      <c r="BC115" s="13"/>
      <c r="BD115" s="13"/>
      <c r="BE115" s="13"/>
      <c r="BF115" s="13"/>
      <c r="BG115" s="13"/>
      <c r="BH115" s="17"/>
      <c r="BI115" s="17"/>
      <c r="BJ115" s="17"/>
      <c r="BK115" s="17"/>
      <c r="BL115" s="17"/>
      <c r="BM115" s="17"/>
      <c r="BN115" s="17"/>
      <c r="BO115" s="17"/>
      <c r="BP115" s="17"/>
      <c r="BQ115" s="17"/>
      <c r="BR115" s="17"/>
      <c r="BS115" s="17"/>
      <c r="BT115" s="17"/>
      <c r="BU115" s="17"/>
      <c r="BV115" s="17"/>
      <c r="BW115" s="14"/>
      <c r="BX115" s="19"/>
      <c r="BY115" s="14"/>
      <c r="BZ115" s="52"/>
      <c r="CA115" s="52"/>
      <c r="CB115" s="52"/>
      <c r="CC115" s="52"/>
      <c r="CD115" s="52"/>
      <c r="CE115" s="52"/>
      <c r="CF115" s="17"/>
      <c r="CG115" s="17"/>
      <c r="CH115" s="17"/>
      <c r="CI115" s="17"/>
      <c r="CJ115" s="17"/>
      <c r="CK115" s="17"/>
      <c r="CL115" s="17"/>
      <c r="CM115" s="17"/>
      <c r="CN115" s="17"/>
      <c r="CO115" s="17"/>
      <c r="CP115" s="24"/>
    </row>
    <row r="116" spans="1:94" ht="66" hidden="1" customHeight="1">
      <c r="A116" s="12" t="s">
        <v>1178</v>
      </c>
      <c r="B116" s="1" t="str">
        <f>_xlfn.XLOOKUP(A:A,'Dados Elevatórias'!D:D,'Dados Elevatórias'!B:B)</f>
        <v>PL-RJB-EAT1014</v>
      </c>
      <c r="C116" s="13" t="s">
        <v>2594</v>
      </c>
      <c r="D116" s="14" t="s">
        <v>1764</v>
      </c>
      <c r="E116" s="44"/>
      <c r="F116" s="27"/>
      <c r="G116" s="27"/>
      <c r="H116" s="17" t="s">
        <v>443</v>
      </c>
      <c r="I116" s="17"/>
      <c r="J116" s="17"/>
      <c r="K116" s="17"/>
      <c r="L116" s="14"/>
      <c r="M116" s="32">
        <v>12</v>
      </c>
      <c r="N116" s="32">
        <v>30</v>
      </c>
      <c r="O116" s="17"/>
      <c r="P116" s="17"/>
      <c r="Q116" s="17"/>
      <c r="R116" s="14"/>
      <c r="S116" s="14"/>
      <c r="T116" s="14"/>
      <c r="U116" s="14" t="s">
        <v>455</v>
      </c>
      <c r="V116" s="14"/>
      <c r="W116" s="14"/>
      <c r="X116" s="14"/>
      <c r="Y116" s="14"/>
      <c r="Z116" s="14"/>
      <c r="AA116" s="18">
        <v>30</v>
      </c>
      <c r="AB116" s="19"/>
      <c r="AC116" s="17"/>
      <c r="AD116" s="17"/>
      <c r="AE116" s="14"/>
      <c r="AF116" s="14"/>
      <c r="AG116" s="14"/>
      <c r="AH116" s="24"/>
      <c r="AI116" s="43"/>
      <c r="AJ116" s="17"/>
      <c r="AK116" s="17"/>
      <c r="AL116" s="17"/>
      <c r="AM116" s="17"/>
      <c r="AN116" s="17"/>
      <c r="AO116" s="17"/>
      <c r="AP116" s="21"/>
      <c r="AQ116" s="21"/>
      <c r="AR116" s="21"/>
      <c r="AS116" s="21"/>
      <c r="AT116" s="21"/>
      <c r="AU116" s="21"/>
      <c r="AV116" s="21"/>
      <c r="AW116" s="21"/>
      <c r="AX116" s="21"/>
      <c r="AY116" s="13"/>
      <c r="AZ116" s="13"/>
      <c r="BA116" s="13"/>
      <c r="BB116" s="13"/>
      <c r="BC116" s="13"/>
      <c r="BD116" s="13"/>
      <c r="BE116" s="13"/>
      <c r="BF116" s="13"/>
      <c r="BG116" s="13"/>
      <c r="BH116" s="17"/>
      <c r="BI116" s="17"/>
      <c r="BJ116" s="17"/>
      <c r="BK116" s="17"/>
      <c r="BL116" s="17"/>
      <c r="BM116" s="17"/>
      <c r="BN116" s="17"/>
      <c r="BO116" s="17"/>
      <c r="BP116" s="17"/>
      <c r="BQ116" s="17"/>
      <c r="BR116" s="17"/>
      <c r="BS116" s="17"/>
      <c r="BT116" s="17"/>
      <c r="BU116" s="17"/>
      <c r="BV116" s="17"/>
      <c r="BW116" s="14"/>
      <c r="BX116" s="19"/>
      <c r="BY116" s="14"/>
      <c r="BZ116" s="52"/>
      <c r="CA116" s="52"/>
      <c r="CB116" s="52"/>
      <c r="CC116" s="52" t="s">
        <v>1187</v>
      </c>
      <c r="CD116" s="52" t="s">
        <v>492</v>
      </c>
      <c r="CE116" s="52"/>
      <c r="CF116" s="17"/>
      <c r="CG116" s="17"/>
      <c r="CH116" s="17"/>
      <c r="CI116" s="17"/>
      <c r="CJ116" s="17"/>
      <c r="CK116" s="17"/>
      <c r="CL116" s="17"/>
      <c r="CM116" s="17"/>
      <c r="CN116" s="17"/>
      <c r="CO116" s="17"/>
      <c r="CP116" s="24"/>
    </row>
    <row r="117" spans="1:94" ht="66" hidden="1" customHeight="1">
      <c r="A117" s="12" t="s">
        <v>770</v>
      </c>
      <c r="B117" s="1" t="str">
        <f>_xlfn.XLOOKUP(A:A,'Dados Elevatórias'!D:D,'Dados Elevatórias'!B:B)</f>
        <v>PL-RJB-EAT0821</v>
      </c>
      <c r="C117" s="13" t="s">
        <v>2595</v>
      </c>
      <c r="D117" s="14" t="s">
        <v>1764</v>
      </c>
      <c r="E117" s="44"/>
      <c r="F117" s="27"/>
      <c r="G117" s="27"/>
      <c r="H117" s="17"/>
      <c r="I117" s="17"/>
      <c r="J117" s="17"/>
      <c r="K117" s="17"/>
      <c r="L117" s="14"/>
      <c r="M117" s="32">
        <v>25</v>
      </c>
      <c r="N117" s="17"/>
      <c r="O117" s="17"/>
      <c r="P117" s="17"/>
      <c r="Q117" s="17"/>
      <c r="R117" s="14"/>
      <c r="S117" s="14"/>
      <c r="T117" s="14"/>
      <c r="U117" s="14" t="s">
        <v>455</v>
      </c>
      <c r="V117" s="14"/>
      <c r="W117" s="14"/>
      <c r="X117" s="14"/>
      <c r="Y117" s="14"/>
      <c r="Z117" s="14"/>
      <c r="AA117" s="18">
        <v>10.44</v>
      </c>
      <c r="AB117" s="19"/>
      <c r="AC117" s="17"/>
      <c r="AD117" s="17"/>
      <c r="AE117" s="14"/>
      <c r="AF117" s="14"/>
      <c r="AG117" s="14"/>
      <c r="AH117" s="24"/>
      <c r="AI117" s="43"/>
      <c r="AJ117" s="17"/>
      <c r="AK117" s="17"/>
      <c r="AL117" s="17"/>
      <c r="AM117" s="17"/>
      <c r="AN117" s="17"/>
      <c r="AO117" s="17"/>
      <c r="AP117" s="21"/>
      <c r="AQ117" s="21"/>
      <c r="AR117" s="21"/>
      <c r="AS117" s="21"/>
      <c r="AT117" s="21"/>
      <c r="AU117" s="21"/>
      <c r="AV117" s="21"/>
      <c r="AW117" s="21"/>
      <c r="AX117" s="21"/>
      <c r="AY117" s="13"/>
      <c r="AZ117" s="13"/>
      <c r="BA117" s="13"/>
      <c r="BB117" s="13"/>
      <c r="BC117" s="13"/>
      <c r="BD117" s="13"/>
      <c r="BE117" s="13"/>
      <c r="BF117" s="13"/>
      <c r="BG117" s="13"/>
      <c r="BH117" s="17"/>
      <c r="BI117" s="17"/>
      <c r="BJ117" s="17"/>
      <c r="BK117" s="17"/>
      <c r="BL117" s="17"/>
      <c r="BM117" s="17"/>
      <c r="BN117" s="17"/>
      <c r="BO117" s="17"/>
      <c r="BP117" s="17"/>
      <c r="BQ117" s="17"/>
      <c r="BR117" s="17"/>
      <c r="BS117" s="17"/>
      <c r="BT117" s="17"/>
      <c r="BU117" s="17"/>
      <c r="BV117" s="17"/>
      <c r="BW117" s="14"/>
      <c r="BX117" s="19"/>
      <c r="BY117" s="14"/>
      <c r="BZ117" s="52"/>
      <c r="CA117" s="52"/>
      <c r="CB117" s="52"/>
      <c r="CC117" s="52"/>
      <c r="CD117" s="52"/>
      <c r="CE117" s="52"/>
      <c r="CF117" s="17"/>
      <c r="CG117" s="17"/>
      <c r="CH117" s="17"/>
      <c r="CI117" s="17"/>
      <c r="CJ117" s="17"/>
      <c r="CK117" s="17"/>
      <c r="CL117" s="17"/>
      <c r="CM117" s="17"/>
      <c r="CN117" s="17"/>
      <c r="CO117" s="17"/>
      <c r="CP117" s="24"/>
    </row>
    <row r="118" spans="1:94" ht="66" hidden="1" customHeight="1">
      <c r="A118" s="12" t="s">
        <v>1051</v>
      </c>
      <c r="B118" s="1" t="str">
        <f>_xlfn.XLOOKUP(A:A,'Dados Elevatórias'!D:D,'Dados Elevatórias'!B:B)</f>
        <v>PL-RJB-EAT0830</v>
      </c>
      <c r="C118" s="48"/>
      <c r="D118" s="14" t="s">
        <v>1764</v>
      </c>
      <c r="E118" s="13" t="s">
        <v>2575</v>
      </c>
      <c r="F118" s="17"/>
      <c r="G118" s="17"/>
      <c r="H118" s="16" t="s">
        <v>251</v>
      </c>
      <c r="I118" s="17"/>
      <c r="J118" s="17"/>
      <c r="K118" s="17">
        <v>1</v>
      </c>
      <c r="L118" s="17"/>
      <c r="M118" s="17"/>
      <c r="N118" s="17"/>
      <c r="O118" s="17"/>
      <c r="P118" s="17"/>
      <c r="Q118" s="17"/>
      <c r="R118" s="14"/>
      <c r="S118" s="14"/>
      <c r="T118" s="14"/>
      <c r="U118" s="14" t="s">
        <v>455</v>
      </c>
      <c r="V118" s="14" t="s">
        <v>386</v>
      </c>
      <c r="W118" s="14"/>
      <c r="X118" s="14"/>
      <c r="Y118" s="14"/>
      <c r="Z118" s="14"/>
      <c r="AA118" s="18">
        <v>15.627599999999999</v>
      </c>
      <c r="AB118" s="18">
        <v>45.137</v>
      </c>
      <c r="AC118" s="17" t="s">
        <v>2573</v>
      </c>
      <c r="AD118" s="17" t="s">
        <v>662</v>
      </c>
      <c r="AE118" s="17"/>
      <c r="AF118" s="17"/>
      <c r="AG118" s="17"/>
      <c r="AH118" s="17"/>
      <c r="AI118" s="17"/>
      <c r="AJ118" s="17"/>
      <c r="AK118" s="17"/>
      <c r="AL118" s="17"/>
      <c r="AM118" s="17"/>
      <c r="AN118" s="17"/>
      <c r="AO118" s="17"/>
      <c r="AP118" s="35"/>
      <c r="AQ118" s="35"/>
      <c r="AR118" s="35"/>
      <c r="AS118" s="35"/>
      <c r="AT118" s="35"/>
      <c r="AU118" s="35"/>
      <c r="AV118" s="35"/>
      <c r="AW118" s="35"/>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t="s">
        <v>491</v>
      </c>
      <c r="CD118" s="17" t="s">
        <v>1061</v>
      </c>
      <c r="CE118" s="17"/>
      <c r="CF118" s="17"/>
      <c r="CG118" s="17"/>
      <c r="CH118" s="17"/>
      <c r="CI118" s="17"/>
      <c r="CJ118" s="17"/>
      <c r="CK118" s="17"/>
      <c r="CL118" s="17"/>
      <c r="CM118" s="17"/>
      <c r="CN118" s="17"/>
      <c r="CO118" s="24"/>
      <c r="CP118" s="47"/>
    </row>
    <row r="119" spans="1:94" ht="66" hidden="1" customHeight="1">
      <c r="A119" s="46" t="s">
        <v>846</v>
      </c>
      <c r="B119" s="1" t="str">
        <f>_xlfn.XLOOKUP(A:A,'Dados Elevatórias'!D:D,'Dados Elevatórias'!B:B)</f>
        <v>PL-RJB-EAT0836</v>
      </c>
      <c r="C119" s="47"/>
      <c r="D119" s="14" t="s">
        <v>1764</v>
      </c>
      <c r="E119" s="48" t="s">
        <v>2596</v>
      </c>
      <c r="F119" s="17"/>
      <c r="G119" s="17"/>
      <c r="H119" s="17" t="s">
        <v>248</v>
      </c>
      <c r="I119" s="17"/>
      <c r="J119" s="17"/>
      <c r="K119" s="17">
        <v>1</v>
      </c>
      <c r="L119" s="17"/>
      <c r="M119" s="17"/>
      <c r="N119" s="17"/>
      <c r="O119" s="17"/>
      <c r="P119" s="17"/>
      <c r="Q119" s="17"/>
      <c r="R119" s="14"/>
      <c r="S119" s="14"/>
      <c r="T119" s="14"/>
      <c r="U119" s="14" t="s">
        <v>455</v>
      </c>
      <c r="V119" s="14" t="s">
        <v>386</v>
      </c>
      <c r="W119" s="14"/>
      <c r="X119" s="14"/>
      <c r="Y119" s="14"/>
      <c r="Z119" s="14"/>
      <c r="AA119" s="18">
        <v>16.2</v>
      </c>
      <c r="AB119" s="18">
        <v>65.5</v>
      </c>
      <c r="AC119" s="17" t="s">
        <v>2573</v>
      </c>
      <c r="AD119" s="17" t="s">
        <v>662</v>
      </c>
      <c r="AE119" s="17"/>
      <c r="AF119" s="17"/>
      <c r="AG119" s="17"/>
      <c r="AH119" s="17"/>
      <c r="AI119" s="17"/>
      <c r="AJ119" s="17"/>
      <c r="AK119" s="17"/>
      <c r="AL119" s="17"/>
      <c r="AM119" s="17"/>
      <c r="AN119" s="17"/>
      <c r="AO119" s="17"/>
      <c r="AP119" s="35"/>
      <c r="AQ119" s="35"/>
      <c r="AR119" s="35"/>
      <c r="AS119" s="35"/>
      <c r="AT119" s="35"/>
      <c r="AU119" s="35"/>
      <c r="AV119" s="35"/>
      <c r="AW119" s="35"/>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24"/>
      <c r="CP119" s="47"/>
    </row>
    <row r="120" spans="1:94" ht="66" hidden="1" customHeight="1">
      <c r="A120" s="46" t="s">
        <v>1026</v>
      </c>
      <c r="B120" s="1" t="str">
        <f>_xlfn.XLOOKUP(A:A,'Dados Elevatórias'!D:D,'Dados Elevatórias'!B:B)</f>
        <v>PL-RJB-EAT0837</v>
      </c>
      <c r="C120" s="47"/>
      <c r="D120" s="14" t="s">
        <v>1764</v>
      </c>
      <c r="E120" s="48" t="s">
        <v>2597</v>
      </c>
      <c r="F120" s="17"/>
      <c r="G120" s="17"/>
      <c r="H120" s="17" t="s">
        <v>248</v>
      </c>
      <c r="I120" s="17"/>
      <c r="J120" s="17"/>
      <c r="K120" s="17">
        <v>1</v>
      </c>
      <c r="L120" s="17"/>
      <c r="M120" s="17"/>
      <c r="N120" s="17"/>
      <c r="O120" s="17"/>
      <c r="P120" s="17"/>
      <c r="Q120" s="17"/>
      <c r="R120" s="14"/>
      <c r="S120" s="14"/>
      <c r="T120" s="14"/>
      <c r="U120" s="14" t="s">
        <v>455</v>
      </c>
      <c r="V120" s="14" t="s">
        <v>386</v>
      </c>
      <c r="W120" s="14"/>
      <c r="X120" s="14"/>
      <c r="Y120" s="14"/>
      <c r="Z120" s="14"/>
      <c r="AA120" s="18">
        <v>20.52</v>
      </c>
      <c r="AB120" s="18">
        <v>60.03</v>
      </c>
      <c r="AC120" s="17" t="s">
        <v>2573</v>
      </c>
      <c r="AD120" s="17" t="s">
        <v>662</v>
      </c>
      <c r="AE120" s="17"/>
      <c r="AF120" s="17"/>
      <c r="AG120" s="17"/>
      <c r="AH120" s="17"/>
      <c r="AI120" s="17"/>
      <c r="AJ120" s="17"/>
      <c r="AK120" s="17"/>
      <c r="AL120" s="17"/>
      <c r="AM120" s="17"/>
      <c r="AN120" s="17"/>
      <c r="AO120" s="17"/>
      <c r="AP120" s="35"/>
      <c r="AQ120" s="35"/>
      <c r="AR120" s="35"/>
      <c r="AS120" s="35"/>
      <c r="AT120" s="35"/>
      <c r="AU120" s="35"/>
      <c r="AV120" s="35"/>
      <c r="AW120" s="35"/>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24"/>
      <c r="CP120" s="47"/>
    </row>
    <row r="121" spans="1:94" ht="66" hidden="1" customHeight="1">
      <c r="A121" s="46" t="s">
        <v>1219</v>
      </c>
      <c r="B121" s="1" t="str">
        <f>_xlfn.XLOOKUP(A:A,'Dados Elevatórias'!D:D,'Dados Elevatórias'!B:B)</f>
        <v>PL-RJB-EAT0825</v>
      </c>
      <c r="C121" s="47"/>
      <c r="D121" s="14" t="s">
        <v>1764</v>
      </c>
      <c r="E121" s="48" t="s">
        <v>2598</v>
      </c>
      <c r="F121" s="17"/>
      <c r="G121" s="17"/>
      <c r="H121" s="17" t="s">
        <v>248</v>
      </c>
      <c r="I121" s="17"/>
      <c r="J121" s="17"/>
      <c r="K121" s="17">
        <v>1</v>
      </c>
      <c r="L121" s="17"/>
      <c r="M121" s="17"/>
      <c r="N121" s="17"/>
      <c r="O121" s="17"/>
      <c r="P121" s="17"/>
      <c r="Q121" s="17"/>
      <c r="R121" s="14"/>
      <c r="S121" s="14"/>
      <c r="T121" s="14"/>
      <c r="U121" s="14" t="s">
        <v>455</v>
      </c>
      <c r="V121" s="14" t="s">
        <v>386</v>
      </c>
      <c r="W121" s="14"/>
      <c r="X121" s="14"/>
      <c r="Y121" s="14"/>
      <c r="Z121" s="14"/>
      <c r="AA121" s="31">
        <v>20.52</v>
      </c>
      <c r="AB121" s="31">
        <v>59.64</v>
      </c>
      <c r="AC121" s="17" t="s">
        <v>2573</v>
      </c>
      <c r="AD121" s="17" t="s">
        <v>662</v>
      </c>
      <c r="AE121" s="17"/>
      <c r="AF121" s="17"/>
      <c r="AG121" s="17"/>
      <c r="AH121" s="17"/>
      <c r="AI121" s="17"/>
      <c r="AJ121" s="17"/>
      <c r="AK121" s="17"/>
      <c r="AL121" s="17"/>
      <c r="AM121" s="17"/>
      <c r="AN121" s="17"/>
      <c r="AO121" s="17"/>
      <c r="AP121" s="35"/>
      <c r="AQ121" s="35"/>
      <c r="AR121" s="35"/>
      <c r="AS121" s="35"/>
      <c r="AT121" s="35"/>
      <c r="AU121" s="35"/>
      <c r="AV121" s="35"/>
      <c r="AW121" s="35"/>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24"/>
      <c r="CP121" s="47"/>
    </row>
    <row r="122" spans="1:94" ht="66" hidden="1" customHeight="1">
      <c r="A122" s="46" t="s">
        <v>1437</v>
      </c>
      <c r="B122" s="1" t="str">
        <f>_xlfn.XLOOKUP(A:A,'Dados Elevatórias'!D:D,'Dados Elevatórias'!B:B)</f>
        <v>PL-RJB-EAT0824</v>
      </c>
      <c r="C122" s="47"/>
      <c r="D122" s="14" t="s">
        <v>1764</v>
      </c>
      <c r="E122" s="48" t="s">
        <v>2599</v>
      </c>
      <c r="F122" s="17"/>
      <c r="G122" s="17"/>
      <c r="H122" s="17" t="s">
        <v>248</v>
      </c>
      <c r="I122" s="17"/>
      <c r="J122" s="17"/>
      <c r="K122" s="17">
        <v>1</v>
      </c>
      <c r="L122" s="17"/>
      <c r="M122" s="17"/>
      <c r="N122" s="17"/>
      <c r="O122" s="17"/>
      <c r="P122" s="17"/>
      <c r="Q122" s="17"/>
      <c r="R122" s="14"/>
      <c r="S122" s="14"/>
      <c r="T122" s="14"/>
      <c r="U122" s="14" t="s">
        <v>455</v>
      </c>
      <c r="V122" s="14" t="s">
        <v>386</v>
      </c>
      <c r="W122" s="14"/>
      <c r="X122" s="14"/>
      <c r="Y122" s="14"/>
      <c r="Z122" s="14"/>
      <c r="AA122" s="18">
        <v>41.76</v>
      </c>
      <c r="AB122" s="18">
        <v>60</v>
      </c>
      <c r="AC122" s="17" t="s">
        <v>2573</v>
      </c>
      <c r="AD122" s="17" t="s">
        <v>662</v>
      </c>
      <c r="AE122" s="17"/>
      <c r="AF122" s="17"/>
      <c r="AG122" s="17"/>
      <c r="AH122" s="17"/>
      <c r="AI122" s="17"/>
      <c r="AJ122" s="17"/>
      <c r="AK122" s="17"/>
      <c r="AL122" s="17"/>
      <c r="AM122" s="17"/>
      <c r="AN122" s="17"/>
      <c r="AO122" s="17"/>
      <c r="AP122" s="35"/>
      <c r="AQ122" s="35"/>
      <c r="AR122" s="35"/>
      <c r="AS122" s="35"/>
      <c r="AT122" s="35"/>
      <c r="AU122" s="35"/>
      <c r="AV122" s="35"/>
      <c r="AW122" s="35"/>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24"/>
      <c r="CP122" s="47"/>
    </row>
    <row r="123" spans="1:94" ht="66" hidden="1" customHeight="1">
      <c r="A123" s="46" t="s">
        <v>2600</v>
      </c>
      <c r="B123" s="1" t="str">
        <f>_xlfn.XLOOKUP(A:A,'Dados Elevatórias'!D:D,'Dados Elevatórias'!B:B)</f>
        <v>PL-RJB-EAT0823</v>
      </c>
      <c r="C123" s="47"/>
      <c r="D123" s="14" t="s">
        <v>1764</v>
      </c>
      <c r="E123" s="48" t="s">
        <v>2601</v>
      </c>
      <c r="F123" s="17"/>
      <c r="G123" s="17"/>
      <c r="H123" s="17" t="s">
        <v>251</v>
      </c>
      <c r="I123" s="17"/>
      <c r="J123" s="17"/>
      <c r="K123" s="17">
        <v>1</v>
      </c>
      <c r="L123" s="17"/>
      <c r="M123" s="17"/>
      <c r="N123" s="17"/>
      <c r="O123" s="17"/>
      <c r="P123" s="17"/>
      <c r="Q123" s="17"/>
      <c r="R123" s="14"/>
      <c r="S123" s="14"/>
      <c r="T123" s="14"/>
      <c r="U123" s="14" t="s">
        <v>455</v>
      </c>
      <c r="V123" s="14" t="s">
        <v>386</v>
      </c>
      <c r="W123" s="14"/>
      <c r="X123" s="14"/>
      <c r="Y123" s="14"/>
      <c r="Z123" s="14"/>
      <c r="AA123" s="31">
        <v>169.92</v>
      </c>
      <c r="AB123" s="31">
        <v>42.4</v>
      </c>
      <c r="AC123" s="17" t="s">
        <v>2573</v>
      </c>
      <c r="AD123" s="17" t="s">
        <v>662</v>
      </c>
      <c r="AE123" s="17"/>
      <c r="AF123" s="17"/>
      <c r="AG123" s="17"/>
      <c r="AH123" s="17"/>
      <c r="AI123" s="17"/>
      <c r="AJ123" s="17"/>
      <c r="AK123" s="17"/>
      <c r="AL123" s="17"/>
      <c r="AM123" s="17"/>
      <c r="AN123" s="17"/>
      <c r="AO123" s="17"/>
      <c r="AP123" s="35"/>
      <c r="AQ123" s="35"/>
      <c r="AR123" s="35"/>
      <c r="AS123" s="35"/>
      <c r="AT123" s="35"/>
      <c r="AU123" s="35"/>
      <c r="AV123" s="35"/>
      <c r="AW123" s="35"/>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t="s">
        <v>397</v>
      </c>
      <c r="CD123" s="17" t="s">
        <v>1061</v>
      </c>
      <c r="CE123" s="17"/>
      <c r="CF123" s="17"/>
      <c r="CG123" s="17"/>
      <c r="CH123" s="17"/>
      <c r="CI123" s="17"/>
      <c r="CJ123" s="17"/>
      <c r="CK123" s="17"/>
      <c r="CL123" s="17"/>
      <c r="CM123" s="17"/>
      <c r="CN123" s="17"/>
      <c r="CO123" s="24"/>
      <c r="CP123" s="47"/>
    </row>
    <row r="124" spans="1:94" ht="66" hidden="1" customHeight="1">
      <c r="A124" s="46" t="s">
        <v>702</v>
      </c>
      <c r="B124" s="1" t="str">
        <f>_xlfn.XLOOKUP(A:A,'Dados Elevatórias'!D:D,'Dados Elevatórias'!B:B)</f>
        <v>PL-RJB-EAT0847</v>
      </c>
      <c r="C124" s="47"/>
      <c r="D124" s="14" t="s">
        <v>1764</v>
      </c>
      <c r="E124" s="48" t="s">
        <v>2602</v>
      </c>
      <c r="F124" s="17"/>
      <c r="G124" s="17"/>
      <c r="H124" s="17" t="s">
        <v>248</v>
      </c>
      <c r="I124" s="17"/>
      <c r="J124" s="17"/>
      <c r="K124" s="17">
        <v>1</v>
      </c>
      <c r="L124" s="17"/>
      <c r="M124" s="17">
        <v>200</v>
      </c>
      <c r="N124" s="17"/>
      <c r="O124" s="17"/>
      <c r="P124" s="17"/>
      <c r="Q124" s="17"/>
      <c r="R124" s="14"/>
      <c r="S124" s="14"/>
      <c r="T124" s="14"/>
      <c r="U124" s="14" t="s">
        <v>455</v>
      </c>
      <c r="V124" s="14" t="s">
        <v>386</v>
      </c>
      <c r="W124" s="14"/>
      <c r="X124" s="14"/>
      <c r="Y124" s="14"/>
      <c r="Z124" s="14"/>
      <c r="AA124" s="18">
        <v>756</v>
      </c>
      <c r="AB124" s="18">
        <v>16.5</v>
      </c>
      <c r="AC124" s="17" t="s">
        <v>2573</v>
      </c>
      <c r="AD124" s="17" t="s">
        <v>662</v>
      </c>
      <c r="AE124" s="17"/>
      <c r="AF124" s="17"/>
      <c r="AG124" s="1"/>
      <c r="AH124" s="17"/>
      <c r="AI124" s="17"/>
      <c r="AJ124" s="17"/>
      <c r="AK124" s="17"/>
      <c r="AL124" s="17"/>
      <c r="AM124" s="17"/>
      <c r="AN124" s="17"/>
      <c r="AO124" s="17"/>
      <c r="AP124" s="35"/>
      <c r="AQ124" s="35"/>
      <c r="AR124" s="35"/>
      <c r="AS124" s="35"/>
      <c r="AT124" s="35"/>
      <c r="AU124" s="35"/>
      <c r="AV124" s="35"/>
      <c r="AW124" s="35"/>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24"/>
      <c r="CP124" s="47"/>
    </row>
    <row r="125" spans="1:94" ht="66" hidden="1" customHeight="1">
      <c r="A125" s="143" t="s">
        <v>526</v>
      </c>
      <c r="B125" s="1" t="str">
        <f>_xlfn.XLOOKUP(A:A,'Dados Elevatórias'!D:D,'Dados Elevatórias'!B:B)</f>
        <v>PL-RJB-EAT1005</v>
      </c>
      <c r="C125" s="137"/>
      <c r="D125" s="140" t="s">
        <v>1764</v>
      </c>
      <c r="E125" s="144" t="s">
        <v>2603</v>
      </c>
      <c r="F125" s="138"/>
      <c r="G125" s="145"/>
      <c r="H125" s="138" t="s">
        <v>248</v>
      </c>
      <c r="I125" s="138"/>
      <c r="J125" s="138"/>
      <c r="K125" s="138">
        <v>1</v>
      </c>
      <c r="L125" s="138"/>
      <c r="M125" s="138"/>
      <c r="N125" s="138"/>
      <c r="O125" s="138"/>
      <c r="P125" s="138"/>
      <c r="Q125" s="138"/>
      <c r="R125" s="140"/>
      <c r="S125" s="140"/>
      <c r="T125" s="140"/>
      <c r="U125" s="140" t="s">
        <v>455</v>
      </c>
      <c r="V125" s="140" t="s">
        <v>386</v>
      </c>
      <c r="W125" s="140"/>
      <c r="X125" s="140"/>
      <c r="Y125" s="140"/>
      <c r="Z125" s="140"/>
      <c r="AA125" s="141">
        <v>360</v>
      </c>
      <c r="AB125" s="142">
        <v>32.799999999999997</v>
      </c>
      <c r="AC125" s="138" t="s">
        <v>2573</v>
      </c>
      <c r="AD125" s="138" t="s">
        <v>662</v>
      </c>
      <c r="AE125" s="138"/>
      <c r="AF125" s="138"/>
      <c r="AG125" s="138"/>
      <c r="AH125" s="138"/>
      <c r="AI125" s="138"/>
      <c r="AJ125" s="138"/>
      <c r="AK125" s="138"/>
      <c r="AL125" s="138"/>
      <c r="AM125" s="138"/>
      <c r="AN125" s="138"/>
      <c r="AO125" s="138"/>
      <c r="AP125" s="139"/>
      <c r="AQ125" s="139"/>
      <c r="AR125" s="139"/>
      <c r="AS125" s="139"/>
      <c r="AT125" s="139"/>
      <c r="AU125" s="139"/>
      <c r="AV125" s="139"/>
      <c r="AW125" s="139"/>
      <c r="AX125" s="138"/>
      <c r="AY125" s="138"/>
      <c r="AZ125" s="138"/>
      <c r="BA125" s="138"/>
      <c r="BB125" s="138"/>
      <c r="BC125" s="138"/>
      <c r="BD125" s="138"/>
      <c r="BE125" s="138"/>
      <c r="BF125" s="138"/>
      <c r="BG125" s="138"/>
      <c r="BH125" s="138"/>
      <c r="BI125" s="138"/>
      <c r="BJ125" s="138"/>
      <c r="BK125" s="138"/>
      <c r="BL125" s="138"/>
      <c r="BM125" s="138"/>
      <c r="BN125" s="138"/>
      <c r="BO125" s="138"/>
      <c r="BP125" s="138"/>
      <c r="BQ125" s="138"/>
      <c r="BR125" s="138"/>
      <c r="BS125" s="138"/>
      <c r="BT125" s="138"/>
      <c r="BU125" s="138"/>
      <c r="BV125" s="138"/>
      <c r="BW125" s="138"/>
      <c r="BX125" s="138"/>
      <c r="BY125" s="138"/>
      <c r="BZ125" s="138"/>
      <c r="CA125" s="138"/>
      <c r="CB125" s="138"/>
      <c r="CC125" s="138" t="s">
        <v>542</v>
      </c>
      <c r="CD125" s="138" t="s">
        <v>543</v>
      </c>
      <c r="CE125" s="17" t="s">
        <v>544</v>
      </c>
      <c r="CF125" s="138"/>
      <c r="CG125" s="138"/>
      <c r="CH125" s="138"/>
      <c r="CI125" s="138"/>
      <c r="CJ125" s="138"/>
      <c r="CK125" s="138"/>
      <c r="CL125" s="138"/>
      <c r="CM125" s="138"/>
      <c r="CN125" s="138"/>
      <c r="CO125" s="136"/>
      <c r="CP125" s="137"/>
    </row>
    <row r="126" spans="1:94" ht="66" hidden="1" customHeight="1">
      <c r="A126" s="143"/>
      <c r="B126" s="1">
        <f>_xlfn.XLOOKUP(A:A,'Dados Elevatórias'!D:D,'Dados Elevatórias'!B:B)</f>
        <v>0</v>
      </c>
      <c r="C126" s="137"/>
      <c r="D126" s="140"/>
      <c r="E126" s="144"/>
      <c r="F126" s="138"/>
      <c r="G126" s="146"/>
      <c r="H126" s="138"/>
      <c r="I126" s="138"/>
      <c r="J126" s="138"/>
      <c r="K126" s="138"/>
      <c r="L126" s="138"/>
      <c r="M126" s="138"/>
      <c r="N126" s="138"/>
      <c r="O126" s="138"/>
      <c r="P126" s="138"/>
      <c r="Q126" s="138"/>
      <c r="R126" s="140"/>
      <c r="S126" s="140"/>
      <c r="T126" s="140"/>
      <c r="U126" s="140"/>
      <c r="V126" s="140"/>
      <c r="W126" s="140"/>
      <c r="X126" s="140"/>
      <c r="Y126" s="140"/>
      <c r="Z126" s="140"/>
      <c r="AA126" s="141"/>
      <c r="AB126" s="142"/>
      <c r="AC126" s="138"/>
      <c r="AD126" s="138"/>
      <c r="AE126" s="138"/>
      <c r="AF126" s="138"/>
      <c r="AG126" s="138"/>
      <c r="AH126" s="138"/>
      <c r="AI126" s="138"/>
      <c r="AJ126" s="138"/>
      <c r="AK126" s="138"/>
      <c r="AL126" s="138"/>
      <c r="AM126" s="138"/>
      <c r="AN126" s="138"/>
      <c r="AO126" s="138"/>
      <c r="AP126" s="139"/>
      <c r="AQ126" s="139"/>
      <c r="AR126" s="139"/>
      <c r="AS126" s="139"/>
      <c r="AT126" s="139"/>
      <c r="AU126" s="139"/>
      <c r="AV126" s="139"/>
      <c r="AW126" s="139"/>
      <c r="AX126" s="138"/>
      <c r="AY126" s="138"/>
      <c r="AZ126" s="138"/>
      <c r="BA126" s="138"/>
      <c r="BB126" s="138"/>
      <c r="BC126" s="138"/>
      <c r="BD126" s="138"/>
      <c r="BE126" s="138"/>
      <c r="BF126" s="138"/>
      <c r="BG126" s="138"/>
      <c r="BH126" s="138"/>
      <c r="BI126" s="138"/>
      <c r="BJ126" s="138"/>
      <c r="BK126" s="138"/>
      <c r="BL126" s="138"/>
      <c r="BM126" s="138"/>
      <c r="BN126" s="138"/>
      <c r="BO126" s="138"/>
      <c r="BP126" s="138"/>
      <c r="BQ126" s="138"/>
      <c r="BR126" s="138"/>
      <c r="BS126" s="138"/>
      <c r="BT126" s="138"/>
      <c r="BU126" s="138"/>
      <c r="BV126" s="138"/>
      <c r="BW126" s="138"/>
      <c r="BX126" s="138"/>
      <c r="BY126" s="138"/>
      <c r="BZ126" s="138"/>
      <c r="CA126" s="138"/>
      <c r="CB126" s="138"/>
      <c r="CC126" s="138"/>
      <c r="CD126" s="138"/>
      <c r="CE126" s="17" t="s">
        <v>2587</v>
      </c>
      <c r="CF126" s="138"/>
      <c r="CG126" s="138"/>
      <c r="CH126" s="138"/>
      <c r="CI126" s="138"/>
      <c r="CJ126" s="138"/>
      <c r="CK126" s="138"/>
      <c r="CL126" s="138"/>
      <c r="CM126" s="138"/>
      <c r="CN126" s="138"/>
      <c r="CO126" s="136"/>
      <c r="CP126" s="137"/>
    </row>
    <row r="127" spans="1:94" ht="66" hidden="1" customHeight="1">
      <c r="A127" s="46" t="s">
        <v>858</v>
      </c>
      <c r="B127" s="1" t="str">
        <f>_xlfn.XLOOKUP(A:A,'Dados Elevatórias'!D:D,'Dados Elevatórias'!B:B)</f>
        <v>PL-RJB-EAT0848</v>
      </c>
      <c r="C127" s="47"/>
      <c r="D127" s="14" t="s">
        <v>1764</v>
      </c>
      <c r="E127" s="48" t="s">
        <v>2604</v>
      </c>
      <c r="F127" s="17"/>
      <c r="G127" s="17"/>
      <c r="H127" s="17" t="s">
        <v>2507</v>
      </c>
      <c r="I127" s="17"/>
      <c r="J127" s="17"/>
      <c r="K127" s="17">
        <v>1</v>
      </c>
      <c r="L127" s="17"/>
      <c r="M127" s="17"/>
      <c r="N127" s="17"/>
      <c r="O127" s="17"/>
      <c r="P127" s="17"/>
      <c r="Q127" s="17"/>
      <c r="R127" s="14"/>
      <c r="S127" s="14"/>
      <c r="T127" s="14"/>
      <c r="U127" s="14" t="s">
        <v>455</v>
      </c>
      <c r="V127" s="14" t="s">
        <v>386</v>
      </c>
      <c r="W127" s="14"/>
      <c r="X127" s="14"/>
      <c r="Y127" s="14"/>
      <c r="Z127" s="14"/>
      <c r="AA127" s="18">
        <v>20.52</v>
      </c>
      <c r="AB127" s="18">
        <v>37.6</v>
      </c>
      <c r="AC127" s="17" t="s">
        <v>2573</v>
      </c>
      <c r="AD127" s="17" t="s">
        <v>662</v>
      </c>
      <c r="AE127" s="17"/>
      <c r="AF127" s="17"/>
      <c r="AG127" s="17"/>
      <c r="AH127" s="17"/>
      <c r="AI127" s="17"/>
      <c r="AJ127" s="17"/>
      <c r="AK127" s="17"/>
      <c r="AL127" s="17"/>
      <c r="AM127" s="17"/>
      <c r="AN127" s="17"/>
      <c r="AO127" s="17"/>
      <c r="AP127" s="35"/>
      <c r="AQ127" s="35"/>
      <c r="AR127" s="35"/>
      <c r="AS127" s="35"/>
      <c r="AT127" s="35"/>
      <c r="AU127" s="35"/>
      <c r="AV127" s="35"/>
      <c r="AW127" s="35"/>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24"/>
      <c r="CP127" s="47"/>
    </row>
    <row r="128" spans="1:94" ht="66" hidden="1" customHeight="1">
      <c r="A128" s="46" t="s">
        <v>881</v>
      </c>
      <c r="B128" s="1" t="str">
        <f>_xlfn.XLOOKUP(A:A,'Dados Elevatórias'!D:D,'Dados Elevatórias'!B:B)</f>
        <v>PL-RJB-EAT0834</v>
      </c>
      <c r="C128" s="47"/>
      <c r="D128" s="14" t="s">
        <v>1764</v>
      </c>
      <c r="E128" s="48" t="s">
        <v>2605</v>
      </c>
      <c r="F128" s="17"/>
      <c r="G128" s="17"/>
      <c r="H128" s="17" t="s">
        <v>251</v>
      </c>
      <c r="I128" s="17"/>
      <c r="J128" s="17"/>
      <c r="K128" s="17">
        <v>1</v>
      </c>
      <c r="L128" s="17"/>
      <c r="M128" s="17"/>
      <c r="N128" s="17"/>
      <c r="O128" s="17"/>
      <c r="P128" s="17"/>
      <c r="Q128" s="17"/>
      <c r="R128" s="14"/>
      <c r="S128" s="14"/>
      <c r="T128" s="14"/>
      <c r="U128" s="14" t="s">
        <v>455</v>
      </c>
      <c r="V128" s="14" t="s">
        <v>386</v>
      </c>
      <c r="W128" s="14"/>
      <c r="X128" s="14"/>
      <c r="Y128" s="14"/>
      <c r="Z128" s="14"/>
      <c r="AA128" s="31">
        <v>81.36</v>
      </c>
      <c r="AB128" s="31">
        <v>43.6</v>
      </c>
      <c r="AC128" s="17" t="s">
        <v>2573</v>
      </c>
      <c r="AD128" s="17" t="s">
        <v>662</v>
      </c>
      <c r="AE128" s="17"/>
      <c r="AF128" s="17"/>
      <c r="AG128" s="17"/>
      <c r="AH128" s="17"/>
      <c r="AI128" s="17"/>
      <c r="AJ128" s="17"/>
      <c r="AK128" s="17"/>
      <c r="AL128" s="17"/>
      <c r="AM128" s="17"/>
      <c r="AN128" s="17"/>
      <c r="AO128" s="17"/>
      <c r="AP128" s="35"/>
      <c r="AQ128" s="35"/>
      <c r="AR128" s="35"/>
      <c r="AS128" s="35"/>
      <c r="AT128" s="35"/>
      <c r="AU128" s="35"/>
      <c r="AV128" s="35"/>
      <c r="AW128" s="35"/>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t="s">
        <v>397</v>
      </c>
      <c r="CD128" s="17" t="s">
        <v>398</v>
      </c>
      <c r="CE128" s="17" t="s">
        <v>888</v>
      </c>
      <c r="CF128" s="17"/>
      <c r="CG128" s="17"/>
      <c r="CH128" s="17"/>
      <c r="CI128" s="17"/>
      <c r="CJ128" s="17"/>
      <c r="CK128" s="17"/>
      <c r="CL128" s="17"/>
      <c r="CM128" s="17"/>
      <c r="CN128" s="17"/>
      <c r="CO128" s="24"/>
      <c r="CP128" s="47"/>
    </row>
    <row r="129" spans="1:225" ht="66" hidden="1" customHeight="1">
      <c r="A129" s="46" t="s">
        <v>737</v>
      </c>
      <c r="B129" s="1" t="str">
        <f>_xlfn.XLOOKUP(A:A,'Dados Elevatórias'!D:D,'Dados Elevatórias'!B:B)</f>
        <v>PL-RJB-EAT0835</v>
      </c>
      <c r="C129" s="47"/>
      <c r="D129" s="14" t="s">
        <v>1764</v>
      </c>
      <c r="E129" s="48" t="s">
        <v>2606</v>
      </c>
      <c r="F129" s="17"/>
      <c r="G129" s="17"/>
      <c r="H129" s="17" t="s">
        <v>251</v>
      </c>
      <c r="I129" s="17"/>
      <c r="J129" s="17"/>
      <c r="K129" s="17">
        <v>1</v>
      </c>
      <c r="L129" s="17"/>
      <c r="M129" s="17">
        <v>20</v>
      </c>
      <c r="N129" s="17"/>
      <c r="O129" s="17"/>
      <c r="P129" s="17"/>
      <c r="Q129" s="17"/>
      <c r="R129" s="14"/>
      <c r="S129" s="14"/>
      <c r="T129" s="14"/>
      <c r="U129" s="14" t="s">
        <v>455</v>
      </c>
      <c r="V129" s="14" t="s">
        <v>386</v>
      </c>
      <c r="W129" s="14"/>
      <c r="X129" s="14"/>
      <c r="Y129" s="14"/>
      <c r="Z129" s="14"/>
      <c r="AA129" s="18">
        <v>61.92</v>
      </c>
      <c r="AB129" s="18">
        <v>32.200000000000003</v>
      </c>
      <c r="AC129" s="17" t="s">
        <v>2573</v>
      </c>
      <c r="AD129" s="17" t="s">
        <v>662</v>
      </c>
      <c r="AE129" s="17"/>
      <c r="AF129" s="17"/>
      <c r="AG129" s="17"/>
      <c r="AH129" s="17"/>
      <c r="AI129" s="17"/>
      <c r="AJ129" s="17"/>
      <c r="AK129" s="17"/>
      <c r="AL129" s="17"/>
      <c r="AM129" s="17"/>
      <c r="AN129" s="17"/>
      <c r="AO129" s="17"/>
      <c r="AP129" s="35"/>
      <c r="AQ129" s="35"/>
      <c r="AR129" s="35"/>
      <c r="AS129" s="35"/>
      <c r="AT129" s="35"/>
      <c r="AU129" s="35"/>
      <c r="AV129" s="35"/>
      <c r="AW129" s="35"/>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24"/>
      <c r="CP129" s="47"/>
    </row>
    <row r="130" spans="1:225" ht="66" hidden="1" customHeight="1">
      <c r="A130" s="12" t="s">
        <v>810</v>
      </c>
      <c r="B130" s="1" t="str">
        <f>_xlfn.XLOOKUP(A:A,'Dados Elevatórias'!D:D,'Dados Elevatórias'!B:B)</f>
        <v>PL-RJB-EAT0833</v>
      </c>
      <c r="C130" s="48"/>
      <c r="D130" s="27"/>
      <c r="E130" s="42"/>
      <c r="F130" s="27"/>
      <c r="G130" s="17"/>
      <c r="H130" s="27" t="s">
        <v>576</v>
      </c>
      <c r="I130" s="17"/>
      <c r="J130" s="17"/>
      <c r="K130" s="17"/>
      <c r="L130" s="17"/>
      <c r="M130" s="17"/>
      <c r="N130" s="17"/>
      <c r="O130" s="17"/>
      <c r="P130" s="17"/>
      <c r="Q130" s="17"/>
      <c r="R130" s="14"/>
      <c r="S130" s="14"/>
      <c r="T130" s="14"/>
      <c r="U130" s="14"/>
      <c r="V130" s="14"/>
      <c r="W130" s="14"/>
      <c r="X130" s="14"/>
      <c r="Y130" s="14"/>
      <c r="Z130" s="14"/>
      <c r="AA130" s="18"/>
      <c r="AB130" s="18"/>
      <c r="AC130" s="17"/>
      <c r="AD130" s="17"/>
      <c r="AE130" s="17"/>
      <c r="AF130" s="17"/>
      <c r="AG130" s="17"/>
      <c r="AH130" s="17"/>
      <c r="AI130" s="17"/>
      <c r="AJ130" s="17"/>
      <c r="AK130" s="17"/>
      <c r="AL130" s="17"/>
      <c r="AM130" s="17"/>
      <c r="AN130" s="17"/>
      <c r="AO130" s="17"/>
      <c r="AP130" s="35"/>
      <c r="AQ130" s="35"/>
      <c r="AR130" s="35"/>
      <c r="AS130" s="35"/>
      <c r="AT130" s="35"/>
      <c r="AU130" s="35"/>
      <c r="AV130" s="35"/>
      <c r="AW130" s="35"/>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24"/>
      <c r="CP130" s="47"/>
      <c r="CQ130" s="51"/>
      <c r="CR130" s="51"/>
      <c r="CS130" s="51"/>
      <c r="CT130" s="51"/>
      <c r="CU130" s="51"/>
      <c r="CV130" s="51"/>
      <c r="CW130" s="51"/>
      <c r="CX130" s="51"/>
      <c r="CY130" s="51"/>
      <c r="CZ130" s="51"/>
      <c r="DA130" s="51"/>
      <c r="DB130" s="51"/>
      <c r="DC130" s="51"/>
      <c r="DD130" s="51"/>
      <c r="DE130" s="51"/>
      <c r="DF130" s="51"/>
      <c r="DG130" s="51"/>
      <c r="DH130" s="51"/>
      <c r="DI130" s="51"/>
      <c r="DJ130" s="51"/>
      <c r="DK130" s="51"/>
      <c r="DL130" s="51"/>
      <c r="DM130" s="51"/>
      <c r="DN130" s="51"/>
      <c r="DO130" s="51"/>
      <c r="DP130" s="51"/>
      <c r="DQ130" s="51"/>
      <c r="DR130" s="51"/>
      <c r="DS130" s="51"/>
      <c r="DT130" s="51"/>
      <c r="DU130" s="51"/>
      <c r="DV130" s="51"/>
      <c r="DW130" s="51"/>
      <c r="DX130" s="51"/>
      <c r="DY130" s="51"/>
      <c r="DZ130" s="51"/>
      <c r="EA130" s="51"/>
      <c r="EB130" s="51"/>
      <c r="EC130" s="51"/>
      <c r="ED130" s="51"/>
      <c r="EE130" s="51"/>
      <c r="EF130" s="51"/>
      <c r="EG130" s="51"/>
      <c r="EH130" s="51"/>
      <c r="EI130" s="51"/>
      <c r="EJ130" s="51"/>
      <c r="EK130" s="51"/>
      <c r="EL130" s="51"/>
      <c r="EM130" s="51"/>
      <c r="EN130" s="51"/>
      <c r="EO130" s="51"/>
      <c r="EP130" s="51"/>
      <c r="EQ130" s="51"/>
      <c r="ER130" s="51"/>
      <c r="ES130" s="51"/>
      <c r="ET130" s="51"/>
      <c r="EU130" s="51"/>
      <c r="EV130" s="51"/>
      <c r="EW130" s="51"/>
      <c r="EX130" s="51"/>
      <c r="EY130" s="51"/>
      <c r="EZ130" s="51"/>
      <c r="FA130" s="51"/>
      <c r="FB130" s="51"/>
      <c r="FC130" s="51"/>
      <c r="FD130" s="51"/>
      <c r="FE130" s="51"/>
      <c r="FF130" s="51"/>
      <c r="FG130" s="51"/>
      <c r="FH130" s="51"/>
      <c r="FI130" s="51"/>
      <c r="FJ130" s="51"/>
      <c r="FK130" s="51"/>
      <c r="FL130" s="51"/>
      <c r="FM130" s="51"/>
      <c r="FN130" s="51"/>
      <c r="FO130" s="51"/>
      <c r="FP130" s="51"/>
      <c r="FQ130" s="51"/>
      <c r="FR130" s="51"/>
      <c r="FS130" s="51"/>
      <c r="FT130" s="51"/>
      <c r="FU130" s="51"/>
      <c r="FV130" s="51"/>
      <c r="FW130" s="51"/>
      <c r="FX130" s="51"/>
      <c r="FY130" s="51"/>
      <c r="FZ130" s="51"/>
      <c r="GA130" s="51"/>
      <c r="GB130" s="51"/>
      <c r="GC130" s="51"/>
      <c r="GD130" s="51"/>
      <c r="GE130" s="51"/>
      <c r="GF130" s="51"/>
      <c r="GG130" s="51"/>
      <c r="GH130" s="51"/>
      <c r="GI130" s="51"/>
      <c r="GJ130" s="51"/>
      <c r="GK130" s="51"/>
      <c r="GL130" s="51"/>
      <c r="GM130" s="51"/>
      <c r="GN130" s="51"/>
      <c r="GO130" s="51"/>
      <c r="GP130" s="51"/>
      <c r="GQ130" s="51"/>
      <c r="GR130" s="51"/>
      <c r="GS130" s="51"/>
      <c r="GT130" s="51"/>
      <c r="GU130" s="51"/>
      <c r="GV130" s="51"/>
      <c r="GW130" s="51"/>
      <c r="GX130" s="51"/>
      <c r="GY130" s="51"/>
      <c r="GZ130" s="51"/>
      <c r="HA130" s="51"/>
      <c r="HB130" s="51"/>
      <c r="HC130" s="51"/>
      <c r="HD130" s="51"/>
      <c r="HE130" s="51"/>
      <c r="HF130" s="51"/>
      <c r="HG130" s="51"/>
      <c r="HH130" s="51"/>
      <c r="HI130" s="51"/>
      <c r="HJ130" s="51"/>
      <c r="HK130" s="51"/>
      <c r="HL130" s="51"/>
      <c r="HM130" s="51"/>
      <c r="HN130" s="51"/>
      <c r="HO130" s="51"/>
      <c r="HP130" s="51"/>
      <c r="HQ130" s="53"/>
    </row>
  </sheetData>
  <autoFilter ref="A5:CP130" xr:uid="{A14C5626-A6A9-4419-A48B-7EF6AB094F2F}">
    <filterColumn colId="0">
      <filters>
        <filter val="PALHADA"/>
        <filter val="PINDORAMA"/>
      </filters>
    </filterColumn>
  </autoFilter>
  <mergeCells count="640">
    <mergeCell ref="AY2:BB3"/>
    <mergeCell ref="BC2:BG3"/>
    <mergeCell ref="A1:A4"/>
    <mergeCell ref="C1:C4"/>
    <mergeCell ref="D1:D4"/>
    <mergeCell ref="E1:E4"/>
    <mergeCell ref="F1:F4"/>
    <mergeCell ref="H1:H4"/>
    <mergeCell ref="B1:B4"/>
    <mergeCell ref="G2:G3"/>
    <mergeCell ref="AO1:AO4"/>
    <mergeCell ref="I1:I4"/>
    <mergeCell ref="J1:J4"/>
    <mergeCell ref="K1:K4"/>
    <mergeCell ref="L1:L4"/>
    <mergeCell ref="M1:AB1"/>
    <mergeCell ref="AC1:AD3"/>
    <mergeCell ref="V2:V4"/>
    <mergeCell ref="W2:W4"/>
    <mergeCell ref="X2:X4"/>
    <mergeCell ref="Y2:Y4"/>
    <mergeCell ref="CM1:CM4"/>
    <mergeCell ref="CN1:CN4"/>
    <mergeCell ref="CO1:CO4"/>
    <mergeCell ref="CP1:CP4"/>
    <mergeCell ref="M2:O3"/>
    <mergeCell ref="P2:R3"/>
    <mergeCell ref="S2:T3"/>
    <mergeCell ref="U2:U4"/>
    <mergeCell ref="BH1:CB1"/>
    <mergeCell ref="CC1:CE1"/>
    <mergeCell ref="CF1:CG3"/>
    <mergeCell ref="CH1:CJ3"/>
    <mergeCell ref="CK1:CK4"/>
    <mergeCell ref="CL1:CL4"/>
    <mergeCell ref="BH2:BI3"/>
    <mergeCell ref="BJ2:BK3"/>
    <mergeCell ref="BL2:BM3"/>
    <mergeCell ref="BN2:BO3"/>
    <mergeCell ref="AE1:AI3"/>
    <mergeCell ref="AJ1:AM3"/>
    <mergeCell ref="AN1:AN4"/>
    <mergeCell ref="AP1:AX1"/>
    <mergeCell ref="AY1:BG1"/>
    <mergeCell ref="AT2:AX3"/>
    <mergeCell ref="G34:G35"/>
    <mergeCell ref="H34:H35"/>
    <mergeCell ref="I34:I35"/>
    <mergeCell ref="J34:J35"/>
    <mergeCell ref="K34:K35"/>
    <mergeCell ref="L34:L35"/>
    <mergeCell ref="BW2:CB3"/>
    <mergeCell ref="CC2:CE3"/>
    <mergeCell ref="A15:A17"/>
    <mergeCell ref="CB15:CB17"/>
    <mergeCell ref="A34:A35"/>
    <mergeCell ref="C34:C35"/>
    <mergeCell ref="D34:D35"/>
    <mergeCell ref="E34:E35"/>
    <mergeCell ref="F34:F35"/>
    <mergeCell ref="BP2:BP3"/>
    <mergeCell ref="BQ2:BQ3"/>
    <mergeCell ref="BR2:BR3"/>
    <mergeCell ref="BS2:BS3"/>
    <mergeCell ref="BT2:BU3"/>
    <mergeCell ref="BV2:BV3"/>
    <mergeCell ref="Z2:Z4"/>
    <mergeCell ref="AA2:AA4"/>
    <mergeCell ref="AP2:AS3"/>
    <mergeCell ref="S34:S35"/>
    <mergeCell ref="T34:T35"/>
    <mergeCell ref="U34:U35"/>
    <mergeCell ref="V34:V35"/>
    <mergeCell ref="W34:W35"/>
    <mergeCell ref="X34:X35"/>
    <mergeCell ref="M34:M35"/>
    <mergeCell ref="N34:N35"/>
    <mergeCell ref="O34:O35"/>
    <mergeCell ref="P34:P35"/>
    <mergeCell ref="Q34:Q35"/>
    <mergeCell ref="R34:R35"/>
    <mergeCell ref="AE34:AE35"/>
    <mergeCell ref="AF34:AF35"/>
    <mergeCell ref="AG34:AG35"/>
    <mergeCell ref="AH34:AH35"/>
    <mergeCell ref="AI34:AI35"/>
    <mergeCell ref="AJ34:AJ35"/>
    <mergeCell ref="Y34:Y35"/>
    <mergeCell ref="Z34:Z35"/>
    <mergeCell ref="AA34:AA35"/>
    <mergeCell ref="AB34:AB35"/>
    <mergeCell ref="AC34:AC35"/>
    <mergeCell ref="AD34:AD35"/>
    <mergeCell ref="AQ34:AQ35"/>
    <mergeCell ref="AR34:AR35"/>
    <mergeCell ref="AS34:AS35"/>
    <mergeCell ref="AT34:AT35"/>
    <mergeCell ref="AU34:AU35"/>
    <mergeCell ref="AV34:AV35"/>
    <mergeCell ref="AK34:AK35"/>
    <mergeCell ref="AL34:AL35"/>
    <mergeCell ref="AM34:AM35"/>
    <mergeCell ref="AN34:AN35"/>
    <mergeCell ref="AO34:AO35"/>
    <mergeCell ref="AP34:AP35"/>
    <mergeCell ref="BF34:BF35"/>
    <mergeCell ref="BG34:BG35"/>
    <mergeCell ref="BH34:BH35"/>
    <mergeCell ref="AW34:AW35"/>
    <mergeCell ref="AX34:AX35"/>
    <mergeCell ref="AY34:AY35"/>
    <mergeCell ref="AZ34:AZ35"/>
    <mergeCell ref="BA34:BA35"/>
    <mergeCell ref="BB34:BB35"/>
    <mergeCell ref="A40:A41"/>
    <mergeCell ref="C40:C41"/>
    <mergeCell ref="D40:D41"/>
    <mergeCell ref="E40:E41"/>
    <mergeCell ref="F40:F41"/>
    <mergeCell ref="G40:G41"/>
    <mergeCell ref="CG34:CG35"/>
    <mergeCell ref="CH34:CH35"/>
    <mergeCell ref="CI34:CI35"/>
    <mergeCell ref="CA34:CA35"/>
    <mergeCell ref="CB34:CB35"/>
    <mergeCell ref="CC34:CC35"/>
    <mergeCell ref="CD34:CD35"/>
    <mergeCell ref="CE34:CE35"/>
    <mergeCell ref="CF34:CF35"/>
    <mergeCell ref="BU34:BU35"/>
    <mergeCell ref="BV34:BV35"/>
    <mergeCell ref="BW34:BW35"/>
    <mergeCell ref="BX34:BX35"/>
    <mergeCell ref="BY34:BY35"/>
    <mergeCell ref="BZ34:BZ35"/>
    <mergeCell ref="BO34:BO35"/>
    <mergeCell ref="BP34:BP35"/>
    <mergeCell ref="BQ34:BQ35"/>
    <mergeCell ref="H40:H41"/>
    <mergeCell ref="I40:I41"/>
    <mergeCell ref="J40:J41"/>
    <mergeCell ref="K40:K41"/>
    <mergeCell ref="L40:L41"/>
    <mergeCell ref="M40:M41"/>
    <mergeCell ref="CM34:CM35"/>
    <mergeCell ref="CN34:CN35"/>
    <mergeCell ref="CP34:CP35"/>
    <mergeCell ref="CJ34:CJ35"/>
    <mergeCell ref="CK34:CK35"/>
    <mergeCell ref="CL34:CL35"/>
    <mergeCell ref="BR34:BR35"/>
    <mergeCell ref="BS34:BS35"/>
    <mergeCell ref="BT34:BT35"/>
    <mergeCell ref="BI34:BI35"/>
    <mergeCell ref="BJ34:BJ35"/>
    <mergeCell ref="BK34:BK35"/>
    <mergeCell ref="BL34:BL35"/>
    <mergeCell ref="BM34:BM35"/>
    <mergeCell ref="BN34:BN35"/>
    <mergeCell ref="BC34:BC35"/>
    <mergeCell ref="BD34:BD35"/>
    <mergeCell ref="BE34:BE35"/>
    <mergeCell ref="T40:T41"/>
    <mergeCell ref="U40:U41"/>
    <mergeCell ref="V40:V41"/>
    <mergeCell ref="W40:W41"/>
    <mergeCell ref="X40:X41"/>
    <mergeCell ref="Y40:Y41"/>
    <mergeCell ref="N40:N41"/>
    <mergeCell ref="O40:O41"/>
    <mergeCell ref="P40:P41"/>
    <mergeCell ref="Q40:Q41"/>
    <mergeCell ref="R40:R41"/>
    <mergeCell ref="S40:S41"/>
    <mergeCell ref="AF40:AF41"/>
    <mergeCell ref="AG40:AG41"/>
    <mergeCell ref="AH40:AH41"/>
    <mergeCell ref="AI40:AI41"/>
    <mergeCell ref="AJ40:AJ41"/>
    <mergeCell ref="AK40:AK41"/>
    <mergeCell ref="Z40:Z41"/>
    <mergeCell ref="AA40:AA41"/>
    <mergeCell ref="AB40:AB41"/>
    <mergeCell ref="AC40:AC41"/>
    <mergeCell ref="AD40:AD41"/>
    <mergeCell ref="AE40:AE41"/>
    <mergeCell ref="AR40:AR41"/>
    <mergeCell ref="AS40:AS41"/>
    <mergeCell ref="AT40:AT41"/>
    <mergeCell ref="AU40:AU41"/>
    <mergeCell ref="AV40:AV41"/>
    <mergeCell ref="AW40:AW41"/>
    <mergeCell ref="AL40:AL41"/>
    <mergeCell ref="AM40:AM41"/>
    <mergeCell ref="AN40:AN41"/>
    <mergeCell ref="AO40:AO41"/>
    <mergeCell ref="AP40:AP41"/>
    <mergeCell ref="AQ40:AQ41"/>
    <mergeCell ref="BG40:BG41"/>
    <mergeCell ref="BH40:BH41"/>
    <mergeCell ref="BI40:BI41"/>
    <mergeCell ref="AX40:AX41"/>
    <mergeCell ref="AY40:AY41"/>
    <mergeCell ref="AZ40:AZ41"/>
    <mergeCell ref="BA40:BA41"/>
    <mergeCell ref="BB40:BB41"/>
    <mergeCell ref="BC40:BC41"/>
    <mergeCell ref="A64:A69"/>
    <mergeCell ref="C64:C69"/>
    <mergeCell ref="D64:D69"/>
    <mergeCell ref="E64:E69"/>
    <mergeCell ref="F64:F69"/>
    <mergeCell ref="G64:G69"/>
    <mergeCell ref="CH40:CH41"/>
    <mergeCell ref="CI40:CI41"/>
    <mergeCell ref="CJ40:CJ41"/>
    <mergeCell ref="CB40:CB41"/>
    <mergeCell ref="CC40:CC41"/>
    <mergeCell ref="CD40:CD41"/>
    <mergeCell ref="CE40:CE41"/>
    <mergeCell ref="CF40:CF41"/>
    <mergeCell ref="CG40:CG41"/>
    <mergeCell ref="BV40:BV41"/>
    <mergeCell ref="BW40:BW41"/>
    <mergeCell ref="BX40:BX41"/>
    <mergeCell ref="BY40:BY41"/>
    <mergeCell ref="BZ40:BZ41"/>
    <mergeCell ref="CA40:CA41"/>
    <mergeCell ref="BP40:BP41"/>
    <mergeCell ref="BQ40:BQ41"/>
    <mergeCell ref="BR40:BR41"/>
    <mergeCell ref="H64:H69"/>
    <mergeCell ref="I64:I69"/>
    <mergeCell ref="J64:J69"/>
    <mergeCell ref="K64:K69"/>
    <mergeCell ref="L64:L69"/>
    <mergeCell ref="M64:M69"/>
    <mergeCell ref="CN40:CN41"/>
    <mergeCell ref="CP40:CP41"/>
    <mergeCell ref="BX50:BX51"/>
    <mergeCell ref="CK40:CK41"/>
    <mergeCell ref="CL40:CL41"/>
    <mergeCell ref="CM40:CM41"/>
    <mergeCell ref="BS40:BS41"/>
    <mergeCell ref="BT40:BT41"/>
    <mergeCell ref="BU40:BU41"/>
    <mergeCell ref="BJ40:BJ41"/>
    <mergeCell ref="BK40:BK41"/>
    <mergeCell ref="BL40:BL41"/>
    <mergeCell ref="BM40:BM41"/>
    <mergeCell ref="BN40:BN41"/>
    <mergeCell ref="BO40:BO41"/>
    <mergeCell ref="BD40:BD41"/>
    <mergeCell ref="BE40:BE41"/>
    <mergeCell ref="BF40:BF41"/>
    <mergeCell ref="T64:T69"/>
    <mergeCell ref="U64:U69"/>
    <mergeCell ref="V64:V69"/>
    <mergeCell ref="W64:W69"/>
    <mergeCell ref="X64:X69"/>
    <mergeCell ref="Y64:Y69"/>
    <mergeCell ref="N64:N69"/>
    <mergeCell ref="O64:O69"/>
    <mergeCell ref="P64:P69"/>
    <mergeCell ref="Q64:Q69"/>
    <mergeCell ref="R64:R69"/>
    <mergeCell ref="S64:S69"/>
    <mergeCell ref="AF64:AF69"/>
    <mergeCell ref="AG64:AG69"/>
    <mergeCell ref="AH64:AH69"/>
    <mergeCell ref="AI64:AI69"/>
    <mergeCell ref="AJ64:AJ69"/>
    <mergeCell ref="AK64:AK69"/>
    <mergeCell ref="Z64:Z69"/>
    <mergeCell ref="AA64:AA69"/>
    <mergeCell ref="AB64:AB69"/>
    <mergeCell ref="AC64:AC69"/>
    <mergeCell ref="AD64:AD69"/>
    <mergeCell ref="AE64:AE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BD64:BD69"/>
    <mergeCell ref="BE64:BE69"/>
    <mergeCell ref="BF64:BF69"/>
    <mergeCell ref="BG64:BG69"/>
    <mergeCell ref="BH64:BH69"/>
    <mergeCell ref="BI64:BI69"/>
    <mergeCell ref="AX64:AX69"/>
    <mergeCell ref="AY64:AY69"/>
    <mergeCell ref="AZ64:AZ69"/>
    <mergeCell ref="BA64:BA69"/>
    <mergeCell ref="BB64:BB69"/>
    <mergeCell ref="BC64:BC69"/>
    <mergeCell ref="CP64:CP69"/>
    <mergeCell ref="A79:A81"/>
    <mergeCell ref="BW79:BW81"/>
    <mergeCell ref="CB79:CB81"/>
    <mergeCell ref="A82:A85"/>
    <mergeCell ref="BW82:BW85"/>
    <mergeCell ref="BX82:BX85"/>
    <mergeCell ref="BY82:BY85"/>
    <mergeCell ref="BZ82:BZ85"/>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CA82:CA85"/>
    <mergeCell ref="CB82:CB85"/>
    <mergeCell ref="A86:A89"/>
    <mergeCell ref="BW86:BW88"/>
    <mergeCell ref="BX86:BX88"/>
    <mergeCell ref="BY86:BY88"/>
    <mergeCell ref="BZ86:BZ88"/>
    <mergeCell ref="CB86:CB89"/>
    <mergeCell ref="CN64:CN69"/>
    <mergeCell ref="BY64:BY69"/>
    <mergeCell ref="BZ64:BZ69"/>
    <mergeCell ref="CA64:CA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A101:A102"/>
    <mergeCell ref="A108:A109"/>
    <mergeCell ref="C108:C109"/>
    <mergeCell ref="D108:D109"/>
    <mergeCell ref="E108:E109"/>
    <mergeCell ref="CB90:CB92"/>
    <mergeCell ref="A93:A96"/>
    <mergeCell ref="CA93:CA96"/>
    <mergeCell ref="CB93:CB96"/>
    <mergeCell ref="BX94:BX96"/>
    <mergeCell ref="BY94:BY96"/>
    <mergeCell ref="A90:A92"/>
    <mergeCell ref="BW90:BW92"/>
    <mergeCell ref="BX90:BX92"/>
    <mergeCell ref="BY90:BY92"/>
    <mergeCell ref="BZ90:BZ92"/>
    <mergeCell ref="CA90:CA92"/>
    <mergeCell ref="L108:L109"/>
    <mergeCell ref="M108:M109"/>
    <mergeCell ref="N108:N109"/>
    <mergeCell ref="O108:O109"/>
    <mergeCell ref="P108:P109"/>
    <mergeCell ref="Q108:Q109"/>
    <mergeCell ref="F108:F109"/>
    <mergeCell ref="G108:G109"/>
    <mergeCell ref="H108:H109"/>
    <mergeCell ref="I108:I109"/>
    <mergeCell ref="J108:J109"/>
    <mergeCell ref="K108:K109"/>
    <mergeCell ref="X108:X109"/>
    <mergeCell ref="Y108:Y109"/>
    <mergeCell ref="Z108:Z109"/>
    <mergeCell ref="AA108:AA109"/>
    <mergeCell ref="AB108:AB109"/>
    <mergeCell ref="AC108:AC109"/>
    <mergeCell ref="R108:R109"/>
    <mergeCell ref="S108:S109"/>
    <mergeCell ref="T108:T109"/>
    <mergeCell ref="U108:U109"/>
    <mergeCell ref="V108:V109"/>
    <mergeCell ref="W108:W109"/>
    <mergeCell ref="AJ108:AJ109"/>
    <mergeCell ref="AK108:AK109"/>
    <mergeCell ref="AL108:AL109"/>
    <mergeCell ref="AM108:AM109"/>
    <mergeCell ref="AN108:AN109"/>
    <mergeCell ref="AO108:AO109"/>
    <mergeCell ref="AD108:AD109"/>
    <mergeCell ref="AE108:AE109"/>
    <mergeCell ref="AF108:AF109"/>
    <mergeCell ref="AG108:AG109"/>
    <mergeCell ref="AH108:AH109"/>
    <mergeCell ref="AI108:AI109"/>
    <mergeCell ref="AV108:AV109"/>
    <mergeCell ref="AW108:AW109"/>
    <mergeCell ref="AX108:AX109"/>
    <mergeCell ref="AY108:AY109"/>
    <mergeCell ref="AZ108:AZ109"/>
    <mergeCell ref="BA108:BA109"/>
    <mergeCell ref="AP108:AP109"/>
    <mergeCell ref="AQ108:AQ109"/>
    <mergeCell ref="AR108:AR109"/>
    <mergeCell ref="AS108:AS109"/>
    <mergeCell ref="AT108:AT109"/>
    <mergeCell ref="AU108:AU109"/>
    <mergeCell ref="BH108:BH109"/>
    <mergeCell ref="BI108:BI109"/>
    <mergeCell ref="BJ108:BJ109"/>
    <mergeCell ref="BK108:BK109"/>
    <mergeCell ref="BL108:BL109"/>
    <mergeCell ref="BM108:BM109"/>
    <mergeCell ref="BB108:BB109"/>
    <mergeCell ref="BC108:BC109"/>
    <mergeCell ref="BD108:BD109"/>
    <mergeCell ref="BE108:BE109"/>
    <mergeCell ref="BF108:BF109"/>
    <mergeCell ref="BG108:BG109"/>
    <mergeCell ref="BW108:BW109"/>
    <mergeCell ref="BX108:BX109"/>
    <mergeCell ref="BY108:BY109"/>
    <mergeCell ref="BN108:BN109"/>
    <mergeCell ref="BO108:BO109"/>
    <mergeCell ref="BP108:BP109"/>
    <mergeCell ref="BQ108:BQ109"/>
    <mergeCell ref="BR108:BR109"/>
    <mergeCell ref="BS108:BS109"/>
    <mergeCell ref="CM108:CM109"/>
    <mergeCell ref="CN108:CN109"/>
    <mergeCell ref="CO108:CO109"/>
    <mergeCell ref="CP108:CP109"/>
    <mergeCell ref="A110:A111"/>
    <mergeCell ref="C110:C111"/>
    <mergeCell ref="D110:D111"/>
    <mergeCell ref="E110:E111"/>
    <mergeCell ref="F110:F111"/>
    <mergeCell ref="CG108:CG109"/>
    <mergeCell ref="CH108:CH109"/>
    <mergeCell ref="CI108:CI109"/>
    <mergeCell ref="CJ108:CJ109"/>
    <mergeCell ref="CK108:CK109"/>
    <mergeCell ref="CL108:CL109"/>
    <mergeCell ref="BZ108:BZ109"/>
    <mergeCell ref="CA108:CA109"/>
    <mergeCell ref="CB108:CB109"/>
    <mergeCell ref="CC108:CC109"/>
    <mergeCell ref="CD108:CD109"/>
    <mergeCell ref="CF108:CF109"/>
    <mergeCell ref="BT108:BT109"/>
    <mergeCell ref="BU108:BU109"/>
    <mergeCell ref="BV108:BV109"/>
    <mergeCell ref="M110:M111"/>
    <mergeCell ref="N110:N111"/>
    <mergeCell ref="O110:O111"/>
    <mergeCell ref="P110:P111"/>
    <mergeCell ref="Q110:Q111"/>
    <mergeCell ref="R110:R111"/>
    <mergeCell ref="G110:G111"/>
    <mergeCell ref="H110:H111"/>
    <mergeCell ref="I110:I111"/>
    <mergeCell ref="J110:J111"/>
    <mergeCell ref="K110:K111"/>
    <mergeCell ref="L110:L111"/>
    <mergeCell ref="Y110:Y111"/>
    <mergeCell ref="Z110:Z111"/>
    <mergeCell ref="AA110:AA111"/>
    <mergeCell ref="AB110:AB111"/>
    <mergeCell ref="AC110:AC111"/>
    <mergeCell ref="AD110:AD111"/>
    <mergeCell ref="S110:S111"/>
    <mergeCell ref="T110:T111"/>
    <mergeCell ref="U110:U111"/>
    <mergeCell ref="V110:V111"/>
    <mergeCell ref="W110:W111"/>
    <mergeCell ref="X110:X111"/>
    <mergeCell ref="AK110:AK111"/>
    <mergeCell ref="AL110:AL111"/>
    <mergeCell ref="AM110:AM111"/>
    <mergeCell ref="AN110:AN111"/>
    <mergeCell ref="AO110:AO111"/>
    <mergeCell ref="AP110:AP111"/>
    <mergeCell ref="AE110:AE111"/>
    <mergeCell ref="AF110:AF111"/>
    <mergeCell ref="AG110:AG111"/>
    <mergeCell ref="AH110:AH111"/>
    <mergeCell ref="AI110:AI111"/>
    <mergeCell ref="AJ110:AJ111"/>
    <mergeCell ref="AW110:AW111"/>
    <mergeCell ref="AX110:AX111"/>
    <mergeCell ref="AY110:AY111"/>
    <mergeCell ref="AZ110:AZ111"/>
    <mergeCell ref="BA110:BA111"/>
    <mergeCell ref="BB110:BB111"/>
    <mergeCell ref="AQ110:AQ111"/>
    <mergeCell ref="AR110:AR111"/>
    <mergeCell ref="AS110:AS111"/>
    <mergeCell ref="AT110:AT111"/>
    <mergeCell ref="AU110:AU111"/>
    <mergeCell ref="AV110:AV111"/>
    <mergeCell ref="BI110:BI111"/>
    <mergeCell ref="BJ110:BJ111"/>
    <mergeCell ref="BK110:BK111"/>
    <mergeCell ref="BL110:BL111"/>
    <mergeCell ref="BM110:BM111"/>
    <mergeCell ref="BN110:BN111"/>
    <mergeCell ref="BC110:BC111"/>
    <mergeCell ref="BD110:BD111"/>
    <mergeCell ref="BE110:BE111"/>
    <mergeCell ref="BF110:BF111"/>
    <mergeCell ref="BG110:BG111"/>
    <mergeCell ref="BH110:BH111"/>
    <mergeCell ref="BX110:BX111"/>
    <mergeCell ref="BY110:BY111"/>
    <mergeCell ref="BZ110:BZ111"/>
    <mergeCell ref="BO110:BO111"/>
    <mergeCell ref="BP110:BP111"/>
    <mergeCell ref="BQ110:BQ111"/>
    <mergeCell ref="BR110:BR111"/>
    <mergeCell ref="BS110:BS111"/>
    <mergeCell ref="BT110:BT111"/>
    <mergeCell ref="CN110:CN111"/>
    <mergeCell ref="CO110:CO111"/>
    <mergeCell ref="CP110:CP111"/>
    <mergeCell ref="A125:A126"/>
    <mergeCell ref="C125:C126"/>
    <mergeCell ref="D125:D126"/>
    <mergeCell ref="E125:E126"/>
    <mergeCell ref="F125:F126"/>
    <mergeCell ref="G125:G126"/>
    <mergeCell ref="CH110:CH111"/>
    <mergeCell ref="CI110:CI111"/>
    <mergeCell ref="CJ110:CJ111"/>
    <mergeCell ref="CK110:CK111"/>
    <mergeCell ref="CL110:CL111"/>
    <mergeCell ref="CM110:CM111"/>
    <mergeCell ref="CA110:CA111"/>
    <mergeCell ref="CB110:CB111"/>
    <mergeCell ref="CC110:CC111"/>
    <mergeCell ref="CD110:CD111"/>
    <mergeCell ref="CF110:CF111"/>
    <mergeCell ref="CG110:CG111"/>
    <mergeCell ref="BU110:BU111"/>
    <mergeCell ref="BV110:BV111"/>
    <mergeCell ref="BW110:BW111"/>
    <mergeCell ref="N125:N126"/>
    <mergeCell ref="O125:O126"/>
    <mergeCell ref="P125:P126"/>
    <mergeCell ref="Q125:Q126"/>
    <mergeCell ref="R125:R126"/>
    <mergeCell ref="S125:S126"/>
    <mergeCell ref="H125:H126"/>
    <mergeCell ref="I125:I126"/>
    <mergeCell ref="J125:J126"/>
    <mergeCell ref="K125:K126"/>
    <mergeCell ref="L125:L126"/>
    <mergeCell ref="M125:M126"/>
    <mergeCell ref="Z125:Z126"/>
    <mergeCell ref="AA125:AA126"/>
    <mergeCell ref="AB125:AB126"/>
    <mergeCell ref="AC125:AC126"/>
    <mergeCell ref="AD125:AD126"/>
    <mergeCell ref="AE125:AE126"/>
    <mergeCell ref="T125:T126"/>
    <mergeCell ref="U125:U126"/>
    <mergeCell ref="V125:V126"/>
    <mergeCell ref="W125:W126"/>
    <mergeCell ref="X125:X126"/>
    <mergeCell ref="Y125:Y126"/>
    <mergeCell ref="AL125:AL126"/>
    <mergeCell ref="AM125:AM126"/>
    <mergeCell ref="AN125:AN126"/>
    <mergeCell ref="AO125:AO126"/>
    <mergeCell ref="AP125:AP126"/>
    <mergeCell ref="AQ125:AQ126"/>
    <mergeCell ref="AF125:AF126"/>
    <mergeCell ref="AG125:AG126"/>
    <mergeCell ref="AH125:AH126"/>
    <mergeCell ref="AI125:AI126"/>
    <mergeCell ref="AJ125:AJ126"/>
    <mergeCell ref="AK125:AK126"/>
    <mergeCell ref="AX125:AX126"/>
    <mergeCell ref="AY125:AY126"/>
    <mergeCell ref="AZ125:AZ126"/>
    <mergeCell ref="BA125:BA126"/>
    <mergeCell ref="BB125:BB126"/>
    <mergeCell ref="BC125:BC126"/>
    <mergeCell ref="AR125:AR126"/>
    <mergeCell ref="AS125:AS126"/>
    <mergeCell ref="AT125:AT126"/>
    <mergeCell ref="AU125:AU126"/>
    <mergeCell ref="AV125:AV126"/>
    <mergeCell ref="AW125:AW126"/>
    <mergeCell ref="BJ125:BJ126"/>
    <mergeCell ref="BK125:BK126"/>
    <mergeCell ref="BL125:BL126"/>
    <mergeCell ref="BM125:BM126"/>
    <mergeCell ref="BN125:BN126"/>
    <mergeCell ref="BO125:BO126"/>
    <mergeCell ref="BD125:BD126"/>
    <mergeCell ref="BE125:BE126"/>
    <mergeCell ref="BF125:BF126"/>
    <mergeCell ref="BG125:BG126"/>
    <mergeCell ref="BH125:BH126"/>
    <mergeCell ref="BI125:BI126"/>
    <mergeCell ref="BV125:BV126"/>
    <mergeCell ref="BW125:BW126"/>
    <mergeCell ref="BX125:BX126"/>
    <mergeCell ref="BY125:BY126"/>
    <mergeCell ref="BZ125:BZ126"/>
    <mergeCell ref="CA125:CA126"/>
    <mergeCell ref="BP125:BP126"/>
    <mergeCell ref="BQ125:BQ126"/>
    <mergeCell ref="BR125:BR126"/>
    <mergeCell ref="BS125:BS126"/>
    <mergeCell ref="BT125:BT126"/>
    <mergeCell ref="BU125:BU126"/>
    <mergeCell ref="CO125:CO126"/>
    <mergeCell ref="CP125:CP126"/>
    <mergeCell ref="CI125:CI126"/>
    <mergeCell ref="CJ125:CJ126"/>
    <mergeCell ref="CK125:CK126"/>
    <mergeCell ref="CL125:CL126"/>
    <mergeCell ref="CM125:CM126"/>
    <mergeCell ref="CN125:CN126"/>
    <mergeCell ref="CB125:CB126"/>
    <mergeCell ref="CC125:CC126"/>
    <mergeCell ref="CD125:CD126"/>
    <mergeCell ref="CF125:CF126"/>
    <mergeCell ref="CG125:CG126"/>
    <mergeCell ref="CH125:CH126"/>
  </mergeCells>
  <phoneticPr fontId="6" type="noConversion"/>
  <conditionalFormatting sqref="B130">
    <cfRule type="cellIs" dxfId="0" priority="1" operator="equal">
      <formula>0</formula>
    </cfRule>
  </conditionalFormatting>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9FC72-4F78-4D8F-A18B-F9ED2A171598}">
  <sheetPr codeName="Planilha3" filterMode="1"/>
  <dimension ref="A2:H330"/>
  <sheetViews>
    <sheetView showGridLines="0" workbookViewId="0">
      <selection activeCell="B67" sqref="B67"/>
    </sheetView>
  </sheetViews>
  <sheetFormatPr defaultRowHeight="14.45"/>
  <cols>
    <col min="2" max="2" width="15.42578125" bestFit="1" customWidth="1"/>
    <col min="3" max="3" width="5.140625" bestFit="1" customWidth="1"/>
    <col min="4" max="4" width="41.28515625" customWidth="1"/>
    <col min="5" max="5" width="115.140625" bestFit="1" customWidth="1"/>
    <col min="6" max="6" width="16.85546875" customWidth="1"/>
    <col min="7" max="7" width="23" bestFit="1" customWidth="1"/>
    <col min="8" max="8" width="19.42578125" bestFit="1" customWidth="1"/>
  </cols>
  <sheetData>
    <row r="2" spans="1:8">
      <c r="A2" s="2"/>
      <c r="B2" s="172" t="s">
        <v>2607</v>
      </c>
      <c r="C2" s="172"/>
      <c r="D2" s="172"/>
      <c r="E2" s="172"/>
      <c r="F2" s="172"/>
      <c r="G2" s="172"/>
      <c r="H2" s="172"/>
    </row>
    <row r="3" spans="1:8">
      <c r="B3" s="172"/>
      <c r="C3" s="172"/>
      <c r="D3" s="172"/>
      <c r="E3" s="172"/>
      <c r="F3" s="172"/>
      <c r="G3" s="172"/>
      <c r="H3" s="172"/>
    </row>
    <row r="4" spans="1:8">
      <c r="B4" s="3" t="s">
        <v>303</v>
      </c>
      <c r="C4" s="3" t="s">
        <v>304</v>
      </c>
      <c r="D4" s="3" t="s">
        <v>2608</v>
      </c>
      <c r="E4" s="3" t="s">
        <v>306</v>
      </c>
      <c r="F4" s="3"/>
      <c r="G4" s="3" t="s">
        <v>309</v>
      </c>
      <c r="H4" s="3" t="s">
        <v>308</v>
      </c>
    </row>
    <row r="5" spans="1:8" hidden="1">
      <c r="B5" s="4" t="s">
        <v>2609</v>
      </c>
      <c r="C5" s="4" t="s">
        <v>784</v>
      </c>
      <c r="D5" s="5" t="s">
        <v>2610</v>
      </c>
      <c r="E5" s="4" t="s">
        <v>2611</v>
      </c>
      <c r="F5" s="4"/>
      <c r="G5" s="4">
        <v>25260</v>
      </c>
      <c r="H5" s="4" t="s">
        <v>2612</v>
      </c>
    </row>
    <row r="6" spans="1:8" hidden="1">
      <c r="B6" s="4" t="s">
        <v>92</v>
      </c>
      <c r="C6" s="4" t="s">
        <v>1441</v>
      </c>
      <c r="D6" s="5" t="s">
        <v>2613</v>
      </c>
      <c r="E6" s="4" t="s">
        <v>2614</v>
      </c>
      <c r="F6" s="4"/>
      <c r="G6" s="4"/>
      <c r="H6" s="4" t="s">
        <v>421</v>
      </c>
    </row>
    <row r="7" spans="1:8" hidden="1">
      <c r="B7" s="4" t="s">
        <v>2615</v>
      </c>
      <c r="C7" s="4" t="s">
        <v>784</v>
      </c>
      <c r="D7" s="5" t="s">
        <v>2616</v>
      </c>
      <c r="E7" s="4" t="s">
        <v>2617</v>
      </c>
      <c r="F7" s="4"/>
      <c r="G7" s="4"/>
      <c r="H7" s="4" t="s">
        <v>2618</v>
      </c>
    </row>
    <row r="8" spans="1:8" hidden="1">
      <c r="B8" s="4" t="s">
        <v>2619</v>
      </c>
      <c r="C8" s="4" t="s">
        <v>784</v>
      </c>
      <c r="D8" s="5" t="s">
        <v>2620</v>
      </c>
      <c r="E8" s="4" t="s">
        <v>2621</v>
      </c>
      <c r="F8" s="4"/>
      <c r="G8" s="4"/>
      <c r="H8" s="4" t="s">
        <v>1039</v>
      </c>
    </row>
    <row r="9" spans="1:8" hidden="1">
      <c r="B9" s="4" t="s">
        <v>139</v>
      </c>
      <c r="C9" s="4" t="s">
        <v>784</v>
      </c>
      <c r="D9" s="4" t="s">
        <v>689</v>
      </c>
      <c r="E9" s="4" t="s">
        <v>690</v>
      </c>
      <c r="F9" s="4"/>
      <c r="G9" s="4"/>
      <c r="H9" s="4" t="s">
        <v>421</v>
      </c>
    </row>
    <row r="10" spans="1:8" hidden="1">
      <c r="B10" s="4" t="s">
        <v>157</v>
      </c>
      <c r="C10" s="4" t="s">
        <v>784</v>
      </c>
      <c r="D10" s="6" t="s">
        <v>1105</v>
      </c>
      <c r="E10" s="4" t="s">
        <v>1106</v>
      </c>
      <c r="F10" s="4"/>
      <c r="G10" s="4"/>
      <c r="H10" s="4" t="s">
        <v>421</v>
      </c>
    </row>
    <row r="11" spans="1:8" hidden="1">
      <c r="B11" s="4" t="s">
        <v>2622</v>
      </c>
      <c r="C11" s="4" t="s">
        <v>784</v>
      </c>
      <c r="D11" s="5" t="s">
        <v>2623</v>
      </c>
      <c r="E11" s="4" t="s">
        <v>2624</v>
      </c>
      <c r="F11" s="4"/>
      <c r="G11" s="4"/>
      <c r="H11" s="4" t="s">
        <v>1039</v>
      </c>
    </row>
    <row r="12" spans="1:8" hidden="1">
      <c r="B12" s="4" t="s">
        <v>2625</v>
      </c>
      <c r="C12" s="4" t="s">
        <v>784</v>
      </c>
      <c r="D12" s="5" t="s">
        <v>2626</v>
      </c>
      <c r="E12" s="4" t="s">
        <v>2627</v>
      </c>
      <c r="F12" s="4"/>
      <c r="G12" s="4"/>
      <c r="H12" s="4" t="s">
        <v>2618</v>
      </c>
    </row>
    <row r="13" spans="1:8" hidden="1">
      <c r="B13" s="4" t="s">
        <v>152</v>
      </c>
      <c r="C13" s="4" t="s">
        <v>784</v>
      </c>
      <c r="D13" s="5" t="s">
        <v>1188</v>
      </c>
      <c r="E13" s="4" t="s">
        <v>1189</v>
      </c>
      <c r="F13" s="4"/>
      <c r="G13" s="4"/>
      <c r="H13" s="4" t="s">
        <v>421</v>
      </c>
    </row>
    <row r="14" spans="1:8" hidden="1">
      <c r="B14" s="4" t="s">
        <v>2628</v>
      </c>
      <c r="C14" s="4" t="s">
        <v>784</v>
      </c>
      <c r="D14" s="6" t="s">
        <v>2629</v>
      </c>
      <c r="E14" s="4" t="s">
        <v>2630</v>
      </c>
      <c r="F14" s="4"/>
      <c r="G14" s="4"/>
      <c r="H14" s="4" t="s">
        <v>2618</v>
      </c>
    </row>
    <row r="15" spans="1:8" hidden="1">
      <c r="B15" s="4" t="s">
        <v>165</v>
      </c>
      <c r="C15" s="4" t="s">
        <v>784</v>
      </c>
      <c r="D15" s="6" t="s">
        <v>899</v>
      </c>
      <c r="E15" s="4" t="s">
        <v>900</v>
      </c>
      <c r="F15" s="4"/>
      <c r="G15" s="4" t="s">
        <v>2022</v>
      </c>
      <c r="H15" s="4" t="s">
        <v>421</v>
      </c>
    </row>
    <row r="16" spans="1:8" hidden="1">
      <c r="B16" s="4" t="s">
        <v>193</v>
      </c>
      <c r="C16" s="4" t="s">
        <v>784</v>
      </c>
      <c r="D16" s="6" t="s">
        <v>792</v>
      </c>
      <c r="E16" s="4" t="s">
        <v>793</v>
      </c>
      <c r="F16" s="4"/>
      <c r="G16" s="4" t="s">
        <v>2631</v>
      </c>
      <c r="H16" s="4" t="s">
        <v>2507</v>
      </c>
    </row>
    <row r="17" spans="2:8" hidden="1">
      <c r="B17" s="4" t="s">
        <v>161</v>
      </c>
      <c r="C17" s="4" t="s">
        <v>784</v>
      </c>
      <c r="D17" s="5" t="s">
        <v>1067</v>
      </c>
      <c r="E17" s="4" t="s">
        <v>1068</v>
      </c>
      <c r="F17" s="4"/>
      <c r="G17" s="4" t="s">
        <v>2138</v>
      </c>
      <c r="H17" s="4" t="s">
        <v>2507</v>
      </c>
    </row>
    <row r="18" spans="2:8" hidden="1">
      <c r="B18" s="4" t="s">
        <v>215</v>
      </c>
      <c r="C18" s="4" t="s">
        <v>784</v>
      </c>
      <c r="D18" s="5" t="s">
        <v>1352</v>
      </c>
      <c r="E18" s="4" t="s">
        <v>1353</v>
      </c>
      <c r="F18" s="4"/>
      <c r="G18" s="4" t="s">
        <v>2632</v>
      </c>
      <c r="H18" s="4" t="s">
        <v>376</v>
      </c>
    </row>
    <row r="19" spans="2:8" hidden="1">
      <c r="B19" s="4" t="s">
        <v>151</v>
      </c>
      <c r="C19" s="4" t="s">
        <v>784</v>
      </c>
      <c r="D19" s="5" t="s">
        <v>1135</v>
      </c>
      <c r="E19" s="4" t="s">
        <v>1136</v>
      </c>
      <c r="F19" s="4"/>
      <c r="G19" s="4" t="s">
        <v>2633</v>
      </c>
      <c r="H19" s="4" t="s">
        <v>576</v>
      </c>
    </row>
    <row r="20" spans="2:8" hidden="1">
      <c r="B20" s="4" t="s">
        <v>196</v>
      </c>
      <c r="C20" s="4" t="s">
        <v>784</v>
      </c>
      <c r="D20" s="6" t="s">
        <v>602</v>
      </c>
      <c r="E20" s="4" t="s">
        <v>603</v>
      </c>
      <c r="F20" s="4"/>
      <c r="G20" s="4" t="s">
        <v>2508</v>
      </c>
      <c r="H20" s="4" t="s">
        <v>2507</v>
      </c>
    </row>
    <row r="21" spans="2:8" hidden="1">
      <c r="B21" s="4" t="s">
        <v>209</v>
      </c>
      <c r="C21" s="4" t="s">
        <v>784</v>
      </c>
      <c r="D21" s="5" t="s">
        <v>1156</v>
      </c>
      <c r="E21" s="4" t="s">
        <v>1157</v>
      </c>
      <c r="F21" s="4"/>
      <c r="G21" s="4" t="s">
        <v>2242</v>
      </c>
      <c r="H21" s="4" t="s">
        <v>2507</v>
      </c>
    </row>
    <row r="22" spans="2:8" hidden="1">
      <c r="B22" s="4" t="s">
        <v>129</v>
      </c>
      <c r="C22" s="4" t="s">
        <v>784</v>
      </c>
      <c r="D22" s="5" t="s">
        <v>858</v>
      </c>
      <c r="E22" s="4" t="s">
        <v>859</v>
      </c>
      <c r="F22" s="4"/>
      <c r="G22" s="4" t="s">
        <v>1590</v>
      </c>
      <c r="H22" s="4" t="s">
        <v>2507</v>
      </c>
    </row>
    <row r="23" spans="2:8">
      <c r="B23" s="4" t="s">
        <v>228</v>
      </c>
      <c r="C23" s="4" t="s">
        <v>1563</v>
      </c>
      <c r="D23" s="5" t="s">
        <v>1166</v>
      </c>
      <c r="E23" s="4" t="s">
        <v>2634</v>
      </c>
      <c r="F23" s="4"/>
      <c r="G23" s="4" t="s">
        <v>2635</v>
      </c>
      <c r="H23" s="4" t="s">
        <v>2507</v>
      </c>
    </row>
    <row r="24" spans="2:8" hidden="1">
      <c r="B24" s="4" t="s">
        <v>158</v>
      </c>
      <c r="C24" s="4" t="s">
        <v>784</v>
      </c>
      <c r="D24" s="6" t="s">
        <v>1096</v>
      </c>
      <c r="E24" s="4" t="s">
        <v>1097</v>
      </c>
      <c r="F24" s="4"/>
      <c r="G24" s="4" t="s">
        <v>2636</v>
      </c>
      <c r="H24" s="4" t="s">
        <v>2507</v>
      </c>
    </row>
    <row r="25" spans="2:8" hidden="1">
      <c r="B25" s="4" t="s">
        <v>160</v>
      </c>
      <c r="C25" s="4" t="s">
        <v>784</v>
      </c>
      <c r="D25" s="6" t="s">
        <v>735</v>
      </c>
      <c r="E25" s="4" t="s">
        <v>718</v>
      </c>
      <c r="F25" s="4"/>
      <c r="G25" s="4" t="s">
        <v>1927</v>
      </c>
      <c r="H25" s="4" t="s">
        <v>376</v>
      </c>
    </row>
    <row r="26" spans="2:8" hidden="1">
      <c r="B26" s="4" t="s">
        <v>162</v>
      </c>
      <c r="C26" s="4" t="s">
        <v>784</v>
      </c>
      <c r="D26" s="6" t="s">
        <v>717</v>
      </c>
      <c r="E26" s="4" t="s">
        <v>718</v>
      </c>
      <c r="F26" s="4"/>
      <c r="G26" s="4" t="s">
        <v>1927</v>
      </c>
      <c r="H26" s="4" t="s">
        <v>376</v>
      </c>
    </row>
    <row r="27" spans="2:8" hidden="1">
      <c r="B27" s="4" t="s">
        <v>180</v>
      </c>
      <c r="C27" s="4" t="s">
        <v>784</v>
      </c>
      <c r="D27" s="5" t="s">
        <v>869</v>
      </c>
      <c r="E27" s="4" t="s">
        <v>870</v>
      </c>
      <c r="F27" s="4"/>
      <c r="G27" s="4" t="s">
        <v>1971</v>
      </c>
      <c r="H27" s="4" t="s">
        <v>376</v>
      </c>
    </row>
    <row r="28" spans="2:8" hidden="1">
      <c r="B28" s="4" t="s">
        <v>148</v>
      </c>
      <c r="C28" s="4" t="s">
        <v>784</v>
      </c>
      <c r="D28" s="5" t="s">
        <v>1247</v>
      </c>
      <c r="E28" s="4" t="s">
        <v>1248</v>
      </c>
      <c r="F28" s="4"/>
      <c r="G28" s="4" t="s">
        <v>2637</v>
      </c>
      <c r="H28" s="4" t="s">
        <v>376</v>
      </c>
    </row>
    <row r="29" spans="2:8" hidden="1">
      <c r="B29" s="4" t="s">
        <v>170</v>
      </c>
      <c r="C29" s="4" t="s">
        <v>784</v>
      </c>
      <c r="D29" s="6" t="s">
        <v>954</v>
      </c>
      <c r="E29" s="4" t="s">
        <v>955</v>
      </c>
      <c r="F29" s="4"/>
      <c r="G29" s="4" t="s">
        <v>2638</v>
      </c>
      <c r="H29" s="4" t="s">
        <v>376</v>
      </c>
    </row>
    <row r="30" spans="2:8" hidden="1">
      <c r="B30" s="4" t="s">
        <v>211</v>
      </c>
      <c r="C30" s="4" t="s">
        <v>784</v>
      </c>
      <c r="D30" s="5" t="s">
        <v>1033</v>
      </c>
      <c r="E30" s="4" t="s">
        <v>1034</v>
      </c>
      <c r="F30" s="4"/>
      <c r="G30" s="4" t="s">
        <v>2110</v>
      </c>
      <c r="H30" s="4" t="s">
        <v>376</v>
      </c>
    </row>
    <row r="31" spans="2:8" hidden="1">
      <c r="B31" s="4" t="s">
        <v>149</v>
      </c>
      <c r="C31" s="4" t="s">
        <v>784</v>
      </c>
      <c r="D31" s="5" t="s">
        <v>1151</v>
      </c>
      <c r="E31" s="4" t="s">
        <v>1152</v>
      </c>
      <c r="F31" s="4"/>
      <c r="G31" s="4" t="s">
        <v>2639</v>
      </c>
      <c r="H31" s="4" t="s">
        <v>376</v>
      </c>
    </row>
    <row r="32" spans="2:8" hidden="1">
      <c r="B32" s="4" t="s">
        <v>213</v>
      </c>
      <c r="C32" s="4" t="s">
        <v>784</v>
      </c>
      <c r="D32" s="5" t="s">
        <v>372</v>
      </c>
      <c r="E32" s="4" t="s">
        <v>374</v>
      </c>
      <c r="F32" s="4"/>
      <c r="G32" s="4" t="s">
        <v>2640</v>
      </c>
      <c r="H32" s="4" t="s">
        <v>376</v>
      </c>
    </row>
    <row r="33" spans="2:8" hidden="1">
      <c r="B33" s="4" t="s">
        <v>155</v>
      </c>
      <c r="C33" s="4" t="s">
        <v>784</v>
      </c>
      <c r="D33" s="5" t="s">
        <v>1111</v>
      </c>
      <c r="E33" s="4" t="s">
        <v>1112</v>
      </c>
      <c r="F33" s="4"/>
      <c r="G33" s="4" t="s">
        <v>2641</v>
      </c>
      <c r="H33" s="4" t="s">
        <v>376</v>
      </c>
    </row>
    <row r="34" spans="2:8" hidden="1">
      <c r="B34" s="4" t="s">
        <v>153</v>
      </c>
      <c r="C34" s="4" t="s">
        <v>784</v>
      </c>
      <c r="D34" s="5" t="s">
        <v>1122</v>
      </c>
      <c r="E34" s="4" t="s">
        <v>1123</v>
      </c>
      <c r="F34" s="4"/>
      <c r="G34" s="4" t="s">
        <v>2642</v>
      </c>
      <c r="H34" s="4" t="s">
        <v>376</v>
      </c>
    </row>
    <row r="35" spans="2:8" hidden="1">
      <c r="B35" s="4" t="s">
        <v>146</v>
      </c>
      <c r="C35" s="4" t="s">
        <v>784</v>
      </c>
      <c r="D35" s="5" t="s">
        <v>1391</v>
      </c>
      <c r="E35" s="4" t="s">
        <v>1392</v>
      </c>
      <c r="F35" s="4"/>
      <c r="G35" s="4" t="s">
        <v>2643</v>
      </c>
      <c r="H35" s="4" t="s">
        <v>376</v>
      </c>
    </row>
    <row r="36" spans="2:8" hidden="1">
      <c r="B36" s="4" t="s">
        <v>214</v>
      </c>
      <c r="C36" s="4" t="s">
        <v>784</v>
      </c>
      <c r="D36" s="5" t="s">
        <v>1524</v>
      </c>
      <c r="E36" s="4" t="s">
        <v>1525</v>
      </c>
      <c r="F36" s="4"/>
      <c r="G36" s="4" t="s">
        <v>2481</v>
      </c>
      <c r="H36" s="4" t="s">
        <v>376</v>
      </c>
    </row>
    <row r="37" spans="2:8" hidden="1">
      <c r="B37" s="4" t="s">
        <v>108</v>
      </c>
      <c r="C37" s="4" t="s">
        <v>1441</v>
      </c>
      <c r="D37" s="5" t="s">
        <v>2644</v>
      </c>
      <c r="E37" s="4" t="s">
        <v>2645</v>
      </c>
      <c r="F37" s="4"/>
      <c r="G37" s="4" t="s">
        <v>2646</v>
      </c>
      <c r="H37" s="4" t="s">
        <v>576</v>
      </c>
    </row>
    <row r="38" spans="2:8" hidden="1">
      <c r="B38" s="4" t="s">
        <v>104</v>
      </c>
      <c r="C38" s="4" t="s">
        <v>1441</v>
      </c>
      <c r="D38" s="5" t="s">
        <v>2647</v>
      </c>
      <c r="E38" s="4" t="s">
        <v>2648</v>
      </c>
      <c r="F38" s="4"/>
      <c r="G38" s="4" t="s">
        <v>2649</v>
      </c>
      <c r="H38" s="4" t="s">
        <v>576</v>
      </c>
    </row>
    <row r="39" spans="2:8" hidden="1">
      <c r="B39" s="4" t="s">
        <v>176</v>
      </c>
      <c r="C39" s="4" t="s">
        <v>784</v>
      </c>
      <c r="D39" s="6" t="s">
        <v>657</v>
      </c>
      <c r="E39" s="4" t="s">
        <v>658</v>
      </c>
      <c r="F39" s="4"/>
      <c r="G39" s="4" t="s">
        <v>2650</v>
      </c>
      <c r="H39" s="4" t="s">
        <v>576</v>
      </c>
    </row>
    <row r="40" spans="2:8" hidden="1">
      <c r="B40" s="4" t="s">
        <v>103</v>
      </c>
      <c r="C40" s="4" t="s">
        <v>1441</v>
      </c>
      <c r="D40" s="5" t="s">
        <v>2651</v>
      </c>
      <c r="E40" s="4" t="s">
        <v>2652</v>
      </c>
      <c r="F40" s="4"/>
      <c r="G40" s="4" t="s">
        <v>2653</v>
      </c>
      <c r="H40" s="4" t="s">
        <v>576</v>
      </c>
    </row>
    <row r="41" spans="2:8" hidden="1">
      <c r="B41" s="4" t="s">
        <v>168</v>
      </c>
      <c r="C41" s="4" t="s">
        <v>784</v>
      </c>
      <c r="D41" s="5" t="s">
        <v>2654</v>
      </c>
      <c r="E41" s="4" t="s">
        <v>2655</v>
      </c>
      <c r="F41" s="4"/>
      <c r="G41" s="4" t="s">
        <v>2656</v>
      </c>
      <c r="H41" s="4" t="s">
        <v>576</v>
      </c>
    </row>
    <row r="42" spans="2:8" hidden="1">
      <c r="B42" s="4" t="s">
        <v>167</v>
      </c>
      <c r="C42" s="4" t="s">
        <v>784</v>
      </c>
      <c r="D42" s="5" t="s">
        <v>2657</v>
      </c>
      <c r="E42" s="4" t="s">
        <v>2658</v>
      </c>
      <c r="F42" s="4"/>
      <c r="G42" s="4" t="s">
        <v>2659</v>
      </c>
      <c r="H42" s="4" t="s">
        <v>576</v>
      </c>
    </row>
    <row r="43" spans="2:8" hidden="1">
      <c r="B43" s="4" t="s">
        <v>208</v>
      </c>
      <c r="C43" s="4" t="s">
        <v>784</v>
      </c>
      <c r="D43" s="5" t="s">
        <v>1449</v>
      </c>
      <c r="E43" s="4" t="s">
        <v>1450</v>
      </c>
      <c r="F43" s="4"/>
      <c r="G43" s="4" t="s">
        <v>2445</v>
      </c>
      <c r="H43" s="4" t="s">
        <v>576</v>
      </c>
    </row>
    <row r="44" spans="2:8" hidden="1">
      <c r="B44" s="4" t="s">
        <v>122</v>
      </c>
      <c r="C44" s="4" t="s">
        <v>784</v>
      </c>
      <c r="D44" s="5" t="s">
        <v>1214</v>
      </c>
      <c r="E44" s="4" t="s">
        <v>1215</v>
      </c>
      <c r="F44" s="4"/>
      <c r="G44" s="4" t="s">
        <v>2660</v>
      </c>
      <c r="H44" s="4" t="s">
        <v>576</v>
      </c>
    </row>
    <row r="45" spans="2:8" hidden="1">
      <c r="B45" s="4" t="s">
        <v>101</v>
      </c>
      <c r="C45" s="4" t="s">
        <v>1441</v>
      </c>
      <c r="D45" s="5" t="s">
        <v>2661</v>
      </c>
      <c r="E45" s="4" t="s">
        <v>2662</v>
      </c>
      <c r="F45" s="4"/>
      <c r="G45" s="4" t="s">
        <v>2663</v>
      </c>
      <c r="H45" s="4" t="s">
        <v>576</v>
      </c>
    </row>
    <row r="46" spans="2:8" hidden="1">
      <c r="B46" s="4" t="s">
        <v>123</v>
      </c>
      <c r="C46" s="4" t="s">
        <v>784</v>
      </c>
      <c r="D46" s="5" t="s">
        <v>810</v>
      </c>
      <c r="E46" s="4" t="s">
        <v>811</v>
      </c>
      <c r="F46" s="4"/>
      <c r="G46" s="4" t="s">
        <v>2664</v>
      </c>
      <c r="H46" s="4" t="s">
        <v>576</v>
      </c>
    </row>
    <row r="47" spans="2:8" hidden="1">
      <c r="B47" s="4" t="s">
        <v>173</v>
      </c>
      <c r="C47" s="4" t="s">
        <v>784</v>
      </c>
      <c r="D47" s="5" t="s">
        <v>2665</v>
      </c>
      <c r="E47" s="4" t="s">
        <v>2666</v>
      </c>
      <c r="F47" s="4"/>
      <c r="G47" s="4" t="s">
        <v>2664</v>
      </c>
      <c r="H47" s="4" t="s">
        <v>576</v>
      </c>
    </row>
    <row r="48" spans="2:8" hidden="1">
      <c r="B48" s="4" t="s">
        <v>96</v>
      </c>
      <c r="C48" s="4" t="s">
        <v>1441</v>
      </c>
      <c r="D48" s="5" t="s">
        <v>2280</v>
      </c>
      <c r="E48" s="4" t="s">
        <v>2667</v>
      </c>
      <c r="F48" s="4"/>
      <c r="G48" s="4" t="s">
        <v>2668</v>
      </c>
      <c r="H48" s="4" t="s">
        <v>421</v>
      </c>
    </row>
    <row r="49" spans="2:8" hidden="1">
      <c r="B49" s="4" t="s">
        <v>192</v>
      </c>
      <c r="C49" s="4" t="s">
        <v>784</v>
      </c>
      <c r="D49" s="6" t="s">
        <v>1478</v>
      </c>
      <c r="E49" s="4" t="s">
        <v>1479</v>
      </c>
      <c r="F49" s="4"/>
      <c r="G49" s="4" t="s">
        <v>2462</v>
      </c>
      <c r="H49" s="4" t="s">
        <v>443</v>
      </c>
    </row>
    <row r="50" spans="2:8" hidden="1">
      <c r="B50" s="4" t="s">
        <v>189</v>
      </c>
      <c r="C50" s="4" t="s">
        <v>784</v>
      </c>
      <c r="D50" s="5" t="s">
        <v>440</v>
      </c>
      <c r="E50" s="4" t="s">
        <v>441</v>
      </c>
      <c r="F50" s="4"/>
      <c r="G50" s="4" t="s">
        <v>1817</v>
      </c>
      <c r="H50" s="4" t="s">
        <v>443</v>
      </c>
    </row>
    <row r="51" spans="2:8" hidden="1">
      <c r="B51" s="4" t="s">
        <v>183</v>
      </c>
      <c r="C51" s="4" t="s">
        <v>784</v>
      </c>
      <c r="D51" s="5" t="s">
        <v>912</v>
      </c>
      <c r="E51" s="4" t="s">
        <v>2669</v>
      </c>
      <c r="F51" s="4"/>
      <c r="G51" s="4" t="s">
        <v>2670</v>
      </c>
      <c r="H51" s="4" t="s">
        <v>443</v>
      </c>
    </row>
    <row r="52" spans="2:8" hidden="1">
      <c r="B52" s="4" t="s">
        <v>124</v>
      </c>
      <c r="C52" s="4" t="s">
        <v>784</v>
      </c>
      <c r="D52" s="5" t="s">
        <v>881</v>
      </c>
      <c r="E52" s="4" t="s">
        <v>882</v>
      </c>
      <c r="F52" s="4"/>
      <c r="G52" s="4" t="s">
        <v>2671</v>
      </c>
      <c r="H52" s="4" t="s">
        <v>443</v>
      </c>
    </row>
    <row r="53" spans="2:8" hidden="1">
      <c r="B53" s="4" t="s">
        <v>116</v>
      </c>
      <c r="C53" s="4" t="s">
        <v>784</v>
      </c>
      <c r="D53" s="5" t="s">
        <v>1308</v>
      </c>
      <c r="E53" s="4" t="s">
        <v>1309</v>
      </c>
      <c r="F53" s="4"/>
      <c r="G53" s="4" t="s">
        <v>2672</v>
      </c>
      <c r="H53" s="4" t="s">
        <v>443</v>
      </c>
    </row>
    <row r="54" spans="2:8" hidden="1">
      <c r="B54" s="4" t="s">
        <v>121</v>
      </c>
      <c r="C54" s="4" t="s">
        <v>784</v>
      </c>
      <c r="D54" s="5" t="s">
        <v>1051</v>
      </c>
      <c r="E54" s="4" t="s">
        <v>2673</v>
      </c>
      <c r="F54" s="4"/>
      <c r="G54" s="4" t="s">
        <v>2674</v>
      </c>
      <c r="H54" s="4" t="s">
        <v>443</v>
      </c>
    </row>
    <row r="55" spans="2:8" hidden="1">
      <c r="B55" s="4" t="s">
        <v>119</v>
      </c>
      <c r="C55" s="4" t="s">
        <v>784</v>
      </c>
      <c r="D55" s="5" t="s">
        <v>1489</v>
      </c>
      <c r="E55" s="4" t="s">
        <v>1490</v>
      </c>
      <c r="F55" s="4"/>
      <c r="G55" s="4" t="s">
        <v>2675</v>
      </c>
      <c r="H55" s="4" t="s">
        <v>443</v>
      </c>
    </row>
    <row r="56" spans="2:8" hidden="1">
      <c r="B56" s="4" t="s">
        <v>93</v>
      </c>
      <c r="C56" s="4" t="s">
        <v>1441</v>
      </c>
      <c r="D56" s="5" t="s">
        <v>1440</v>
      </c>
      <c r="E56" s="4" t="s">
        <v>1442</v>
      </c>
      <c r="F56" s="4"/>
      <c r="G56" s="4" t="s">
        <v>1444</v>
      </c>
      <c r="H56" s="4" t="s">
        <v>443</v>
      </c>
    </row>
    <row r="57" spans="2:8" hidden="1">
      <c r="B57" s="4" t="s">
        <v>198</v>
      </c>
      <c r="C57" s="4" t="s">
        <v>784</v>
      </c>
      <c r="D57" s="5" t="s">
        <v>1062</v>
      </c>
      <c r="E57" s="4" t="s">
        <v>2676</v>
      </c>
      <c r="F57" s="4"/>
      <c r="G57" s="4" t="s">
        <v>2677</v>
      </c>
      <c r="H57" s="4" t="s">
        <v>443</v>
      </c>
    </row>
    <row r="58" spans="2:8" hidden="1">
      <c r="B58" s="4" t="s">
        <v>186</v>
      </c>
      <c r="C58" s="4" t="s">
        <v>784</v>
      </c>
      <c r="D58" s="6" t="s">
        <v>443</v>
      </c>
      <c r="E58" s="4" t="s">
        <v>1335</v>
      </c>
      <c r="F58" s="4"/>
      <c r="G58" s="4" t="s">
        <v>1639</v>
      </c>
      <c r="H58" s="4" t="s">
        <v>443</v>
      </c>
    </row>
    <row r="59" spans="2:8" hidden="1">
      <c r="B59" s="4" t="s">
        <v>197</v>
      </c>
      <c r="C59" s="4" t="s">
        <v>784</v>
      </c>
      <c r="D59" s="6" t="s">
        <v>1116</v>
      </c>
      <c r="E59" s="4" t="s">
        <v>1117</v>
      </c>
      <c r="F59" s="4"/>
      <c r="G59" s="4" t="s">
        <v>2150</v>
      </c>
      <c r="H59" s="4" t="s">
        <v>443</v>
      </c>
    </row>
    <row r="60" spans="2:8" hidden="1">
      <c r="B60" s="4" t="s">
        <v>184</v>
      </c>
      <c r="C60" s="4" t="s">
        <v>784</v>
      </c>
      <c r="D60" s="5" t="s">
        <v>1073</v>
      </c>
      <c r="E60" s="4" t="s">
        <v>2678</v>
      </c>
      <c r="F60" s="4"/>
      <c r="G60" s="4" t="s">
        <v>2679</v>
      </c>
      <c r="H60" s="4" t="s">
        <v>443</v>
      </c>
    </row>
    <row r="61" spans="2:8" hidden="1">
      <c r="B61" s="4" t="s">
        <v>188</v>
      </c>
      <c r="C61" s="4" t="s">
        <v>784</v>
      </c>
      <c r="D61" s="5" t="s">
        <v>1267</v>
      </c>
      <c r="E61" s="4" t="s">
        <v>1268</v>
      </c>
      <c r="F61" s="4"/>
      <c r="G61" s="4" t="s">
        <v>2339</v>
      </c>
      <c r="H61" s="4" t="s">
        <v>443</v>
      </c>
    </row>
    <row r="62" spans="2:8" hidden="1">
      <c r="B62" s="4" t="s">
        <v>125</v>
      </c>
      <c r="C62" s="4" t="s">
        <v>784</v>
      </c>
      <c r="D62" s="6" t="s">
        <v>737</v>
      </c>
      <c r="E62" s="4" t="s">
        <v>738</v>
      </c>
      <c r="F62" s="4"/>
      <c r="G62" s="4" t="s">
        <v>2680</v>
      </c>
      <c r="H62" s="4" t="s">
        <v>443</v>
      </c>
    </row>
    <row r="63" spans="2:8" hidden="1">
      <c r="B63" s="4" t="s">
        <v>202</v>
      </c>
      <c r="C63" s="4" t="s">
        <v>784</v>
      </c>
      <c r="D63" s="5" t="s">
        <v>1015</v>
      </c>
      <c r="E63" s="4" t="s">
        <v>2681</v>
      </c>
      <c r="F63" s="4"/>
      <c r="G63" s="4" t="s">
        <v>2682</v>
      </c>
      <c r="H63" s="4" t="s">
        <v>443</v>
      </c>
    </row>
    <row r="64" spans="2:8" hidden="1">
      <c r="B64" s="4" t="s">
        <v>190</v>
      </c>
      <c r="C64" s="4" t="s">
        <v>784</v>
      </c>
      <c r="D64" s="5" t="s">
        <v>1253</v>
      </c>
      <c r="E64" s="4" t="s">
        <v>1254</v>
      </c>
      <c r="F64" s="4"/>
      <c r="G64" s="4" t="s">
        <v>2683</v>
      </c>
      <c r="H64" s="4" t="s">
        <v>443</v>
      </c>
    </row>
    <row r="65" spans="2:8">
      <c r="B65" s="4" t="s">
        <v>221</v>
      </c>
      <c r="C65" s="4" t="s">
        <v>1563</v>
      </c>
      <c r="D65" s="5" t="s">
        <v>2684</v>
      </c>
      <c r="E65" s="4" t="s">
        <v>2685</v>
      </c>
      <c r="F65" s="4"/>
      <c r="G65" s="4" t="s">
        <v>2686</v>
      </c>
      <c r="H65" s="4" t="s">
        <v>421</v>
      </c>
    </row>
    <row r="66" spans="2:8" hidden="1">
      <c r="B66" s="4" t="s">
        <v>90</v>
      </c>
      <c r="C66" s="4" t="s">
        <v>1441</v>
      </c>
      <c r="D66" s="5" t="s">
        <v>2687</v>
      </c>
      <c r="E66" s="4" t="s">
        <v>2688</v>
      </c>
      <c r="F66" s="4"/>
      <c r="G66" s="4" t="s">
        <v>2689</v>
      </c>
      <c r="H66" s="4" t="s">
        <v>421</v>
      </c>
    </row>
    <row r="67" spans="2:8">
      <c r="B67" s="4" t="s">
        <v>223</v>
      </c>
      <c r="C67" s="4" t="s">
        <v>1563</v>
      </c>
      <c r="D67" s="5" t="s">
        <v>2690</v>
      </c>
      <c r="E67" s="4" t="s">
        <v>2691</v>
      </c>
      <c r="F67" s="4"/>
      <c r="G67" s="4" t="s">
        <v>2692</v>
      </c>
      <c r="H67" s="4" t="s">
        <v>421</v>
      </c>
    </row>
    <row r="68" spans="2:8">
      <c r="B68" s="4" t="s">
        <v>222</v>
      </c>
      <c r="C68" s="4" t="s">
        <v>1563</v>
      </c>
      <c r="D68" s="5" t="s">
        <v>2693</v>
      </c>
      <c r="E68" s="4" t="s">
        <v>2694</v>
      </c>
      <c r="F68" s="4"/>
      <c r="G68" s="4" t="s">
        <v>2695</v>
      </c>
      <c r="H68" s="4" t="s">
        <v>421</v>
      </c>
    </row>
    <row r="69" spans="2:8">
      <c r="B69" s="4" t="s">
        <v>219</v>
      </c>
      <c r="C69" s="4" t="s">
        <v>1563</v>
      </c>
      <c r="D69" s="5" t="s">
        <v>2696</v>
      </c>
      <c r="E69" s="4" t="s">
        <v>2697</v>
      </c>
      <c r="F69" s="4"/>
      <c r="G69" s="4" t="s">
        <v>2698</v>
      </c>
      <c r="H69" s="4" t="s">
        <v>421</v>
      </c>
    </row>
    <row r="70" spans="2:8">
      <c r="B70" s="4" t="s">
        <v>225</v>
      </c>
      <c r="C70" s="4" t="s">
        <v>1563</v>
      </c>
      <c r="D70" s="5" t="s">
        <v>2699</v>
      </c>
      <c r="E70" s="4" t="s">
        <v>2700</v>
      </c>
      <c r="F70" s="4"/>
      <c r="G70" s="4" t="s">
        <v>2701</v>
      </c>
      <c r="H70" s="4" t="s">
        <v>421</v>
      </c>
    </row>
    <row r="71" spans="2:8" hidden="1">
      <c r="B71" s="4" t="s">
        <v>97</v>
      </c>
      <c r="C71" s="4" t="s">
        <v>1441</v>
      </c>
      <c r="D71" s="5" t="s">
        <v>2702</v>
      </c>
      <c r="E71" s="4" t="s">
        <v>2703</v>
      </c>
      <c r="F71" s="4"/>
      <c r="G71" s="4" t="s">
        <v>2704</v>
      </c>
      <c r="H71" s="4" t="s">
        <v>421</v>
      </c>
    </row>
    <row r="72" spans="2:8">
      <c r="B72" s="4" t="s">
        <v>230</v>
      </c>
      <c r="C72" s="4" t="s">
        <v>1563</v>
      </c>
      <c r="D72" s="5" t="s">
        <v>1078</v>
      </c>
      <c r="E72" s="4" t="s">
        <v>1079</v>
      </c>
      <c r="F72" s="4"/>
      <c r="G72" s="4" t="s">
        <v>2555</v>
      </c>
      <c r="H72" s="4" t="s">
        <v>421</v>
      </c>
    </row>
    <row r="73" spans="2:8" hidden="1">
      <c r="B73" s="4" t="s">
        <v>107</v>
      </c>
      <c r="C73" s="4" t="s">
        <v>1441</v>
      </c>
      <c r="D73" s="5" t="s">
        <v>964</v>
      </c>
      <c r="E73" s="4" t="s">
        <v>1583</v>
      </c>
      <c r="F73" s="4"/>
      <c r="G73" s="4" t="s">
        <v>2561</v>
      </c>
      <c r="H73" s="4" t="s">
        <v>421</v>
      </c>
    </row>
    <row r="74" spans="2:8" hidden="1">
      <c r="B74" s="4" t="s">
        <v>128</v>
      </c>
      <c r="C74" s="4" t="s">
        <v>784</v>
      </c>
      <c r="D74" s="5" t="s">
        <v>702</v>
      </c>
      <c r="E74" s="4" t="s">
        <v>703</v>
      </c>
      <c r="F74" s="4"/>
      <c r="G74" s="4" t="s">
        <v>2705</v>
      </c>
      <c r="H74" s="4" t="s">
        <v>248</v>
      </c>
    </row>
    <row r="75" spans="2:8" hidden="1">
      <c r="B75" s="4" t="s">
        <v>179</v>
      </c>
      <c r="C75" s="4" t="s">
        <v>784</v>
      </c>
      <c r="D75" s="5" t="s">
        <v>549</v>
      </c>
      <c r="E75" s="4" t="s">
        <v>550</v>
      </c>
      <c r="F75" s="4"/>
      <c r="G75" s="4" t="s">
        <v>1886</v>
      </c>
      <c r="H75" s="4" t="s">
        <v>421</v>
      </c>
    </row>
    <row r="76" spans="2:8" hidden="1">
      <c r="B76" s="4" t="s">
        <v>156</v>
      </c>
      <c r="C76" s="4" t="s">
        <v>784</v>
      </c>
      <c r="D76" s="6" t="s">
        <v>1289</v>
      </c>
      <c r="E76" s="4" t="s">
        <v>1290</v>
      </c>
      <c r="F76" s="4"/>
      <c r="G76" s="4" t="s">
        <v>2706</v>
      </c>
      <c r="H76" s="4" t="s">
        <v>421</v>
      </c>
    </row>
    <row r="77" spans="2:8" hidden="1">
      <c r="B77" s="4" t="s">
        <v>204</v>
      </c>
      <c r="C77" s="4" t="s">
        <v>784</v>
      </c>
      <c r="D77" s="5" t="s">
        <v>1508</v>
      </c>
      <c r="E77" s="4" t="s">
        <v>1509</v>
      </c>
      <c r="F77" s="4"/>
      <c r="G77" s="4" t="s">
        <v>2707</v>
      </c>
      <c r="H77" s="4" t="s">
        <v>421</v>
      </c>
    </row>
    <row r="78" spans="2:8" hidden="1">
      <c r="B78" s="4" t="s">
        <v>203</v>
      </c>
      <c r="C78" s="4" t="s">
        <v>784</v>
      </c>
      <c r="D78" s="5" t="s">
        <v>829</v>
      </c>
      <c r="E78" s="4" t="s">
        <v>2708</v>
      </c>
      <c r="F78" s="4"/>
      <c r="G78" s="4" t="s">
        <v>2709</v>
      </c>
      <c r="H78" s="4" t="s">
        <v>421</v>
      </c>
    </row>
    <row r="79" spans="2:8" hidden="1">
      <c r="B79" s="4" t="s">
        <v>144</v>
      </c>
      <c r="C79" s="4" t="s">
        <v>784</v>
      </c>
      <c r="D79" s="5" t="s">
        <v>1257</v>
      </c>
      <c r="E79" s="4" t="s">
        <v>1258</v>
      </c>
      <c r="F79" s="4"/>
      <c r="G79" s="4" t="s">
        <v>2710</v>
      </c>
      <c r="H79" s="4" t="s">
        <v>421</v>
      </c>
    </row>
    <row r="80" spans="2:8" hidden="1">
      <c r="B80" s="4" t="s">
        <v>181</v>
      </c>
      <c r="C80" s="4" t="s">
        <v>784</v>
      </c>
      <c r="D80" s="5" t="s">
        <v>997</v>
      </c>
      <c r="E80" s="4" t="s">
        <v>998</v>
      </c>
      <c r="F80" s="4"/>
      <c r="G80" s="4" t="s">
        <v>2090</v>
      </c>
      <c r="H80" s="4" t="s">
        <v>421</v>
      </c>
    </row>
    <row r="81" spans="2:8" hidden="1">
      <c r="B81" s="4" t="s">
        <v>200</v>
      </c>
      <c r="C81" s="4" t="s">
        <v>784</v>
      </c>
      <c r="D81" s="5" t="s">
        <v>1464</v>
      </c>
      <c r="E81" s="4" t="s">
        <v>1465</v>
      </c>
      <c r="F81" s="4"/>
      <c r="G81" s="4" t="s">
        <v>2454</v>
      </c>
      <c r="H81" s="4" t="s">
        <v>421</v>
      </c>
    </row>
    <row r="82" spans="2:8" hidden="1">
      <c r="B82" s="4" t="s">
        <v>139</v>
      </c>
      <c r="C82" s="4" t="s">
        <v>784</v>
      </c>
      <c r="D82" s="5" t="s">
        <v>689</v>
      </c>
      <c r="E82" s="4" t="s">
        <v>2711</v>
      </c>
      <c r="F82" s="4"/>
      <c r="G82" s="4" t="s">
        <v>691</v>
      </c>
      <c r="H82" s="4" t="s">
        <v>421</v>
      </c>
    </row>
    <row r="83" spans="2:8" hidden="1">
      <c r="B83" s="4" t="s">
        <v>115</v>
      </c>
      <c r="C83" s="4" t="s">
        <v>784</v>
      </c>
      <c r="D83" s="5" t="s">
        <v>770</v>
      </c>
      <c r="E83" s="4" t="s">
        <v>771</v>
      </c>
      <c r="F83" s="4"/>
      <c r="G83" s="4" t="s">
        <v>2712</v>
      </c>
      <c r="H83" s="4" t="s">
        <v>248</v>
      </c>
    </row>
    <row r="84" spans="2:8" hidden="1">
      <c r="B84" s="4" t="s">
        <v>166</v>
      </c>
      <c r="C84" s="4" t="s">
        <v>784</v>
      </c>
      <c r="D84" s="5" t="s">
        <v>970</v>
      </c>
      <c r="E84" s="4" t="s">
        <v>971</v>
      </c>
      <c r="F84" s="4"/>
      <c r="G84" s="4" t="s">
        <v>2059</v>
      </c>
      <c r="H84" s="4" t="s">
        <v>421</v>
      </c>
    </row>
    <row r="85" spans="2:8" hidden="1">
      <c r="B85" s="4" t="s">
        <v>150</v>
      </c>
      <c r="C85" s="4" t="s">
        <v>784</v>
      </c>
      <c r="D85" s="5" t="s">
        <v>1143</v>
      </c>
      <c r="E85" s="4" t="s">
        <v>2713</v>
      </c>
      <c r="F85" s="4"/>
      <c r="G85" s="4" t="s">
        <v>2216</v>
      </c>
      <c r="H85" s="4" t="s">
        <v>421</v>
      </c>
    </row>
    <row r="86" spans="2:8" hidden="1">
      <c r="B86" s="4" t="s">
        <v>131</v>
      </c>
      <c r="C86" s="4" t="s">
        <v>784</v>
      </c>
      <c r="D86" s="6" t="s">
        <v>526</v>
      </c>
      <c r="E86" s="4" t="s">
        <v>527</v>
      </c>
      <c r="F86" s="4"/>
      <c r="G86" s="4" t="s">
        <v>2714</v>
      </c>
      <c r="H86" s="4" t="s">
        <v>421</v>
      </c>
    </row>
    <row r="87" spans="2:8" hidden="1">
      <c r="B87" s="4" t="s">
        <v>2715</v>
      </c>
      <c r="C87" s="4" t="s">
        <v>784</v>
      </c>
      <c r="D87" s="5" t="s">
        <v>2716</v>
      </c>
      <c r="E87" s="4" t="s">
        <v>2717</v>
      </c>
      <c r="F87" s="4"/>
      <c r="G87" s="4" t="s">
        <v>2718</v>
      </c>
      <c r="H87" s="4" t="s">
        <v>1039</v>
      </c>
    </row>
    <row r="88" spans="2:8" hidden="1">
      <c r="B88" s="4" t="s">
        <v>2719</v>
      </c>
      <c r="C88" s="4" t="s">
        <v>784</v>
      </c>
      <c r="D88" s="5" t="s">
        <v>2720</v>
      </c>
      <c r="E88" s="4" t="s">
        <v>2721</v>
      </c>
      <c r="F88" s="4"/>
      <c r="G88" s="4" t="s">
        <v>2722</v>
      </c>
      <c r="H88" s="4" t="s">
        <v>1039</v>
      </c>
    </row>
    <row r="89" spans="2:8" hidden="1">
      <c r="B89" s="4" t="s">
        <v>2723</v>
      </c>
      <c r="C89" s="4" t="s">
        <v>784</v>
      </c>
      <c r="D89" s="5" t="s">
        <v>2724</v>
      </c>
      <c r="E89" s="4" t="s">
        <v>2725</v>
      </c>
      <c r="F89" s="4"/>
      <c r="G89" s="4" t="s">
        <v>2726</v>
      </c>
      <c r="H89" s="4" t="s">
        <v>1039</v>
      </c>
    </row>
    <row r="90" spans="2:8">
      <c r="B90" s="4" t="s">
        <v>2727</v>
      </c>
      <c r="C90" s="4" t="s">
        <v>1563</v>
      </c>
      <c r="D90" s="5" t="s">
        <v>2728</v>
      </c>
      <c r="E90" s="4" t="s">
        <v>2729</v>
      </c>
      <c r="F90" s="4"/>
      <c r="G90" s="4" t="s">
        <v>2730</v>
      </c>
      <c r="H90" s="4" t="s">
        <v>1039</v>
      </c>
    </row>
    <row r="91" spans="2:8" hidden="1">
      <c r="B91" s="4" t="s">
        <v>2731</v>
      </c>
      <c r="C91" s="4" t="s">
        <v>1441</v>
      </c>
      <c r="D91" s="5" t="s">
        <v>2732</v>
      </c>
      <c r="E91" s="4" t="s">
        <v>2733</v>
      </c>
      <c r="F91" s="4"/>
      <c r="G91" s="4" t="s">
        <v>2734</v>
      </c>
      <c r="H91" s="4" t="s">
        <v>1039</v>
      </c>
    </row>
    <row r="92" spans="2:8" hidden="1">
      <c r="B92" s="4" t="s">
        <v>2735</v>
      </c>
      <c r="C92" s="4" t="s">
        <v>784</v>
      </c>
      <c r="D92" s="6" t="s">
        <v>2736</v>
      </c>
      <c r="E92" s="4" t="s">
        <v>2737</v>
      </c>
      <c r="F92" s="4"/>
      <c r="G92" s="4" t="s">
        <v>2738</v>
      </c>
      <c r="H92" s="4" t="s">
        <v>1039</v>
      </c>
    </row>
    <row r="93" spans="2:8" hidden="1">
      <c r="B93" s="4" t="s">
        <v>2739</v>
      </c>
      <c r="C93" s="4" t="s">
        <v>784</v>
      </c>
      <c r="D93" s="5" t="s">
        <v>1635</v>
      </c>
      <c r="E93" s="4" t="s">
        <v>2740</v>
      </c>
      <c r="F93" s="4"/>
      <c r="G93" s="4" t="s">
        <v>2741</v>
      </c>
      <c r="H93" s="4" t="s">
        <v>1039</v>
      </c>
    </row>
    <row r="94" spans="2:8" hidden="1">
      <c r="B94" s="4" t="s">
        <v>2742</v>
      </c>
      <c r="C94" s="4" t="s">
        <v>784</v>
      </c>
      <c r="D94" s="5" t="s">
        <v>2743</v>
      </c>
      <c r="E94" s="4" t="s">
        <v>2744</v>
      </c>
      <c r="F94" s="4"/>
      <c r="G94" s="4" t="s">
        <v>2745</v>
      </c>
      <c r="H94" s="4" t="s">
        <v>1039</v>
      </c>
    </row>
    <row r="95" spans="2:8" hidden="1">
      <c r="B95" s="4" t="s">
        <v>2746</v>
      </c>
      <c r="C95" s="4" t="s">
        <v>784</v>
      </c>
      <c r="D95" s="5" t="s">
        <v>2747</v>
      </c>
      <c r="E95" s="4" t="s">
        <v>2748</v>
      </c>
      <c r="F95" s="4"/>
      <c r="G95" s="4" t="s">
        <v>2749</v>
      </c>
      <c r="H95" s="4" t="s">
        <v>1039</v>
      </c>
    </row>
    <row r="96" spans="2:8" hidden="1">
      <c r="B96" s="4" t="s">
        <v>2750</v>
      </c>
      <c r="C96" s="4" t="s">
        <v>784</v>
      </c>
      <c r="D96" s="6" t="s">
        <v>2751</v>
      </c>
      <c r="E96" s="4" t="s">
        <v>2752</v>
      </c>
      <c r="F96" s="4"/>
      <c r="G96" s="4" t="s">
        <v>2753</v>
      </c>
      <c r="H96" s="4" t="s">
        <v>1039</v>
      </c>
    </row>
    <row r="97" spans="2:8" hidden="1">
      <c r="B97" s="4" t="s">
        <v>138</v>
      </c>
      <c r="C97" s="4" t="s">
        <v>784</v>
      </c>
      <c r="D97" s="6" t="s">
        <v>1036</v>
      </c>
      <c r="E97" s="4" t="s">
        <v>1037</v>
      </c>
      <c r="F97" s="4"/>
      <c r="G97" s="4" t="s">
        <v>2754</v>
      </c>
      <c r="H97" s="4" t="s">
        <v>1039</v>
      </c>
    </row>
    <row r="98" spans="2:8" hidden="1">
      <c r="B98" s="4" t="s">
        <v>2755</v>
      </c>
      <c r="C98" s="4" t="s">
        <v>784</v>
      </c>
      <c r="D98" s="6" t="s">
        <v>2756</v>
      </c>
      <c r="E98" s="4" t="s">
        <v>2757</v>
      </c>
      <c r="F98" s="4"/>
      <c r="G98" s="4" t="s">
        <v>2758</v>
      </c>
      <c r="H98" s="4" t="s">
        <v>1039</v>
      </c>
    </row>
    <row r="99" spans="2:8" hidden="1">
      <c r="B99" s="4" t="s">
        <v>2759</v>
      </c>
      <c r="C99" s="4" t="s">
        <v>784</v>
      </c>
      <c r="D99" s="5" t="s">
        <v>2760</v>
      </c>
      <c r="E99" s="4" t="s">
        <v>2761</v>
      </c>
      <c r="F99" s="4"/>
      <c r="G99" s="4" t="s">
        <v>2762</v>
      </c>
      <c r="H99" s="4" t="s">
        <v>1039</v>
      </c>
    </row>
    <row r="100" spans="2:8" hidden="1">
      <c r="B100" s="4" t="s">
        <v>2763</v>
      </c>
      <c r="C100" s="4" t="s">
        <v>784</v>
      </c>
      <c r="D100" s="5" t="s">
        <v>2764</v>
      </c>
      <c r="E100" s="4" t="s">
        <v>2765</v>
      </c>
      <c r="F100" s="4"/>
      <c r="G100" s="4" t="s">
        <v>2766</v>
      </c>
      <c r="H100" s="4" t="s">
        <v>1039</v>
      </c>
    </row>
    <row r="101" spans="2:8" hidden="1">
      <c r="B101" s="4" t="s">
        <v>2767</v>
      </c>
      <c r="C101" s="4" t="s">
        <v>784</v>
      </c>
      <c r="D101" s="6" t="s">
        <v>2768</v>
      </c>
      <c r="E101" s="4" t="s">
        <v>2769</v>
      </c>
      <c r="F101" s="4"/>
      <c r="G101" s="4" t="s">
        <v>2770</v>
      </c>
      <c r="H101" s="4" t="s">
        <v>1039</v>
      </c>
    </row>
    <row r="102" spans="2:8" hidden="1">
      <c r="B102" s="4" t="s">
        <v>2771</v>
      </c>
      <c r="C102" s="4" t="s">
        <v>784</v>
      </c>
      <c r="D102" s="5" t="s">
        <v>2772</v>
      </c>
      <c r="E102" s="4" t="s">
        <v>2773</v>
      </c>
      <c r="F102" s="4"/>
      <c r="G102" s="4" t="s">
        <v>2774</v>
      </c>
      <c r="H102" s="4" t="s">
        <v>1039</v>
      </c>
    </row>
    <row r="103" spans="2:8" hidden="1">
      <c r="B103" s="4" t="s">
        <v>2775</v>
      </c>
      <c r="C103" s="4" t="s">
        <v>784</v>
      </c>
      <c r="D103" s="5" t="s">
        <v>2776</v>
      </c>
      <c r="E103" s="4" t="s">
        <v>2777</v>
      </c>
      <c r="F103" s="4"/>
      <c r="G103" s="4" t="s">
        <v>2778</v>
      </c>
      <c r="H103" s="4" t="s">
        <v>1039</v>
      </c>
    </row>
    <row r="104" spans="2:8" hidden="1">
      <c r="B104" s="4" t="s">
        <v>2779</v>
      </c>
      <c r="C104" s="4" t="s">
        <v>784</v>
      </c>
      <c r="D104" s="5" t="s">
        <v>2780</v>
      </c>
      <c r="E104" s="4" t="s">
        <v>2781</v>
      </c>
      <c r="F104" s="4"/>
      <c r="G104" s="4" t="s">
        <v>2778</v>
      </c>
      <c r="H104" s="4" t="s">
        <v>1039</v>
      </c>
    </row>
    <row r="105" spans="2:8" hidden="1">
      <c r="B105" s="4" t="s">
        <v>2782</v>
      </c>
      <c r="C105" s="4" t="s">
        <v>784</v>
      </c>
      <c r="D105" s="5" t="s">
        <v>2783</v>
      </c>
      <c r="E105" s="4" t="s">
        <v>2784</v>
      </c>
      <c r="F105" s="4"/>
      <c r="G105" s="4" t="s">
        <v>2785</v>
      </c>
      <c r="H105" s="4" t="s">
        <v>1039</v>
      </c>
    </row>
    <row r="106" spans="2:8" hidden="1">
      <c r="B106" s="4" t="s">
        <v>2786</v>
      </c>
      <c r="C106" s="4" t="s">
        <v>784</v>
      </c>
      <c r="D106" s="5" t="s">
        <v>2787</v>
      </c>
      <c r="E106" s="4" t="s">
        <v>2788</v>
      </c>
      <c r="F106" s="4"/>
      <c r="G106" s="4" t="s">
        <v>2789</v>
      </c>
      <c r="H106" s="4" t="s">
        <v>1039</v>
      </c>
    </row>
    <row r="107" spans="2:8">
      <c r="B107" s="4" t="s">
        <v>2790</v>
      </c>
      <c r="C107" s="4" t="s">
        <v>1563</v>
      </c>
      <c r="D107" s="5" t="s">
        <v>2791</v>
      </c>
      <c r="E107" s="4" t="s">
        <v>2792</v>
      </c>
      <c r="F107" s="4"/>
      <c r="G107" s="4" t="s">
        <v>2793</v>
      </c>
      <c r="H107" s="4" t="s">
        <v>1039</v>
      </c>
    </row>
    <row r="108" spans="2:8" hidden="1">
      <c r="B108" s="4" t="s">
        <v>2794</v>
      </c>
      <c r="C108" s="4" t="s">
        <v>784</v>
      </c>
      <c r="D108" s="5" t="s">
        <v>2795</v>
      </c>
      <c r="E108" s="4" t="s">
        <v>2796</v>
      </c>
      <c r="F108" s="4"/>
      <c r="G108" s="4" t="s">
        <v>2797</v>
      </c>
      <c r="H108" s="4" t="s">
        <v>1039</v>
      </c>
    </row>
    <row r="109" spans="2:8" hidden="1">
      <c r="B109" s="4" t="s">
        <v>2798</v>
      </c>
      <c r="C109" s="4" t="s">
        <v>784</v>
      </c>
      <c r="D109" s="5" t="s">
        <v>2799</v>
      </c>
      <c r="E109" s="4" t="s">
        <v>2800</v>
      </c>
      <c r="F109" s="4"/>
      <c r="G109" s="4" t="s">
        <v>2801</v>
      </c>
      <c r="H109" s="4" t="s">
        <v>1039</v>
      </c>
    </row>
    <row r="110" spans="2:8" hidden="1">
      <c r="B110" s="4" t="s">
        <v>2802</v>
      </c>
      <c r="C110" s="4" t="s">
        <v>784</v>
      </c>
      <c r="D110" s="5" t="s">
        <v>2803</v>
      </c>
      <c r="E110" s="4" t="s">
        <v>2804</v>
      </c>
      <c r="F110" s="4"/>
      <c r="G110" s="4" t="s">
        <v>2805</v>
      </c>
      <c r="H110" s="4" t="s">
        <v>1039</v>
      </c>
    </row>
    <row r="111" spans="2:8" hidden="1">
      <c r="B111" s="4" t="s">
        <v>2806</v>
      </c>
      <c r="C111" s="4" t="s">
        <v>784</v>
      </c>
      <c r="D111" s="6" t="s">
        <v>2807</v>
      </c>
      <c r="E111" s="4" t="s">
        <v>2808</v>
      </c>
      <c r="F111" s="4"/>
      <c r="G111" s="4" t="s">
        <v>2809</v>
      </c>
      <c r="H111" s="4" t="s">
        <v>1039</v>
      </c>
    </row>
    <row r="112" spans="2:8" hidden="1">
      <c r="B112" s="4" t="s">
        <v>2810</v>
      </c>
      <c r="C112" s="4" t="s">
        <v>784</v>
      </c>
      <c r="D112" s="5" t="s">
        <v>2811</v>
      </c>
      <c r="E112" s="4" t="s">
        <v>2812</v>
      </c>
      <c r="F112" s="4"/>
      <c r="G112" s="4" t="s">
        <v>2813</v>
      </c>
      <c r="H112" s="4" t="s">
        <v>1039</v>
      </c>
    </row>
    <row r="113" spans="2:8" hidden="1">
      <c r="B113" s="4" t="s">
        <v>2814</v>
      </c>
      <c r="C113" s="4" t="s">
        <v>784</v>
      </c>
      <c r="D113" s="5" t="s">
        <v>2815</v>
      </c>
      <c r="E113" s="4" t="s">
        <v>2816</v>
      </c>
      <c r="F113" s="4"/>
      <c r="G113" s="4" t="s">
        <v>2817</v>
      </c>
      <c r="H113" s="4" t="s">
        <v>1039</v>
      </c>
    </row>
    <row r="114" spans="2:8" hidden="1">
      <c r="B114" s="4" t="s">
        <v>2818</v>
      </c>
      <c r="C114" s="4" t="s">
        <v>784</v>
      </c>
      <c r="D114" s="6" t="s">
        <v>2819</v>
      </c>
      <c r="E114" s="4" t="s">
        <v>2820</v>
      </c>
      <c r="F114" s="4"/>
      <c r="G114" s="4" t="s">
        <v>2821</v>
      </c>
      <c r="H114" s="4" t="s">
        <v>1039</v>
      </c>
    </row>
    <row r="115" spans="2:8" hidden="1">
      <c r="B115" s="4" t="s">
        <v>2822</v>
      </c>
      <c r="C115" s="4" t="s">
        <v>784</v>
      </c>
      <c r="D115" s="5" t="s">
        <v>2823</v>
      </c>
      <c r="E115" s="4" t="s">
        <v>2824</v>
      </c>
      <c r="F115" s="4"/>
      <c r="G115" s="4" t="s">
        <v>2825</v>
      </c>
      <c r="H115" s="4" t="s">
        <v>1039</v>
      </c>
    </row>
    <row r="116" spans="2:8" hidden="1">
      <c r="B116" s="4" t="s">
        <v>2826</v>
      </c>
      <c r="C116" s="4" t="s">
        <v>784</v>
      </c>
      <c r="D116" s="5" t="s">
        <v>2827</v>
      </c>
      <c r="E116" s="4" t="s">
        <v>2828</v>
      </c>
      <c r="F116" s="4"/>
      <c r="G116" s="4" t="s">
        <v>2829</v>
      </c>
      <c r="H116" s="4" t="s">
        <v>1039</v>
      </c>
    </row>
    <row r="117" spans="2:8" hidden="1">
      <c r="B117" s="4" t="s">
        <v>210</v>
      </c>
      <c r="C117" s="4" t="s">
        <v>784</v>
      </c>
      <c r="D117" s="5" t="s">
        <v>1542</v>
      </c>
      <c r="E117" s="4" t="s">
        <v>1543</v>
      </c>
      <c r="F117" s="4"/>
      <c r="G117" s="4" t="s">
        <v>1545</v>
      </c>
      <c r="H117" s="4" t="s">
        <v>248</v>
      </c>
    </row>
    <row r="118" spans="2:8" hidden="1">
      <c r="B118" s="4" t="s">
        <v>91</v>
      </c>
      <c r="C118" s="4" t="s">
        <v>1441</v>
      </c>
      <c r="D118" s="5" t="s">
        <v>2830</v>
      </c>
      <c r="E118" s="4" t="s">
        <v>2831</v>
      </c>
      <c r="F118" s="4"/>
      <c r="G118" s="4" t="s">
        <v>2832</v>
      </c>
      <c r="H118" s="4" t="s">
        <v>421</v>
      </c>
    </row>
    <row r="119" spans="2:8" hidden="1">
      <c r="B119" s="4" t="s">
        <v>117</v>
      </c>
      <c r="C119" s="4" t="s">
        <v>784</v>
      </c>
      <c r="D119" s="5" t="s">
        <v>1437</v>
      </c>
      <c r="E119" s="4" t="s">
        <v>2833</v>
      </c>
      <c r="F119" s="4"/>
      <c r="G119" s="4" t="s">
        <v>2834</v>
      </c>
      <c r="H119" s="4" t="s">
        <v>248</v>
      </c>
    </row>
    <row r="120" spans="2:8" hidden="1">
      <c r="B120" s="4" t="s">
        <v>127</v>
      </c>
      <c r="C120" s="4" t="s">
        <v>784</v>
      </c>
      <c r="D120" s="4" t="s">
        <v>1026</v>
      </c>
      <c r="E120" s="4" t="s">
        <v>1027</v>
      </c>
      <c r="F120" s="4"/>
      <c r="G120" s="4" t="s">
        <v>2835</v>
      </c>
      <c r="H120" s="4" t="s">
        <v>248</v>
      </c>
    </row>
    <row r="121" spans="2:8" hidden="1">
      <c r="B121" s="4" t="s">
        <v>100</v>
      </c>
      <c r="C121" s="4" t="s">
        <v>1441</v>
      </c>
      <c r="D121" s="5" t="s">
        <v>2836</v>
      </c>
      <c r="E121" s="4" t="s">
        <v>2837</v>
      </c>
      <c r="F121" s="4"/>
      <c r="G121" s="4" t="s">
        <v>2838</v>
      </c>
      <c r="H121" s="4" t="s">
        <v>421</v>
      </c>
    </row>
    <row r="122" spans="2:8" hidden="1">
      <c r="B122" s="4" t="s">
        <v>2839</v>
      </c>
      <c r="C122" s="4" t="s">
        <v>784</v>
      </c>
      <c r="D122" s="5" t="s">
        <v>2840</v>
      </c>
      <c r="E122" s="4" t="s">
        <v>2841</v>
      </c>
      <c r="F122" s="4"/>
      <c r="G122" s="4" t="s">
        <v>2842</v>
      </c>
      <c r="H122" s="4" t="s">
        <v>1039</v>
      </c>
    </row>
    <row r="123" spans="2:8" hidden="1">
      <c r="B123" s="4" t="s">
        <v>195</v>
      </c>
      <c r="C123" s="4" t="s">
        <v>784</v>
      </c>
      <c r="D123" s="6" t="s">
        <v>1003</v>
      </c>
      <c r="E123" s="4" t="s">
        <v>2843</v>
      </c>
      <c r="F123" s="4"/>
      <c r="G123" s="4" t="s">
        <v>2096</v>
      </c>
      <c r="H123" s="4" t="s">
        <v>421</v>
      </c>
    </row>
    <row r="124" spans="2:8" hidden="1">
      <c r="B124" s="4" t="s">
        <v>106</v>
      </c>
      <c r="C124" s="4" t="s">
        <v>1441</v>
      </c>
      <c r="D124" s="5" t="s">
        <v>2844</v>
      </c>
      <c r="E124" s="4" t="s">
        <v>2845</v>
      </c>
      <c r="F124" s="4"/>
      <c r="G124" s="4" t="s">
        <v>2846</v>
      </c>
      <c r="H124" s="4" t="s">
        <v>421</v>
      </c>
    </row>
    <row r="125" spans="2:8" hidden="1">
      <c r="B125" s="4" t="s">
        <v>137</v>
      </c>
      <c r="C125" s="4" t="s">
        <v>784</v>
      </c>
      <c r="D125" s="6" t="s">
        <v>783</v>
      </c>
      <c r="E125" s="4" t="s">
        <v>2847</v>
      </c>
      <c r="F125" s="4"/>
      <c r="G125" s="4" t="s">
        <v>2848</v>
      </c>
      <c r="H125" s="4" t="s">
        <v>421</v>
      </c>
    </row>
    <row r="126" spans="2:8" hidden="1">
      <c r="B126" s="4" t="s">
        <v>142</v>
      </c>
      <c r="C126" s="4" t="s">
        <v>784</v>
      </c>
      <c r="D126" s="6" t="s">
        <v>935</v>
      </c>
      <c r="E126" s="4" t="s">
        <v>2021</v>
      </c>
      <c r="F126" s="4"/>
      <c r="G126" s="4" t="s">
        <v>2022</v>
      </c>
      <c r="H126" s="4" t="s">
        <v>421</v>
      </c>
    </row>
    <row r="127" spans="2:8" hidden="1">
      <c r="B127" s="4" t="s">
        <v>177</v>
      </c>
      <c r="C127" s="4" t="s">
        <v>784</v>
      </c>
      <c r="D127" s="5" t="s">
        <v>418</v>
      </c>
      <c r="E127" s="4" t="s">
        <v>2849</v>
      </c>
      <c r="F127" s="4"/>
      <c r="G127" s="4" t="s">
        <v>1784</v>
      </c>
      <c r="H127" s="4" t="s">
        <v>421</v>
      </c>
    </row>
    <row r="128" spans="2:8" hidden="1">
      <c r="B128" s="4" t="s">
        <v>140</v>
      </c>
      <c r="C128" s="4" t="s">
        <v>784</v>
      </c>
      <c r="D128" s="6" t="s">
        <v>990</v>
      </c>
      <c r="E128" s="4" t="s">
        <v>2850</v>
      </c>
      <c r="F128" s="4"/>
      <c r="G128" s="4" t="s">
        <v>2079</v>
      </c>
      <c r="H128" s="4" t="s">
        <v>421</v>
      </c>
    </row>
    <row r="129" spans="2:8" hidden="1">
      <c r="B129" s="4" t="s">
        <v>212</v>
      </c>
      <c r="C129" s="4" t="s">
        <v>784</v>
      </c>
      <c r="D129" s="5" t="s">
        <v>428</v>
      </c>
      <c r="E129" s="4" t="s">
        <v>429</v>
      </c>
      <c r="F129" s="4"/>
      <c r="G129" s="4" t="s">
        <v>2851</v>
      </c>
      <c r="H129" s="4" t="s">
        <v>421</v>
      </c>
    </row>
    <row r="130" spans="2:8" hidden="1">
      <c r="B130" s="4" t="s">
        <v>164</v>
      </c>
      <c r="C130" s="4" t="s">
        <v>784</v>
      </c>
      <c r="D130" s="5" t="s">
        <v>1498</v>
      </c>
      <c r="E130" s="4" t="s">
        <v>1499</v>
      </c>
      <c r="F130" s="4"/>
      <c r="G130" s="4" t="s">
        <v>2852</v>
      </c>
      <c r="H130" s="4" t="s">
        <v>421</v>
      </c>
    </row>
    <row r="131" spans="2:8" hidden="1">
      <c r="B131" s="4" t="s">
        <v>205</v>
      </c>
      <c r="C131" s="4" t="s">
        <v>784</v>
      </c>
      <c r="D131" s="5" t="s">
        <v>981</v>
      </c>
      <c r="E131" s="4" t="s">
        <v>982</v>
      </c>
      <c r="F131" s="4"/>
      <c r="G131" s="4" t="s">
        <v>2853</v>
      </c>
      <c r="H131" s="4" t="s">
        <v>421</v>
      </c>
    </row>
    <row r="132" spans="2:8" hidden="1">
      <c r="B132" s="4" t="s">
        <v>207</v>
      </c>
      <c r="C132" s="4" t="s">
        <v>784</v>
      </c>
      <c r="D132" s="5" t="s">
        <v>478</v>
      </c>
      <c r="E132" s="4" t="s">
        <v>479</v>
      </c>
      <c r="F132" s="4"/>
      <c r="G132" s="4" t="s">
        <v>1845</v>
      </c>
      <c r="H132" s="4" t="s">
        <v>421</v>
      </c>
    </row>
    <row r="133" spans="2:8" hidden="1">
      <c r="B133" s="4" t="s">
        <v>159</v>
      </c>
      <c r="C133" s="4" t="s">
        <v>784</v>
      </c>
      <c r="D133" s="6" t="s">
        <v>672</v>
      </c>
      <c r="E133" s="4" t="s">
        <v>2854</v>
      </c>
      <c r="F133" s="4"/>
      <c r="G133" s="4" t="s">
        <v>2855</v>
      </c>
      <c r="H133" s="4" t="s">
        <v>421</v>
      </c>
    </row>
    <row r="134" spans="2:8" hidden="1">
      <c r="B134" s="4" t="s">
        <v>199</v>
      </c>
      <c r="C134" s="4" t="s">
        <v>784</v>
      </c>
      <c r="D134" s="5" t="s">
        <v>946</v>
      </c>
      <c r="E134" s="4" t="s">
        <v>947</v>
      </c>
      <c r="F134" s="4"/>
      <c r="G134" s="4" t="s">
        <v>2035</v>
      </c>
      <c r="H134" s="4" t="s">
        <v>421</v>
      </c>
    </row>
    <row r="135" spans="2:8" hidden="1">
      <c r="B135" s="4" t="s">
        <v>147</v>
      </c>
      <c r="C135" s="4" t="s">
        <v>784</v>
      </c>
      <c r="D135" s="5" t="s">
        <v>1275</v>
      </c>
      <c r="E135" s="4" t="s">
        <v>1276</v>
      </c>
      <c r="F135" s="4"/>
      <c r="G135" s="4" t="s">
        <v>2856</v>
      </c>
      <c r="H135" s="4" t="s">
        <v>421</v>
      </c>
    </row>
    <row r="136" spans="2:8" hidden="1">
      <c r="B136" s="4" t="s">
        <v>175</v>
      </c>
      <c r="C136" s="4" t="s">
        <v>784</v>
      </c>
      <c r="D136" s="5" t="s">
        <v>1171</v>
      </c>
      <c r="E136" s="4" t="s">
        <v>1172</v>
      </c>
      <c r="F136" s="4"/>
      <c r="G136" s="4" t="s">
        <v>2268</v>
      </c>
      <c r="H136" s="4" t="s">
        <v>421</v>
      </c>
    </row>
    <row r="137" spans="2:8" hidden="1">
      <c r="B137" s="4" t="s">
        <v>2857</v>
      </c>
      <c r="C137" s="4" t="s">
        <v>784</v>
      </c>
      <c r="D137" s="5" t="s">
        <v>2858</v>
      </c>
      <c r="E137" s="4" t="s">
        <v>2859</v>
      </c>
      <c r="F137" s="4"/>
      <c r="G137" s="4"/>
      <c r="H137" s="4" t="s">
        <v>2612</v>
      </c>
    </row>
    <row r="138" spans="2:8" hidden="1">
      <c r="B138" s="4" t="s">
        <v>2860</v>
      </c>
      <c r="C138" s="4" t="s">
        <v>784</v>
      </c>
      <c r="D138" s="6" t="s">
        <v>2861</v>
      </c>
      <c r="E138" s="4" t="s">
        <v>2862</v>
      </c>
      <c r="F138" s="4"/>
      <c r="G138" s="4" t="s">
        <v>2863</v>
      </c>
      <c r="H138" s="4" t="s">
        <v>2618</v>
      </c>
    </row>
    <row r="139" spans="2:8" hidden="1">
      <c r="B139" s="4" t="s">
        <v>2864</v>
      </c>
      <c r="C139" s="4" t="s">
        <v>784</v>
      </c>
      <c r="D139" s="5" t="s">
        <v>2865</v>
      </c>
      <c r="E139" s="4" t="s">
        <v>2866</v>
      </c>
      <c r="F139" s="4"/>
      <c r="G139" s="4" t="s">
        <v>2867</v>
      </c>
      <c r="H139" s="4" t="s">
        <v>2868</v>
      </c>
    </row>
    <row r="140" spans="2:8" hidden="1">
      <c r="B140" s="4" t="s">
        <v>2869</v>
      </c>
      <c r="C140" s="4" t="s">
        <v>784</v>
      </c>
      <c r="D140" s="5" t="s">
        <v>2870</v>
      </c>
      <c r="E140" s="4" t="s">
        <v>2871</v>
      </c>
      <c r="F140" s="4"/>
      <c r="G140" s="4" t="s">
        <v>2872</v>
      </c>
      <c r="H140" s="4" t="s">
        <v>2618</v>
      </c>
    </row>
    <row r="141" spans="2:8" hidden="1">
      <c r="B141" s="4" t="s">
        <v>2873</v>
      </c>
      <c r="C141" s="4" t="s">
        <v>784</v>
      </c>
      <c r="D141" s="6" t="s">
        <v>2874</v>
      </c>
      <c r="E141" s="4" t="s">
        <v>2875</v>
      </c>
      <c r="F141" s="4"/>
      <c r="G141" s="4" t="s">
        <v>2876</v>
      </c>
      <c r="H141" s="4" t="s">
        <v>2618</v>
      </c>
    </row>
    <row r="142" spans="2:8" hidden="1">
      <c r="B142" s="4" t="s">
        <v>2877</v>
      </c>
      <c r="C142" s="4" t="s">
        <v>784</v>
      </c>
      <c r="D142" s="5" t="s">
        <v>2878</v>
      </c>
      <c r="E142" s="4" t="s">
        <v>2879</v>
      </c>
      <c r="F142" s="4"/>
      <c r="G142" s="4" t="s">
        <v>2880</v>
      </c>
      <c r="H142" s="4" t="s">
        <v>2618</v>
      </c>
    </row>
    <row r="143" spans="2:8" hidden="1">
      <c r="B143" s="4" t="s">
        <v>2881</v>
      </c>
      <c r="C143" s="4" t="s">
        <v>784</v>
      </c>
      <c r="D143" s="5" t="s">
        <v>2882</v>
      </c>
      <c r="E143" s="4" t="s">
        <v>2883</v>
      </c>
      <c r="F143" s="4"/>
      <c r="G143" s="4" t="s">
        <v>2884</v>
      </c>
      <c r="H143" s="4" t="s">
        <v>2618</v>
      </c>
    </row>
    <row r="144" spans="2:8" hidden="1">
      <c r="B144" s="4" t="s">
        <v>2885</v>
      </c>
      <c r="C144" s="4" t="s">
        <v>784</v>
      </c>
      <c r="D144" s="5" t="s">
        <v>2886</v>
      </c>
      <c r="E144" s="4" t="s">
        <v>2887</v>
      </c>
      <c r="F144" s="4"/>
      <c r="G144" s="4" t="s">
        <v>2888</v>
      </c>
      <c r="H144" s="4" t="s">
        <v>2618</v>
      </c>
    </row>
    <row r="145" spans="2:8" hidden="1">
      <c r="B145" s="4" t="s">
        <v>2889</v>
      </c>
      <c r="C145" s="4" t="s">
        <v>784</v>
      </c>
      <c r="D145" s="5" t="s">
        <v>2890</v>
      </c>
      <c r="E145" s="4" t="s">
        <v>2891</v>
      </c>
      <c r="F145" s="4"/>
      <c r="G145" s="4" t="s">
        <v>2892</v>
      </c>
      <c r="H145" s="4" t="s">
        <v>2618</v>
      </c>
    </row>
    <row r="146" spans="2:8" hidden="1">
      <c r="B146" s="4" t="s">
        <v>2893</v>
      </c>
      <c r="C146" s="4" t="s">
        <v>784</v>
      </c>
      <c r="D146" s="5" t="s">
        <v>2894</v>
      </c>
      <c r="E146" s="4" t="s">
        <v>2895</v>
      </c>
      <c r="F146" s="4"/>
      <c r="G146" s="4" t="s">
        <v>2896</v>
      </c>
      <c r="H146" s="4" t="s">
        <v>2618</v>
      </c>
    </row>
    <row r="147" spans="2:8" hidden="1">
      <c r="B147" s="4" t="s">
        <v>2897</v>
      </c>
      <c r="C147" s="4" t="s">
        <v>784</v>
      </c>
      <c r="D147" s="5" t="s">
        <v>2898</v>
      </c>
      <c r="E147" s="4" t="s">
        <v>2899</v>
      </c>
      <c r="F147" s="4"/>
      <c r="G147" s="4" t="s">
        <v>2900</v>
      </c>
      <c r="H147" s="4" t="s">
        <v>2868</v>
      </c>
    </row>
    <row r="148" spans="2:8" hidden="1">
      <c r="B148" s="4" t="s">
        <v>2901</v>
      </c>
      <c r="C148" s="4" t="s">
        <v>784</v>
      </c>
      <c r="D148" s="6" t="s">
        <v>2902</v>
      </c>
      <c r="E148" s="4" t="s">
        <v>2903</v>
      </c>
      <c r="F148" s="4"/>
      <c r="G148" s="4" t="s">
        <v>2904</v>
      </c>
      <c r="H148" s="4" t="s">
        <v>2618</v>
      </c>
    </row>
    <row r="149" spans="2:8" hidden="1">
      <c r="B149" s="4" t="s">
        <v>2905</v>
      </c>
      <c r="C149" s="4" t="s">
        <v>784</v>
      </c>
      <c r="D149" s="5" t="s">
        <v>2906</v>
      </c>
      <c r="E149" s="4" t="s">
        <v>2907</v>
      </c>
      <c r="F149" s="4"/>
      <c r="G149" s="4" t="s">
        <v>2908</v>
      </c>
      <c r="H149" s="4" t="s">
        <v>1039</v>
      </c>
    </row>
    <row r="150" spans="2:8" hidden="1">
      <c r="B150" s="4" t="s">
        <v>2909</v>
      </c>
      <c r="C150" s="4" t="s">
        <v>784</v>
      </c>
      <c r="D150" s="5" t="s">
        <v>2910</v>
      </c>
      <c r="E150" s="4" t="s">
        <v>2911</v>
      </c>
      <c r="F150" s="4"/>
      <c r="G150" s="4" t="s">
        <v>2912</v>
      </c>
      <c r="H150" s="4" t="s">
        <v>2868</v>
      </c>
    </row>
    <row r="151" spans="2:8" hidden="1">
      <c r="B151" s="4" t="s">
        <v>2913</v>
      </c>
      <c r="C151" s="4" t="s">
        <v>784</v>
      </c>
      <c r="D151" s="5" t="s">
        <v>2914</v>
      </c>
      <c r="E151" s="4" t="s">
        <v>2915</v>
      </c>
      <c r="F151" s="4"/>
      <c r="G151" s="4" t="s">
        <v>2916</v>
      </c>
      <c r="H151" s="4" t="s">
        <v>2618</v>
      </c>
    </row>
    <row r="152" spans="2:8" hidden="1">
      <c r="B152" s="4" t="s">
        <v>2917</v>
      </c>
      <c r="C152" s="4" t="s">
        <v>784</v>
      </c>
      <c r="D152" s="5" t="s">
        <v>2918</v>
      </c>
      <c r="E152" s="4" t="s">
        <v>2919</v>
      </c>
      <c r="F152" s="4"/>
      <c r="G152" s="4" t="s">
        <v>2920</v>
      </c>
      <c r="H152" s="4" t="s">
        <v>2618</v>
      </c>
    </row>
    <row r="153" spans="2:8" hidden="1">
      <c r="B153" s="4" t="s">
        <v>2921</v>
      </c>
      <c r="C153" s="4" t="s">
        <v>784</v>
      </c>
      <c r="D153" s="6" t="s">
        <v>2922</v>
      </c>
      <c r="E153" s="4" t="s">
        <v>2923</v>
      </c>
      <c r="F153" s="4"/>
      <c r="G153" s="4" t="s">
        <v>2924</v>
      </c>
      <c r="H153" s="4" t="s">
        <v>2618</v>
      </c>
    </row>
    <row r="154" spans="2:8" hidden="1">
      <c r="B154" s="4" t="s">
        <v>2925</v>
      </c>
      <c r="C154" s="4" t="s">
        <v>784</v>
      </c>
      <c r="D154" s="5" t="s">
        <v>2926</v>
      </c>
      <c r="E154" s="4" t="s">
        <v>2927</v>
      </c>
      <c r="F154" s="4"/>
      <c r="G154" s="4" t="s">
        <v>2928</v>
      </c>
      <c r="H154" s="4" t="s">
        <v>2618</v>
      </c>
    </row>
    <row r="155" spans="2:8" hidden="1">
      <c r="B155" s="4" t="s">
        <v>2929</v>
      </c>
      <c r="C155" s="4" t="s">
        <v>784</v>
      </c>
      <c r="D155" s="5" t="s">
        <v>2930</v>
      </c>
      <c r="E155" s="4" t="s">
        <v>2931</v>
      </c>
      <c r="F155" s="4"/>
      <c r="G155" s="4" t="s">
        <v>2932</v>
      </c>
      <c r="H155" s="4" t="s">
        <v>2618</v>
      </c>
    </row>
    <row r="156" spans="2:8" hidden="1">
      <c r="B156" s="4" t="s">
        <v>2933</v>
      </c>
      <c r="C156" s="4" t="s">
        <v>784</v>
      </c>
      <c r="D156" s="6" t="s">
        <v>2934</v>
      </c>
      <c r="E156" s="4" t="s">
        <v>2935</v>
      </c>
      <c r="F156" s="4"/>
      <c r="G156" s="4" t="s">
        <v>2936</v>
      </c>
      <c r="H156" s="4" t="s">
        <v>2618</v>
      </c>
    </row>
    <row r="157" spans="2:8" hidden="1">
      <c r="B157" s="4" t="s">
        <v>2937</v>
      </c>
      <c r="C157" s="4" t="s">
        <v>784</v>
      </c>
      <c r="D157" s="6" t="s">
        <v>2938</v>
      </c>
      <c r="E157" s="4" t="s">
        <v>2939</v>
      </c>
      <c r="F157" s="4"/>
      <c r="G157" s="4" t="s">
        <v>2940</v>
      </c>
      <c r="H157" s="4" t="s">
        <v>2618</v>
      </c>
    </row>
    <row r="158" spans="2:8" hidden="1">
      <c r="B158" s="4" t="s">
        <v>2941</v>
      </c>
      <c r="C158" s="4" t="s">
        <v>784</v>
      </c>
      <c r="D158" s="5" t="s">
        <v>2942</v>
      </c>
      <c r="E158" s="4" t="s">
        <v>2943</v>
      </c>
      <c r="F158" s="4"/>
      <c r="G158" s="4" t="s">
        <v>2944</v>
      </c>
      <c r="H158" s="4" t="s">
        <v>2618</v>
      </c>
    </row>
    <row r="159" spans="2:8" hidden="1">
      <c r="B159" s="4" t="s">
        <v>2945</v>
      </c>
      <c r="C159" s="4" t="s">
        <v>784</v>
      </c>
      <c r="D159" s="6" t="s">
        <v>2946</v>
      </c>
      <c r="E159" s="4" t="s">
        <v>2947</v>
      </c>
      <c r="F159" s="4"/>
      <c r="G159" s="4" t="s">
        <v>2948</v>
      </c>
      <c r="H159" s="4" t="s">
        <v>2618</v>
      </c>
    </row>
    <row r="160" spans="2:8" hidden="1">
      <c r="B160" s="4" t="s">
        <v>2949</v>
      </c>
      <c r="C160" s="4" t="s">
        <v>784</v>
      </c>
      <c r="D160" s="5" t="s">
        <v>2950</v>
      </c>
      <c r="E160" s="4" t="s">
        <v>2951</v>
      </c>
      <c r="F160" s="4"/>
      <c r="G160" s="4" t="s">
        <v>2952</v>
      </c>
      <c r="H160" s="4" t="s">
        <v>2618</v>
      </c>
    </row>
    <row r="161" spans="2:8" hidden="1">
      <c r="B161" s="4" t="s">
        <v>2953</v>
      </c>
      <c r="C161" s="4" t="s">
        <v>784</v>
      </c>
      <c r="D161" s="5" t="s">
        <v>2954</v>
      </c>
      <c r="E161" s="4" t="s">
        <v>2955</v>
      </c>
      <c r="F161" s="4"/>
      <c r="G161" s="4" t="s">
        <v>2956</v>
      </c>
      <c r="H161" s="4" t="s">
        <v>2618</v>
      </c>
    </row>
    <row r="162" spans="2:8" hidden="1">
      <c r="B162" s="4" t="s">
        <v>2957</v>
      </c>
      <c r="C162" s="4" t="s">
        <v>784</v>
      </c>
      <c r="D162" s="5" t="s">
        <v>2958</v>
      </c>
      <c r="E162" s="4" t="s">
        <v>2959</v>
      </c>
      <c r="F162" s="4"/>
      <c r="G162" s="4" t="s">
        <v>2960</v>
      </c>
      <c r="H162" s="4" t="s">
        <v>2868</v>
      </c>
    </row>
    <row r="163" spans="2:8" hidden="1">
      <c r="B163" s="4" t="s">
        <v>2961</v>
      </c>
      <c r="C163" s="4" t="s">
        <v>784</v>
      </c>
      <c r="D163" s="5" t="s">
        <v>2962</v>
      </c>
      <c r="E163" s="4" t="s">
        <v>2963</v>
      </c>
      <c r="F163" s="4"/>
      <c r="G163" s="4" t="s">
        <v>2964</v>
      </c>
      <c r="H163" s="4" t="s">
        <v>2618</v>
      </c>
    </row>
    <row r="164" spans="2:8" hidden="1">
      <c r="B164" s="4" t="s">
        <v>2965</v>
      </c>
      <c r="C164" s="4" t="s">
        <v>784</v>
      </c>
      <c r="D164" s="5" t="s">
        <v>2966</v>
      </c>
      <c r="E164" s="4" t="s">
        <v>2967</v>
      </c>
      <c r="F164" s="4"/>
      <c r="G164" s="4" t="s">
        <v>2968</v>
      </c>
      <c r="H164" s="4" t="s">
        <v>2618</v>
      </c>
    </row>
    <row r="165" spans="2:8" hidden="1">
      <c r="B165" s="4" t="s">
        <v>2969</v>
      </c>
      <c r="C165" s="4" t="s">
        <v>784</v>
      </c>
      <c r="D165" s="5" t="s">
        <v>2970</v>
      </c>
      <c r="E165" s="4" t="s">
        <v>2971</v>
      </c>
      <c r="F165" s="4"/>
      <c r="G165" s="4" t="s">
        <v>2972</v>
      </c>
      <c r="H165" s="4" t="s">
        <v>2618</v>
      </c>
    </row>
    <row r="166" spans="2:8" hidden="1">
      <c r="B166" s="4" t="s">
        <v>2973</v>
      </c>
      <c r="C166" s="4" t="s">
        <v>784</v>
      </c>
      <c r="D166" s="5" t="s">
        <v>2974</v>
      </c>
      <c r="E166" s="4" t="s">
        <v>2975</v>
      </c>
      <c r="F166" s="4"/>
      <c r="G166" s="4" t="s">
        <v>2976</v>
      </c>
      <c r="H166" s="4" t="s">
        <v>2618</v>
      </c>
    </row>
    <row r="167" spans="2:8" hidden="1">
      <c r="B167" s="4" t="s">
        <v>2977</v>
      </c>
      <c r="C167" s="4" t="s">
        <v>784</v>
      </c>
      <c r="D167" s="6" t="s">
        <v>2978</v>
      </c>
      <c r="E167" s="4" t="s">
        <v>2979</v>
      </c>
      <c r="F167" s="4"/>
      <c r="G167" s="4" t="s">
        <v>2980</v>
      </c>
      <c r="H167" s="4" t="s">
        <v>2618</v>
      </c>
    </row>
    <row r="168" spans="2:8" hidden="1">
      <c r="B168" s="4" t="s">
        <v>2981</v>
      </c>
      <c r="C168" s="4" t="s">
        <v>784</v>
      </c>
      <c r="D168" s="5" t="s">
        <v>2982</v>
      </c>
      <c r="E168" s="4" t="s">
        <v>2983</v>
      </c>
      <c r="F168" s="4"/>
      <c r="G168" s="4" t="s">
        <v>2984</v>
      </c>
      <c r="H168" s="4" t="s">
        <v>2868</v>
      </c>
    </row>
    <row r="169" spans="2:8" hidden="1">
      <c r="B169" s="4" t="s">
        <v>2985</v>
      </c>
      <c r="C169" s="4" t="s">
        <v>784</v>
      </c>
      <c r="D169" s="5" t="s">
        <v>2986</v>
      </c>
      <c r="E169" s="4" t="s">
        <v>2987</v>
      </c>
      <c r="F169" s="4"/>
      <c r="G169" s="4" t="s">
        <v>2988</v>
      </c>
      <c r="H169" s="4" t="s">
        <v>2618</v>
      </c>
    </row>
    <row r="170" spans="2:8" hidden="1">
      <c r="B170" s="4" t="s">
        <v>2989</v>
      </c>
      <c r="C170" s="4" t="s">
        <v>784</v>
      </c>
      <c r="D170" s="5" t="s">
        <v>2990</v>
      </c>
      <c r="E170" s="4" t="s">
        <v>2991</v>
      </c>
      <c r="F170" s="4"/>
      <c r="G170" s="4" t="s">
        <v>2992</v>
      </c>
      <c r="H170" s="4" t="s">
        <v>2868</v>
      </c>
    </row>
    <row r="171" spans="2:8" hidden="1">
      <c r="B171" s="4" t="s">
        <v>2993</v>
      </c>
      <c r="C171" s="4" t="s">
        <v>2994</v>
      </c>
      <c r="D171" s="5" t="s">
        <v>2995</v>
      </c>
      <c r="E171" s="4" t="s">
        <v>2996</v>
      </c>
      <c r="F171" s="4"/>
      <c r="G171" s="4" t="s">
        <v>2997</v>
      </c>
      <c r="H171" s="4" t="s">
        <v>2612</v>
      </c>
    </row>
    <row r="172" spans="2:8" hidden="1">
      <c r="B172" s="4" t="s">
        <v>2998</v>
      </c>
      <c r="C172" s="4" t="s">
        <v>784</v>
      </c>
      <c r="D172" s="6" t="s">
        <v>2999</v>
      </c>
      <c r="E172" s="4" t="s">
        <v>3000</v>
      </c>
      <c r="F172" s="4"/>
      <c r="G172" s="4" t="s">
        <v>3001</v>
      </c>
      <c r="H172" s="4" t="s">
        <v>2612</v>
      </c>
    </row>
    <row r="173" spans="2:8" hidden="1">
      <c r="B173" s="4" t="s">
        <v>3002</v>
      </c>
      <c r="C173" s="4" t="s">
        <v>784</v>
      </c>
      <c r="D173" s="5" t="s">
        <v>3003</v>
      </c>
      <c r="E173" s="4" t="s">
        <v>3004</v>
      </c>
      <c r="F173" s="4"/>
      <c r="G173" s="4" t="s">
        <v>3001</v>
      </c>
      <c r="H173" s="4" t="s">
        <v>2612</v>
      </c>
    </row>
    <row r="174" spans="2:8" hidden="1">
      <c r="B174" s="4" t="s">
        <v>3005</v>
      </c>
      <c r="C174" s="4" t="s">
        <v>784</v>
      </c>
      <c r="D174" s="5" t="s">
        <v>3006</v>
      </c>
      <c r="E174" s="4" t="s">
        <v>3007</v>
      </c>
      <c r="F174" s="4"/>
      <c r="G174" s="4" t="s">
        <v>3008</v>
      </c>
      <c r="H174" s="4" t="s">
        <v>2612</v>
      </c>
    </row>
    <row r="175" spans="2:8" hidden="1">
      <c r="B175" s="4" t="s">
        <v>3009</v>
      </c>
      <c r="C175" s="4" t="s">
        <v>784</v>
      </c>
      <c r="D175" s="5" t="s">
        <v>3010</v>
      </c>
      <c r="E175" s="4" t="s">
        <v>3011</v>
      </c>
      <c r="F175" s="4"/>
      <c r="G175" s="4" t="s">
        <v>3012</v>
      </c>
      <c r="H175" s="4" t="s">
        <v>2612</v>
      </c>
    </row>
    <row r="176" spans="2:8" hidden="1">
      <c r="B176" s="4" t="s">
        <v>3013</v>
      </c>
      <c r="C176" s="4" t="s">
        <v>784</v>
      </c>
      <c r="D176" s="5" t="s">
        <v>3014</v>
      </c>
      <c r="E176" s="4" t="s">
        <v>3015</v>
      </c>
      <c r="F176" s="4"/>
      <c r="G176" s="4" t="s">
        <v>3016</v>
      </c>
      <c r="H176" s="4" t="s">
        <v>2612</v>
      </c>
    </row>
    <row r="177" spans="2:8" hidden="1">
      <c r="B177" s="4" t="s">
        <v>3017</v>
      </c>
      <c r="C177" s="4" t="s">
        <v>784</v>
      </c>
      <c r="D177" s="5" t="s">
        <v>3018</v>
      </c>
      <c r="E177" s="4" t="s">
        <v>3019</v>
      </c>
      <c r="F177" s="4"/>
      <c r="G177" s="4" t="s">
        <v>3020</v>
      </c>
      <c r="H177" s="4" t="s">
        <v>2612</v>
      </c>
    </row>
    <row r="178" spans="2:8" hidden="1">
      <c r="B178" s="4" t="s">
        <v>3021</v>
      </c>
      <c r="C178" s="4" t="s">
        <v>784</v>
      </c>
      <c r="D178" s="5" t="s">
        <v>3022</v>
      </c>
      <c r="E178" s="4" t="s">
        <v>3023</v>
      </c>
      <c r="F178" s="4"/>
      <c r="G178" s="4" t="s">
        <v>3024</v>
      </c>
      <c r="H178" s="4" t="s">
        <v>2612</v>
      </c>
    </row>
    <row r="179" spans="2:8" hidden="1">
      <c r="B179" s="4" t="s">
        <v>3025</v>
      </c>
      <c r="C179" s="4" t="s">
        <v>1441</v>
      </c>
      <c r="D179" s="5" t="s">
        <v>3026</v>
      </c>
      <c r="E179" s="4" t="s">
        <v>3027</v>
      </c>
      <c r="F179" s="4"/>
      <c r="G179" s="4" t="s">
        <v>3028</v>
      </c>
      <c r="H179" s="4" t="s">
        <v>2612</v>
      </c>
    </row>
    <row r="180" spans="2:8">
      <c r="B180" s="4" t="s">
        <v>3029</v>
      </c>
      <c r="C180" s="4" t="s">
        <v>1563</v>
      </c>
      <c r="D180" s="5" t="s">
        <v>3030</v>
      </c>
      <c r="E180" s="4" t="s">
        <v>3031</v>
      </c>
      <c r="F180" s="4"/>
      <c r="G180" s="4" t="s">
        <v>3032</v>
      </c>
      <c r="H180" s="4" t="s">
        <v>2612</v>
      </c>
    </row>
    <row r="181" spans="2:8">
      <c r="B181" s="4" t="s">
        <v>3033</v>
      </c>
      <c r="C181" s="4" t="s">
        <v>1563</v>
      </c>
      <c r="D181" s="5" t="s">
        <v>3034</v>
      </c>
      <c r="E181" s="4" t="s">
        <v>3035</v>
      </c>
      <c r="F181" s="4"/>
      <c r="G181" s="4" t="s">
        <v>3036</v>
      </c>
      <c r="H181" s="4" t="s">
        <v>2612</v>
      </c>
    </row>
    <row r="182" spans="2:8">
      <c r="B182" s="4" t="s">
        <v>3037</v>
      </c>
      <c r="C182" s="4" t="s">
        <v>1563</v>
      </c>
      <c r="D182" s="5" t="s">
        <v>1644</v>
      </c>
      <c r="E182" s="4" t="s">
        <v>3038</v>
      </c>
      <c r="F182" s="4"/>
      <c r="G182" s="4" t="s">
        <v>3036</v>
      </c>
      <c r="H182" s="4" t="s">
        <v>2612</v>
      </c>
    </row>
    <row r="183" spans="2:8" hidden="1">
      <c r="B183" s="4" t="s">
        <v>3039</v>
      </c>
      <c r="C183" s="4" t="s">
        <v>784</v>
      </c>
      <c r="D183" s="6" t="s">
        <v>3040</v>
      </c>
      <c r="E183" s="4" t="s">
        <v>3041</v>
      </c>
      <c r="F183" s="4"/>
      <c r="G183" s="4" t="s">
        <v>3042</v>
      </c>
      <c r="H183" s="4" t="s">
        <v>2612</v>
      </c>
    </row>
    <row r="184" spans="2:8" hidden="1">
      <c r="B184" s="4" t="s">
        <v>3043</v>
      </c>
      <c r="C184" s="4" t="s">
        <v>784</v>
      </c>
      <c r="D184" s="6" t="s">
        <v>3044</v>
      </c>
      <c r="E184" s="4" t="s">
        <v>3045</v>
      </c>
      <c r="F184" s="4"/>
      <c r="G184" s="4" t="s">
        <v>3046</v>
      </c>
      <c r="H184" s="4" t="s">
        <v>2612</v>
      </c>
    </row>
    <row r="185" spans="2:8" hidden="1">
      <c r="B185" s="4" t="s">
        <v>3047</v>
      </c>
      <c r="C185" s="4" t="s">
        <v>784</v>
      </c>
      <c r="D185" s="5" t="s">
        <v>3048</v>
      </c>
      <c r="E185" s="4" t="s">
        <v>3049</v>
      </c>
      <c r="F185" s="4"/>
      <c r="G185" s="4" t="s">
        <v>3050</v>
      </c>
      <c r="H185" s="4" t="s">
        <v>2612</v>
      </c>
    </row>
    <row r="186" spans="2:8" hidden="1">
      <c r="B186" s="4" t="s">
        <v>3051</v>
      </c>
      <c r="C186" s="4" t="s">
        <v>784</v>
      </c>
      <c r="D186" s="5" t="s">
        <v>3052</v>
      </c>
      <c r="E186" s="4" t="s">
        <v>3053</v>
      </c>
      <c r="F186" s="4"/>
      <c r="G186" s="4" t="s">
        <v>3054</v>
      </c>
      <c r="H186" s="4" t="s">
        <v>2612</v>
      </c>
    </row>
    <row r="187" spans="2:8" hidden="1">
      <c r="B187" s="4" t="s">
        <v>3055</v>
      </c>
      <c r="C187" s="4" t="s">
        <v>784</v>
      </c>
      <c r="D187" s="5" t="s">
        <v>3056</v>
      </c>
      <c r="E187" s="4" t="s">
        <v>3057</v>
      </c>
      <c r="F187" s="4"/>
      <c r="G187" s="4" t="s">
        <v>3058</v>
      </c>
      <c r="H187" s="4" t="s">
        <v>2612</v>
      </c>
    </row>
    <row r="188" spans="2:8" hidden="1">
      <c r="B188" s="4" t="s">
        <v>3059</v>
      </c>
      <c r="C188" s="4" t="s">
        <v>784</v>
      </c>
      <c r="D188" s="5" t="s">
        <v>3060</v>
      </c>
      <c r="E188" s="4" t="s">
        <v>3061</v>
      </c>
      <c r="F188" s="4"/>
      <c r="G188" s="4" t="s">
        <v>3062</v>
      </c>
      <c r="H188" s="4" t="s">
        <v>2612</v>
      </c>
    </row>
    <row r="189" spans="2:8" hidden="1">
      <c r="B189" s="4" t="s">
        <v>3063</v>
      </c>
      <c r="C189" s="4" t="s">
        <v>784</v>
      </c>
      <c r="D189" s="6" t="s">
        <v>3064</v>
      </c>
      <c r="E189" s="4" t="s">
        <v>3065</v>
      </c>
      <c r="F189" s="4"/>
      <c r="G189" s="4" t="s">
        <v>3066</v>
      </c>
      <c r="H189" s="4" t="s">
        <v>2612</v>
      </c>
    </row>
    <row r="190" spans="2:8" hidden="1">
      <c r="B190" s="4" t="s">
        <v>3067</v>
      </c>
      <c r="C190" s="4" t="s">
        <v>784</v>
      </c>
      <c r="D190" s="5" t="s">
        <v>3068</v>
      </c>
      <c r="E190" s="4" t="s">
        <v>3069</v>
      </c>
      <c r="F190" s="4"/>
      <c r="G190" s="4" t="s">
        <v>3070</v>
      </c>
      <c r="H190" s="4" t="s">
        <v>2612</v>
      </c>
    </row>
    <row r="191" spans="2:8" hidden="1">
      <c r="B191" s="4" t="s">
        <v>3071</v>
      </c>
      <c r="C191" s="4" t="s">
        <v>784</v>
      </c>
      <c r="D191" s="5" t="s">
        <v>3072</v>
      </c>
      <c r="E191" s="4" t="s">
        <v>3073</v>
      </c>
      <c r="F191" s="4"/>
      <c r="G191" s="4" t="s">
        <v>3074</v>
      </c>
      <c r="H191" s="4" t="s">
        <v>2612</v>
      </c>
    </row>
    <row r="192" spans="2:8" hidden="1">
      <c r="B192" s="4" t="s">
        <v>3075</v>
      </c>
      <c r="C192" s="4" t="s">
        <v>784</v>
      </c>
      <c r="D192" s="5" t="s">
        <v>3076</v>
      </c>
      <c r="E192" s="4" t="s">
        <v>3077</v>
      </c>
      <c r="F192" s="4"/>
      <c r="G192" s="4" t="s">
        <v>3078</v>
      </c>
      <c r="H192" s="4" t="s">
        <v>2612</v>
      </c>
    </row>
    <row r="193" spans="2:8" hidden="1">
      <c r="B193" s="4" t="s">
        <v>3079</v>
      </c>
      <c r="C193" s="4" t="s">
        <v>784</v>
      </c>
      <c r="D193" s="5" t="s">
        <v>3080</v>
      </c>
      <c r="E193" s="4" t="s">
        <v>3081</v>
      </c>
      <c r="F193" s="4"/>
      <c r="G193" s="4" t="s">
        <v>3082</v>
      </c>
      <c r="H193" s="4" t="s">
        <v>2612</v>
      </c>
    </row>
    <row r="194" spans="2:8" hidden="1">
      <c r="B194" s="4" t="s">
        <v>3083</v>
      </c>
      <c r="C194" s="4" t="s">
        <v>784</v>
      </c>
      <c r="D194" s="5" t="s">
        <v>1640</v>
      </c>
      <c r="E194" s="4" t="s">
        <v>3084</v>
      </c>
      <c r="F194" s="4"/>
      <c r="G194" s="4" t="s">
        <v>3085</v>
      </c>
      <c r="H194" s="4" t="s">
        <v>2612</v>
      </c>
    </row>
    <row r="195" spans="2:8" hidden="1">
      <c r="B195" s="4" t="s">
        <v>3086</v>
      </c>
      <c r="C195" s="4" t="s">
        <v>784</v>
      </c>
      <c r="D195" s="5" t="s">
        <v>3087</v>
      </c>
      <c r="E195" s="4" t="s">
        <v>3088</v>
      </c>
      <c r="F195" s="4"/>
      <c r="G195" s="4" t="s">
        <v>3089</v>
      </c>
      <c r="H195" s="4" t="s">
        <v>2612</v>
      </c>
    </row>
    <row r="196" spans="2:8" hidden="1">
      <c r="B196" s="4" t="s">
        <v>3090</v>
      </c>
      <c r="C196" s="4" t="s">
        <v>784</v>
      </c>
      <c r="D196" s="6" t="s">
        <v>3091</v>
      </c>
      <c r="E196" s="4" t="s">
        <v>3092</v>
      </c>
      <c r="F196" s="4"/>
      <c r="G196" s="4" t="s">
        <v>3093</v>
      </c>
      <c r="H196" s="4" t="s">
        <v>2612</v>
      </c>
    </row>
    <row r="197" spans="2:8" hidden="1">
      <c r="B197" s="4" t="s">
        <v>3094</v>
      </c>
      <c r="C197" s="4" t="s">
        <v>784</v>
      </c>
      <c r="D197" s="6" t="s">
        <v>3095</v>
      </c>
      <c r="E197" s="4" t="s">
        <v>3096</v>
      </c>
      <c r="F197" s="4"/>
      <c r="G197" s="4" t="s">
        <v>3097</v>
      </c>
      <c r="H197" s="4" t="s">
        <v>2612</v>
      </c>
    </row>
    <row r="198" spans="2:8" hidden="1">
      <c r="B198" s="4" t="s">
        <v>3098</v>
      </c>
      <c r="C198" s="4" t="s">
        <v>784</v>
      </c>
      <c r="D198" s="5" t="s">
        <v>3099</v>
      </c>
      <c r="E198" s="4" t="s">
        <v>3100</v>
      </c>
      <c r="F198" s="4"/>
      <c r="G198" s="4" t="s">
        <v>3101</v>
      </c>
      <c r="H198" s="4" t="s">
        <v>2612</v>
      </c>
    </row>
    <row r="199" spans="2:8" hidden="1">
      <c r="B199" s="4" t="s">
        <v>3102</v>
      </c>
      <c r="C199" s="4" t="s">
        <v>784</v>
      </c>
      <c r="D199" s="5" t="s">
        <v>3103</v>
      </c>
      <c r="E199" s="4" t="s">
        <v>3104</v>
      </c>
      <c r="F199" s="4"/>
      <c r="G199" s="4" t="s">
        <v>3105</v>
      </c>
      <c r="H199" s="4" t="s">
        <v>2612</v>
      </c>
    </row>
    <row r="200" spans="2:8" hidden="1">
      <c r="B200" s="4" t="s">
        <v>3106</v>
      </c>
      <c r="C200" s="4" t="s">
        <v>784</v>
      </c>
      <c r="D200" s="5" t="s">
        <v>3107</v>
      </c>
      <c r="E200" s="4" t="s">
        <v>3108</v>
      </c>
      <c r="F200" s="4"/>
      <c r="G200" s="4" t="s">
        <v>3109</v>
      </c>
      <c r="H200" s="4" t="s">
        <v>2612</v>
      </c>
    </row>
    <row r="201" spans="2:8" hidden="1">
      <c r="B201" s="4" t="s">
        <v>3110</v>
      </c>
      <c r="C201" s="4" t="s">
        <v>784</v>
      </c>
      <c r="D201" s="5" t="s">
        <v>3111</v>
      </c>
      <c r="E201" s="4" t="s">
        <v>3112</v>
      </c>
      <c r="F201" s="4"/>
      <c r="G201" s="4" t="s">
        <v>3113</v>
      </c>
      <c r="H201" s="4" t="s">
        <v>2612</v>
      </c>
    </row>
    <row r="202" spans="2:8" hidden="1">
      <c r="B202" s="4" t="s">
        <v>3114</v>
      </c>
      <c r="C202" s="4" t="s">
        <v>784</v>
      </c>
      <c r="D202" s="6" t="s">
        <v>3115</v>
      </c>
      <c r="E202" s="4" t="s">
        <v>3116</v>
      </c>
      <c r="F202" s="4"/>
      <c r="G202" s="4" t="s">
        <v>3117</v>
      </c>
      <c r="H202" s="4" t="s">
        <v>2612</v>
      </c>
    </row>
    <row r="203" spans="2:8" hidden="1">
      <c r="B203" s="4" t="s">
        <v>3118</v>
      </c>
      <c r="C203" s="4" t="s">
        <v>784</v>
      </c>
      <c r="D203" s="5" t="s">
        <v>3119</v>
      </c>
      <c r="E203" s="4" t="s">
        <v>3120</v>
      </c>
      <c r="F203" s="4"/>
      <c r="G203" s="4" t="s">
        <v>3117</v>
      </c>
      <c r="H203" s="4" t="s">
        <v>2612</v>
      </c>
    </row>
    <row r="204" spans="2:8" hidden="1">
      <c r="B204" s="4" t="s">
        <v>3121</v>
      </c>
      <c r="C204" s="4" t="s">
        <v>784</v>
      </c>
      <c r="D204" s="5" t="s">
        <v>3122</v>
      </c>
      <c r="E204" s="4" t="s">
        <v>3120</v>
      </c>
      <c r="F204" s="4"/>
      <c r="G204" s="4" t="s">
        <v>3117</v>
      </c>
      <c r="H204" s="4" t="s">
        <v>2612</v>
      </c>
    </row>
    <row r="205" spans="2:8" hidden="1">
      <c r="B205" s="4" t="s">
        <v>3123</v>
      </c>
      <c r="C205" s="4" t="s">
        <v>784</v>
      </c>
      <c r="D205" s="5" t="s">
        <v>3124</v>
      </c>
      <c r="E205" s="4" t="s">
        <v>3125</v>
      </c>
      <c r="F205" s="4"/>
      <c r="G205" s="4" t="s">
        <v>3126</v>
      </c>
      <c r="H205" s="4" t="s">
        <v>2612</v>
      </c>
    </row>
    <row r="206" spans="2:8">
      <c r="B206" s="4" t="s">
        <v>3127</v>
      </c>
      <c r="C206" s="4" t="s">
        <v>1563</v>
      </c>
      <c r="D206" s="5" t="s">
        <v>3128</v>
      </c>
      <c r="E206" s="4" t="s">
        <v>3129</v>
      </c>
      <c r="F206" s="4"/>
      <c r="G206" s="4" t="s">
        <v>3130</v>
      </c>
      <c r="H206" s="4" t="s">
        <v>2612</v>
      </c>
    </row>
    <row r="207" spans="2:8" hidden="1">
      <c r="B207" s="4" t="s">
        <v>3131</v>
      </c>
      <c r="C207" s="4" t="s">
        <v>784</v>
      </c>
      <c r="D207" s="6" t="s">
        <v>3132</v>
      </c>
      <c r="E207" s="4" t="s">
        <v>3133</v>
      </c>
      <c r="F207" s="4"/>
      <c r="G207" s="4" t="s">
        <v>3134</v>
      </c>
      <c r="H207" s="4" t="s">
        <v>2612</v>
      </c>
    </row>
    <row r="208" spans="2:8" hidden="1">
      <c r="B208" s="4" t="s">
        <v>3135</v>
      </c>
      <c r="C208" s="4" t="s">
        <v>784</v>
      </c>
      <c r="D208" s="5" t="s">
        <v>3136</v>
      </c>
      <c r="E208" s="4" t="s">
        <v>3137</v>
      </c>
      <c r="F208" s="4"/>
      <c r="G208" s="4" t="s">
        <v>3138</v>
      </c>
      <c r="H208" s="4" t="s">
        <v>2612</v>
      </c>
    </row>
    <row r="209" spans="2:8" hidden="1">
      <c r="B209" s="4" t="s">
        <v>3139</v>
      </c>
      <c r="C209" s="4" t="s">
        <v>784</v>
      </c>
      <c r="D209" s="5" t="s">
        <v>3140</v>
      </c>
      <c r="E209" s="4" t="s">
        <v>3141</v>
      </c>
      <c r="F209" s="4"/>
      <c r="G209" s="4" t="s">
        <v>3142</v>
      </c>
      <c r="H209" s="4" t="s">
        <v>2612</v>
      </c>
    </row>
    <row r="210" spans="2:8" hidden="1">
      <c r="B210" s="4" t="s">
        <v>3143</v>
      </c>
      <c r="C210" s="4" t="s">
        <v>784</v>
      </c>
      <c r="D210" s="5" t="s">
        <v>3128</v>
      </c>
      <c r="E210" s="4" t="s">
        <v>3144</v>
      </c>
      <c r="F210" s="4"/>
      <c r="G210" s="4" t="s">
        <v>3145</v>
      </c>
      <c r="H210" s="4" t="s">
        <v>2612</v>
      </c>
    </row>
    <row r="211" spans="2:8" hidden="1">
      <c r="B211" s="4" t="s">
        <v>3146</v>
      </c>
      <c r="C211" s="4" t="s">
        <v>784</v>
      </c>
      <c r="D211" s="6" t="s">
        <v>3147</v>
      </c>
      <c r="E211" s="4" t="s">
        <v>3148</v>
      </c>
      <c r="F211" s="4"/>
      <c r="G211" s="4" t="s">
        <v>3149</v>
      </c>
      <c r="H211" s="4" t="s">
        <v>2612</v>
      </c>
    </row>
    <row r="212" spans="2:8" hidden="1">
      <c r="B212" s="4" t="s">
        <v>3150</v>
      </c>
      <c r="C212" s="4" t="s">
        <v>784</v>
      </c>
      <c r="D212" s="5" t="s">
        <v>3151</v>
      </c>
      <c r="E212" s="4" t="s">
        <v>3152</v>
      </c>
      <c r="F212" s="4"/>
      <c r="G212" s="4" t="s">
        <v>3153</v>
      </c>
      <c r="H212" s="4" t="s">
        <v>2612</v>
      </c>
    </row>
    <row r="213" spans="2:8" hidden="1">
      <c r="B213" s="4" t="s">
        <v>3154</v>
      </c>
      <c r="C213" s="4" t="s">
        <v>784</v>
      </c>
      <c r="D213" s="5" t="s">
        <v>3155</v>
      </c>
      <c r="E213" s="4" t="s">
        <v>3156</v>
      </c>
      <c r="F213" s="4"/>
      <c r="G213" s="4" t="s">
        <v>3157</v>
      </c>
      <c r="H213" s="4" t="s">
        <v>2612</v>
      </c>
    </row>
    <row r="214" spans="2:8">
      <c r="B214" s="4" t="s">
        <v>3158</v>
      </c>
      <c r="C214" s="4" t="s">
        <v>1563</v>
      </c>
      <c r="D214" s="5" t="s">
        <v>3159</v>
      </c>
      <c r="E214" s="4" t="s">
        <v>3160</v>
      </c>
      <c r="F214" s="4"/>
      <c r="G214" s="4" t="s">
        <v>3161</v>
      </c>
      <c r="H214" s="4" t="s">
        <v>2612</v>
      </c>
    </row>
    <row r="215" spans="2:8" hidden="1">
      <c r="B215" s="4" t="s">
        <v>3162</v>
      </c>
      <c r="C215" s="4" t="s">
        <v>784</v>
      </c>
      <c r="D215" s="6" t="s">
        <v>3163</v>
      </c>
      <c r="E215" s="4" t="s">
        <v>3164</v>
      </c>
      <c r="F215" s="4"/>
      <c r="G215" s="4" t="s">
        <v>3165</v>
      </c>
      <c r="H215" s="4" t="s">
        <v>2612</v>
      </c>
    </row>
    <row r="216" spans="2:8" hidden="1">
      <c r="B216" s="4" t="s">
        <v>3166</v>
      </c>
      <c r="C216" s="4" t="s">
        <v>784</v>
      </c>
      <c r="D216" s="6" t="s">
        <v>3167</v>
      </c>
      <c r="E216" s="4" t="s">
        <v>3168</v>
      </c>
      <c r="F216" s="4"/>
      <c r="G216" s="4" t="s">
        <v>3169</v>
      </c>
      <c r="H216" s="4" t="s">
        <v>2612</v>
      </c>
    </row>
    <row r="217" spans="2:8" hidden="1">
      <c r="B217" s="4" t="s">
        <v>3170</v>
      </c>
      <c r="C217" s="4" t="s">
        <v>784</v>
      </c>
      <c r="D217" s="5" t="s">
        <v>3171</v>
      </c>
      <c r="E217" s="4" t="s">
        <v>3172</v>
      </c>
      <c r="F217" s="4"/>
      <c r="G217" s="4" t="s">
        <v>3173</v>
      </c>
      <c r="H217" s="4" t="s">
        <v>2612</v>
      </c>
    </row>
    <row r="218" spans="2:8" hidden="1">
      <c r="B218" s="4" t="s">
        <v>3174</v>
      </c>
      <c r="C218" s="4" t="s">
        <v>784</v>
      </c>
      <c r="D218" s="5" t="s">
        <v>3175</v>
      </c>
      <c r="E218" s="4" t="s">
        <v>3176</v>
      </c>
      <c r="F218" s="4"/>
      <c r="G218" s="4" t="s">
        <v>3177</v>
      </c>
      <c r="H218" s="4" t="s">
        <v>2612</v>
      </c>
    </row>
    <row r="219" spans="2:8" hidden="1">
      <c r="B219" s="4" t="s">
        <v>3178</v>
      </c>
      <c r="C219" s="4" t="s">
        <v>784</v>
      </c>
      <c r="D219" s="5" t="s">
        <v>3179</v>
      </c>
      <c r="E219" s="4" t="s">
        <v>3180</v>
      </c>
      <c r="F219" s="4"/>
      <c r="G219" s="4" t="s">
        <v>3181</v>
      </c>
      <c r="H219" s="4" t="s">
        <v>2612</v>
      </c>
    </row>
    <row r="220" spans="2:8" hidden="1">
      <c r="B220" s="4" t="s">
        <v>3182</v>
      </c>
      <c r="C220" s="4" t="s">
        <v>784</v>
      </c>
      <c r="D220" s="5" t="s">
        <v>3183</v>
      </c>
      <c r="E220" s="4" t="s">
        <v>3184</v>
      </c>
      <c r="F220" s="4"/>
      <c r="G220" s="4" t="s">
        <v>3185</v>
      </c>
      <c r="H220" s="4" t="s">
        <v>2612</v>
      </c>
    </row>
    <row r="221" spans="2:8" hidden="1">
      <c r="B221" s="4" t="s">
        <v>3186</v>
      </c>
      <c r="C221" s="4" t="s">
        <v>784</v>
      </c>
      <c r="D221" s="5" t="s">
        <v>3187</v>
      </c>
      <c r="E221" s="4" t="s">
        <v>3188</v>
      </c>
      <c r="F221" s="4"/>
      <c r="G221" s="4" t="s">
        <v>3189</v>
      </c>
      <c r="H221" s="4" t="s">
        <v>2612</v>
      </c>
    </row>
    <row r="222" spans="2:8" hidden="1">
      <c r="B222" s="4" t="s">
        <v>3190</v>
      </c>
      <c r="C222" s="4" t="s">
        <v>784</v>
      </c>
      <c r="D222" s="6" t="s">
        <v>3191</v>
      </c>
      <c r="E222" s="4" t="s">
        <v>3192</v>
      </c>
      <c r="F222" s="4"/>
      <c r="G222" s="4" t="s">
        <v>3193</v>
      </c>
      <c r="H222" s="4" t="s">
        <v>2612</v>
      </c>
    </row>
    <row r="223" spans="2:8" hidden="1">
      <c r="B223" s="4" t="s">
        <v>3194</v>
      </c>
      <c r="C223" s="4" t="s">
        <v>784</v>
      </c>
      <c r="D223" s="5" t="s">
        <v>3195</v>
      </c>
      <c r="E223" s="4" t="s">
        <v>3196</v>
      </c>
      <c r="F223" s="4"/>
      <c r="G223" s="4" t="s">
        <v>3197</v>
      </c>
      <c r="H223" s="4" t="s">
        <v>2612</v>
      </c>
    </row>
    <row r="224" spans="2:8" hidden="1">
      <c r="B224" s="4" t="s">
        <v>3198</v>
      </c>
      <c r="C224" s="4" t="s">
        <v>784</v>
      </c>
      <c r="D224" s="5" t="s">
        <v>3199</v>
      </c>
      <c r="E224" s="4" t="s">
        <v>3200</v>
      </c>
      <c r="F224" s="4"/>
      <c r="G224" s="4" t="s">
        <v>3201</v>
      </c>
      <c r="H224" s="4" t="s">
        <v>2612</v>
      </c>
    </row>
    <row r="225" spans="2:8" hidden="1">
      <c r="B225" s="4" t="s">
        <v>3202</v>
      </c>
      <c r="C225" s="4" t="s">
        <v>784</v>
      </c>
      <c r="D225" s="5" t="s">
        <v>3203</v>
      </c>
      <c r="E225" s="4" t="s">
        <v>3204</v>
      </c>
      <c r="F225" s="4"/>
      <c r="G225" s="4" t="s">
        <v>3205</v>
      </c>
      <c r="H225" s="4" t="s">
        <v>2612</v>
      </c>
    </row>
    <row r="226" spans="2:8" hidden="1">
      <c r="B226" s="4" t="s">
        <v>3206</v>
      </c>
      <c r="C226" s="4" t="s">
        <v>784</v>
      </c>
      <c r="D226" s="5" t="s">
        <v>3207</v>
      </c>
      <c r="E226" s="4" t="s">
        <v>3208</v>
      </c>
      <c r="F226" s="4"/>
      <c r="G226" s="4" t="s">
        <v>3209</v>
      </c>
      <c r="H226" s="4" t="s">
        <v>2612</v>
      </c>
    </row>
    <row r="227" spans="2:8" hidden="1">
      <c r="B227" s="4" t="s">
        <v>3210</v>
      </c>
      <c r="C227" s="4" t="s">
        <v>784</v>
      </c>
      <c r="D227" s="5" t="s">
        <v>3211</v>
      </c>
      <c r="E227" s="4" t="s">
        <v>3212</v>
      </c>
      <c r="F227" s="4"/>
      <c r="G227" s="4" t="s">
        <v>3209</v>
      </c>
      <c r="H227" s="4" t="s">
        <v>2612</v>
      </c>
    </row>
    <row r="228" spans="2:8" hidden="1">
      <c r="B228" s="4" t="s">
        <v>3213</v>
      </c>
      <c r="C228" s="4" t="s">
        <v>784</v>
      </c>
      <c r="D228" s="5" t="s">
        <v>3214</v>
      </c>
      <c r="E228" s="4" t="s">
        <v>3215</v>
      </c>
      <c r="F228" s="4"/>
      <c r="G228" s="4" t="s">
        <v>3209</v>
      </c>
      <c r="H228" s="4" t="s">
        <v>2612</v>
      </c>
    </row>
    <row r="229" spans="2:8" hidden="1">
      <c r="B229" s="4" t="s">
        <v>3216</v>
      </c>
      <c r="C229" s="4" t="s">
        <v>784</v>
      </c>
      <c r="D229" s="5" t="s">
        <v>3217</v>
      </c>
      <c r="E229" s="4" t="s">
        <v>3218</v>
      </c>
      <c r="F229" s="4"/>
      <c r="G229" s="4" t="s">
        <v>3219</v>
      </c>
      <c r="H229" s="4" t="s">
        <v>2612</v>
      </c>
    </row>
    <row r="230" spans="2:8" hidden="1">
      <c r="B230" s="4" t="s">
        <v>3220</v>
      </c>
      <c r="C230" s="4" t="s">
        <v>784</v>
      </c>
      <c r="D230" s="5" t="s">
        <v>3221</v>
      </c>
      <c r="E230" s="4" t="s">
        <v>3222</v>
      </c>
      <c r="F230" s="4"/>
      <c r="G230" s="4" t="s">
        <v>3223</v>
      </c>
      <c r="H230" s="4" t="s">
        <v>2612</v>
      </c>
    </row>
    <row r="231" spans="2:8">
      <c r="B231" s="4" t="s">
        <v>3224</v>
      </c>
      <c r="C231" s="4" t="s">
        <v>1563</v>
      </c>
      <c r="D231" s="5" t="s">
        <v>3217</v>
      </c>
      <c r="E231" s="4" t="s">
        <v>3225</v>
      </c>
      <c r="F231" s="4"/>
      <c r="G231" s="4" t="s">
        <v>3226</v>
      </c>
      <c r="H231" s="4" t="s">
        <v>2612</v>
      </c>
    </row>
    <row r="232" spans="2:8">
      <c r="B232" s="4" t="s">
        <v>3227</v>
      </c>
      <c r="C232" s="4" t="s">
        <v>1563</v>
      </c>
      <c r="D232" s="5" t="s">
        <v>3228</v>
      </c>
      <c r="E232" s="4" t="s">
        <v>3229</v>
      </c>
      <c r="F232" s="4"/>
      <c r="G232" s="4" t="s">
        <v>3230</v>
      </c>
      <c r="H232" s="4" t="s">
        <v>2612</v>
      </c>
    </row>
    <row r="233" spans="2:8" hidden="1">
      <c r="B233" s="4" t="s">
        <v>3231</v>
      </c>
      <c r="C233" s="4" t="s">
        <v>784</v>
      </c>
      <c r="D233" s="5" t="s">
        <v>3232</v>
      </c>
      <c r="E233" s="4" t="s">
        <v>3233</v>
      </c>
      <c r="F233" s="4"/>
      <c r="G233" s="4" t="s">
        <v>3234</v>
      </c>
      <c r="H233" s="4" t="s">
        <v>2612</v>
      </c>
    </row>
    <row r="234" spans="2:8" hidden="1">
      <c r="B234" s="4" t="s">
        <v>3235</v>
      </c>
      <c r="C234" s="4" t="s">
        <v>784</v>
      </c>
      <c r="D234" s="5" t="s">
        <v>3236</v>
      </c>
      <c r="E234" s="4" t="s">
        <v>3237</v>
      </c>
      <c r="F234" s="4"/>
      <c r="G234" s="4" t="s">
        <v>3238</v>
      </c>
      <c r="H234" s="4" t="s">
        <v>2612</v>
      </c>
    </row>
    <row r="235" spans="2:8" hidden="1">
      <c r="B235" s="4" t="s">
        <v>3239</v>
      </c>
      <c r="C235" s="4" t="s">
        <v>784</v>
      </c>
      <c r="D235" s="5" t="s">
        <v>3240</v>
      </c>
      <c r="E235" s="4" t="s">
        <v>3241</v>
      </c>
      <c r="F235" s="4"/>
      <c r="G235" s="4" t="s">
        <v>3242</v>
      </c>
      <c r="H235" s="4" t="s">
        <v>2612</v>
      </c>
    </row>
    <row r="236" spans="2:8" hidden="1">
      <c r="B236" s="4" t="s">
        <v>3243</v>
      </c>
      <c r="C236" s="4" t="s">
        <v>784</v>
      </c>
      <c r="D236" s="6" t="s">
        <v>3244</v>
      </c>
      <c r="E236" s="4" t="s">
        <v>3245</v>
      </c>
      <c r="F236" s="4"/>
      <c r="G236" s="4" t="s">
        <v>3246</v>
      </c>
      <c r="H236" s="4" t="s">
        <v>2612</v>
      </c>
    </row>
    <row r="237" spans="2:8" hidden="1">
      <c r="B237" s="4" t="s">
        <v>3247</v>
      </c>
      <c r="C237" s="4" t="s">
        <v>784</v>
      </c>
      <c r="D237" s="5" t="s">
        <v>3248</v>
      </c>
      <c r="E237" s="4" t="s">
        <v>3249</v>
      </c>
      <c r="F237" s="4"/>
      <c r="G237" s="4" t="s">
        <v>3250</v>
      </c>
      <c r="H237" s="4" t="s">
        <v>2612</v>
      </c>
    </row>
    <row r="238" spans="2:8" hidden="1">
      <c r="B238" s="4" t="s">
        <v>3251</v>
      </c>
      <c r="C238" s="4" t="s">
        <v>784</v>
      </c>
      <c r="D238" s="5" t="s">
        <v>3252</v>
      </c>
      <c r="E238" s="4" t="s">
        <v>3253</v>
      </c>
      <c r="F238" s="4"/>
      <c r="G238" s="4" t="s">
        <v>3254</v>
      </c>
      <c r="H238" s="4" t="s">
        <v>2612</v>
      </c>
    </row>
    <row r="239" spans="2:8" hidden="1">
      <c r="B239" s="4" t="s">
        <v>3255</v>
      </c>
      <c r="C239" s="4" t="s">
        <v>784</v>
      </c>
      <c r="D239" s="5" t="s">
        <v>3256</v>
      </c>
      <c r="E239" s="4" t="s">
        <v>3257</v>
      </c>
      <c r="F239" s="4"/>
      <c r="G239" s="4" t="s">
        <v>3258</v>
      </c>
      <c r="H239" s="4" t="s">
        <v>2612</v>
      </c>
    </row>
    <row r="240" spans="2:8" hidden="1">
      <c r="B240" s="4" t="s">
        <v>3259</v>
      </c>
      <c r="C240" s="4" t="s">
        <v>784</v>
      </c>
      <c r="D240" s="5" t="s">
        <v>3260</v>
      </c>
      <c r="E240" s="4" t="s">
        <v>3261</v>
      </c>
      <c r="F240" s="4"/>
      <c r="G240" s="4" t="s">
        <v>3258</v>
      </c>
      <c r="H240" s="4" t="s">
        <v>2612</v>
      </c>
    </row>
    <row r="241" spans="2:8">
      <c r="B241" s="4" t="s">
        <v>3262</v>
      </c>
      <c r="C241" s="4" t="s">
        <v>1563</v>
      </c>
      <c r="D241" s="5" t="s">
        <v>3263</v>
      </c>
      <c r="E241" s="4" t="s">
        <v>3264</v>
      </c>
      <c r="F241" s="4"/>
      <c r="G241" s="4" t="s">
        <v>3265</v>
      </c>
      <c r="H241" s="4" t="s">
        <v>2612</v>
      </c>
    </row>
    <row r="242" spans="2:8" hidden="1">
      <c r="B242" s="4" t="s">
        <v>3266</v>
      </c>
      <c r="C242" s="4" t="s">
        <v>784</v>
      </c>
      <c r="D242" s="6" t="s">
        <v>3267</v>
      </c>
      <c r="E242" s="4" t="s">
        <v>3268</v>
      </c>
      <c r="F242" s="4"/>
      <c r="G242" s="4" t="s">
        <v>3269</v>
      </c>
      <c r="H242" s="4" t="s">
        <v>2612</v>
      </c>
    </row>
    <row r="243" spans="2:8" hidden="1">
      <c r="B243" s="4" t="s">
        <v>3270</v>
      </c>
      <c r="C243" s="4" t="s">
        <v>784</v>
      </c>
      <c r="D243" s="6" t="s">
        <v>3271</v>
      </c>
      <c r="E243" s="4" t="s">
        <v>3272</v>
      </c>
      <c r="F243" s="4"/>
      <c r="G243" s="4" t="s">
        <v>3273</v>
      </c>
      <c r="H243" s="4" t="s">
        <v>2612</v>
      </c>
    </row>
    <row r="244" spans="2:8" hidden="1">
      <c r="B244" s="4" t="s">
        <v>3274</v>
      </c>
      <c r="C244" s="4" t="s">
        <v>784</v>
      </c>
      <c r="D244" s="5" t="s">
        <v>3275</v>
      </c>
      <c r="E244" s="4" t="s">
        <v>3276</v>
      </c>
      <c r="F244" s="4"/>
      <c r="G244" s="4" t="s">
        <v>3277</v>
      </c>
      <c r="H244" s="4" t="s">
        <v>2612</v>
      </c>
    </row>
    <row r="245" spans="2:8" hidden="1">
      <c r="B245" s="4" t="s">
        <v>3278</v>
      </c>
      <c r="C245" s="4" t="s">
        <v>784</v>
      </c>
      <c r="D245" s="5" t="s">
        <v>3279</v>
      </c>
      <c r="E245" s="4" t="s">
        <v>3280</v>
      </c>
      <c r="F245" s="4"/>
      <c r="G245" s="4" t="s">
        <v>3281</v>
      </c>
      <c r="H245" s="4" t="s">
        <v>2612</v>
      </c>
    </row>
    <row r="246" spans="2:8" hidden="1">
      <c r="B246" s="4" t="s">
        <v>3282</v>
      </c>
      <c r="C246" s="4" t="s">
        <v>784</v>
      </c>
      <c r="D246" s="5" t="s">
        <v>3283</v>
      </c>
      <c r="E246" s="4" t="s">
        <v>3284</v>
      </c>
      <c r="F246" s="4"/>
      <c r="G246" s="4" t="s">
        <v>3285</v>
      </c>
      <c r="H246" s="4" t="s">
        <v>2612</v>
      </c>
    </row>
    <row r="247" spans="2:8" hidden="1">
      <c r="B247" s="4" t="s">
        <v>3286</v>
      </c>
      <c r="C247" s="4" t="s">
        <v>784</v>
      </c>
      <c r="D247" s="5" t="s">
        <v>3287</v>
      </c>
      <c r="E247" s="4" t="s">
        <v>3288</v>
      </c>
      <c r="F247" s="4"/>
      <c r="G247" s="4" t="s">
        <v>3289</v>
      </c>
      <c r="H247" s="4" t="s">
        <v>2612</v>
      </c>
    </row>
    <row r="248" spans="2:8">
      <c r="B248" s="4" t="s">
        <v>218</v>
      </c>
      <c r="C248" s="4" t="s">
        <v>1563</v>
      </c>
      <c r="D248" s="5" t="s">
        <v>1397</v>
      </c>
      <c r="E248" s="4" t="s">
        <v>3290</v>
      </c>
      <c r="F248" s="4"/>
      <c r="G248" s="4" t="s">
        <v>3291</v>
      </c>
      <c r="H248" s="4" t="s">
        <v>2507</v>
      </c>
    </row>
    <row r="249" spans="2:8" hidden="1">
      <c r="B249" s="4" t="s">
        <v>141</v>
      </c>
      <c r="C249" s="4" t="s">
        <v>784</v>
      </c>
      <c r="D249" s="6" t="s">
        <v>376</v>
      </c>
      <c r="E249" s="4" t="s">
        <v>1226</v>
      </c>
      <c r="F249" s="4"/>
      <c r="G249" s="4" t="s">
        <v>2490</v>
      </c>
      <c r="H249" s="4" t="s">
        <v>376</v>
      </c>
    </row>
    <row r="250" spans="2:8" hidden="1">
      <c r="B250" s="4" t="s">
        <v>133</v>
      </c>
      <c r="C250" s="4" t="s">
        <v>784</v>
      </c>
      <c r="D250" s="5" t="s">
        <v>1178</v>
      </c>
      <c r="E250" s="4" t="s">
        <v>1179</v>
      </c>
      <c r="F250" s="4"/>
      <c r="G250" s="4" t="s">
        <v>3292</v>
      </c>
      <c r="H250" s="4" t="s">
        <v>443</v>
      </c>
    </row>
    <row r="251" spans="2:8" hidden="1">
      <c r="B251" s="4" t="s">
        <v>136</v>
      </c>
      <c r="C251" s="4" t="s">
        <v>784</v>
      </c>
      <c r="D251" s="5" t="s">
        <v>919</v>
      </c>
      <c r="E251" s="4" t="s">
        <v>3293</v>
      </c>
      <c r="F251" s="4"/>
      <c r="G251" s="4"/>
      <c r="H251" s="4" t="s">
        <v>421</v>
      </c>
    </row>
    <row r="252" spans="2:8" hidden="1">
      <c r="B252" s="4" t="s">
        <v>135</v>
      </c>
      <c r="C252" s="4" t="s">
        <v>784</v>
      </c>
      <c r="D252" s="4" t="s">
        <v>1342</v>
      </c>
      <c r="E252" s="4" t="s">
        <v>3294</v>
      </c>
      <c r="F252" s="4"/>
      <c r="G252" s="4"/>
      <c r="H252" s="4" t="s">
        <v>443</v>
      </c>
    </row>
    <row r="253" spans="2:8" hidden="1">
      <c r="B253" s="4" t="s">
        <v>187</v>
      </c>
      <c r="C253" s="4" t="s">
        <v>784</v>
      </c>
      <c r="D253" s="5" t="s">
        <v>1298</v>
      </c>
      <c r="E253" s="4" t="s">
        <v>1299</v>
      </c>
      <c r="F253" s="4"/>
      <c r="G253" s="4"/>
      <c r="H253" s="4" t="s">
        <v>421</v>
      </c>
    </row>
    <row r="254" spans="2:8" hidden="1">
      <c r="B254" s="4" t="s">
        <v>145</v>
      </c>
      <c r="C254" s="4" t="s">
        <v>784</v>
      </c>
      <c r="D254" s="5" t="s">
        <v>1427</v>
      </c>
      <c r="E254" s="4" t="s">
        <v>3295</v>
      </c>
      <c r="F254" s="4"/>
      <c r="G254" s="4"/>
      <c r="H254" s="4" t="s">
        <v>421</v>
      </c>
    </row>
    <row r="255" spans="2:8" hidden="1">
      <c r="B255" s="4" t="s">
        <v>132</v>
      </c>
      <c r="C255" s="4" t="s">
        <v>784</v>
      </c>
      <c r="D255" s="5" t="s">
        <v>1024</v>
      </c>
      <c r="E255" s="4" t="s">
        <v>3296</v>
      </c>
      <c r="F255" s="4"/>
      <c r="G255" s="4">
        <v>26385380</v>
      </c>
      <c r="H255" s="4" t="s">
        <v>443</v>
      </c>
    </row>
    <row r="256" spans="2:8" hidden="1">
      <c r="B256" s="4" t="s">
        <v>3297</v>
      </c>
      <c r="C256" s="4" t="s">
        <v>784</v>
      </c>
      <c r="D256" s="5" t="s">
        <v>3298</v>
      </c>
      <c r="E256" s="4" t="s">
        <v>3299</v>
      </c>
      <c r="F256" s="4"/>
      <c r="G256" s="4">
        <v>25041000</v>
      </c>
      <c r="H256" s="4" t="s">
        <v>2612</v>
      </c>
    </row>
    <row r="257" spans="2:8" hidden="1">
      <c r="B257" s="4" t="s">
        <v>3300</v>
      </c>
      <c r="C257" s="4" t="s">
        <v>1441</v>
      </c>
      <c r="D257" s="5" t="s">
        <v>3301</v>
      </c>
      <c r="E257" s="4" t="s">
        <v>3302</v>
      </c>
      <c r="F257" s="4"/>
      <c r="G257" s="4"/>
      <c r="H257" s="4" t="s">
        <v>1039</v>
      </c>
    </row>
    <row r="258" spans="2:8" hidden="1">
      <c r="B258" s="4" t="s">
        <v>3303</v>
      </c>
      <c r="C258" s="4" t="s">
        <v>784</v>
      </c>
      <c r="D258" s="5" t="s">
        <v>3304</v>
      </c>
      <c r="E258" s="4" t="s">
        <v>3305</v>
      </c>
      <c r="F258" s="4"/>
      <c r="G258" s="4"/>
      <c r="H258" s="4" t="s">
        <v>1039</v>
      </c>
    </row>
    <row r="259" spans="2:8" hidden="1">
      <c r="B259" s="4" t="s">
        <v>3306</v>
      </c>
      <c r="C259" s="4" t="s">
        <v>1441</v>
      </c>
      <c r="D259" s="5" t="s">
        <v>3307</v>
      </c>
      <c r="E259" s="4" t="s">
        <v>3308</v>
      </c>
      <c r="F259" s="4"/>
      <c r="G259" s="4"/>
      <c r="H259" s="4" t="s">
        <v>1039</v>
      </c>
    </row>
    <row r="260" spans="2:8" hidden="1">
      <c r="B260" s="4" t="s">
        <v>154</v>
      </c>
      <c r="C260" s="4" t="s">
        <v>784</v>
      </c>
      <c r="D260" s="6" t="s">
        <v>633</v>
      </c>
      <c r="E260" s="4" t="s">
        <v>634</v>
      </c>
      <c r="F260" s="4"/>
      <c r="G260" s="4"/>
      <c r="H260" s="4" t="s">
        <v>421</v>
      </c>
    </row>
    <row r="261" spans="2:8" hidden="1">
      <c r="B261" s="4" t="s">
        <v>3309</v>
      </c>
      <c r="C261" s="4" t="s">
        <v>784</v>
      </c>
      <c r="D261" s="5" t="s">
        <v>3310</v>
      </c>
      <c r="E261" s="4" t="s">
        <v>3311</v>
      </c>
      <c r="F261" s="4"/>
      <c r="G261" s="4"/>
      <c r="H261" s="4" t="s">
        <v>1039</v>
      </c>
    </row>
    <row r="262" spans="2:8" hidden="1">
      <c r="B262" s="4" t="s">
        <v>3312</v>
      </c>
      <c r="C262" s="4" t="s">
        <v>784</v>
      </c>
      <c r="D262" s="5" t="s">
        <v>3313</v>
      </c>
      <c r="E262" s="4" t="s">
        <v>3314</v>
      </c>
      <c r="F262" s="4"/>
      <c r="G262" s="4"/>
      <c r="H262" s="4" t="s">
        <v>1039</v>
      </c>
    </row>
    <row r="263" spans="2:8" hidden="1">
      <c r="B263" s="4" t="s">
        <v>3315</v>
      </c>
      <c r="C263" s="4" t="s">
        <v>784</v>
      </c>
      <c r="D263" s="6" t="s">
        <v>3316</v>
      </c>
      <c r="E263" s="4" t="s">
        <v>3317</v>
      </c>
      <c r="F263" s="4"/>
      <c r="G263" s="4" t="s">
        <v>3318</v>
      </c>
      <c r="H263" s="4" t="s">
        <v>2618</v>
      </c>
    </row>
    <row r="264" spans="2:8" hidden="1">
      <c r="B264" s="4" t="s">
        <v>99</v>
      </c>
      <c r="C264" s="4" t="s">
        <v>1441</v>
      </c>
      <c r="D264" s="5" t="s">
        <v>1289</v>
      </c>
      <c r="E264" s="4" t="s">
        <v>3319</v>
      </c>
      <c r="F264" s="4"/>
      <c r="G264" s="4" t="s">
        <v>3320</v>
      </c>
      <c r="H264" s="4" t="s">
        <v>421</v>
      </c>
    </row>
    <row r="265" spans="2:8" hidden="1">
      <c r="B265" s="4" t="s">
        <v>3321</v>
      </c>
      <c r="C265" s="4" t="s">
        <v>784</v>
      </c>
      <c r="D265" s="5" t="s">
        <v>3322</v>
      </c>
      <c r="E265" s="4" t="s">
        <v>3323</v>
      </c>
      <c r="F265" s="4"/>
      <c r="G265" s="4" t="s">
        <v>3324</v>
      </c>
      <c r="H265" s="4" t="s">
        <v>1039</v>
      </c>
    </row>
    <row r="266" spans="2:8" hidden="1">
      <c r="B266" s="4" t="s">
        <v>95</v>
      </c>
      <c r="C266" s="4" t="s">
        <v>1441</v>
      </c>
      <c r="D266" s="5" t="s">
        <v>3325</v>
      </c>
      <c r="E266" s="4" t="s">
        <v>3326</v>
      </c>
      <c r="F266" s="4"/>
      <c r="G266" s="4"/>
      <c r="H266" s="4" t="s">
        <v>421</v>
      </c>
    </row>
    <row r="267" spans="2:8" hidden="1">
      <c r="B267" s="4" t="s">
        <v>201</v>
      </c>
      <c r="C267" s="4" t="s">
        <v>784</v>
      </c>
      <c r="D267" s="5" t="s">
        <v>889</v>
      </c>
      <c r="E267" s="4" t="s">
        <v>890</v>
      </c>
      <c r="F267" s="4"/>
      <c r="G267" s="4"/>
      <c r="H267" s="4" t="s">
        <v>443</v>
      </c>
    </row>
    <row r="268" spans="2:8" hidden="1">
      <c r="B268" s="4" t="s">
        <v>3327</v>
      </c>
      <c r="C268" s="4" t="s">
        <v>784</v>
      </c>
      <c r="D268" s="5" t="s">
        <v>3328</v>
      </c>
      <c r="E268" s="4" t="s">
        <v>3329</v>
      </c>
      <c r="F268" s="4"/>
      <c r="G268" s="4" t="s">
        <v>3330</v>
      </c>
      <c r="H268" s="4" t="s">
        <v>2868</v>
      </c>
    </row>
    <row r="269" spans="2:8" hidden="1">
      <c r="B269" s="4" t="s">
        <v>3331</v>
      </c>
      <c r="C269" s="4" t="s">
        <v>784</v>
      </c>
      <c r="D269" s="6" t="s">
        <v>3332</v>
      </c>
      <c r="E269" s="4" t="s">
        <v>3333</v>
      </c>
      <c r="F269" s="4"/>
      <c r="G269" s="4"/>
      <c r="H269" s="4" t="s">
        <v>2612</v>
      </c>
    </row>
    <row r="270" spans="2:8" hidden="1">
      <c r="B270" s="4" t="s">
        <v>3334</v>
      </c>
      <c r="C270" s="4" t="s">
        <v>784</v>
      </c>
      <c r="D270" s="5" t="s">
        <v>3335</v>
      </c>
      <c r="E270" s="4" t="s">
        <v>3336</v>
      </c>
      <c r="F270" s="4"/>
      <c r="G270" s="4"/>
      <c r="H270" s="4" t="s">
        <v>2612</v>
      </c>
    </row>
    <row r="271" spans="2:8" hidden="1">
      <c r="B271" s="4" t="s">
        <v>3337</v>
      </c>
      <c r="C271" s="4" t="s">
        <v>784</v>
      </c>
      <c r="D271" s="6" t="s">
        <v>1078</v>
      </c>
      <c r="E271" s="4" t="s">
        <v>3338</v>
      </c>
      <c r="F271" s="4"/>
      <c r="G271" s="4"/>
      <c r="H271" s="4" t="s">
        <v>2612</v>
      </c>
    </row>
    <row r="272" spans="2:8" hidden="1">
      <c r="B272" s="4" t="s">
        <v>3339</v>
      </c>
      <c r="C272" s="4" t="s">
        <v>784</v>
      </c>
      <c r="D272" s="6" t="s">
        <v>3340</v>
      </c>
      <c r="E272" s="4" t="s">
        <v>3341</v>
      </c>
      <c r="F272" s="4"/>
      <c r="G272" s="4"/>
      <c r="H272" s="4" t="s">
        <v>2612</v>
      </c>
    </row>
    <row r="273" spans="2:8" hidden="1">
      <c r="B273" s="4" t="s">
        <v>3342</v>
      </c>
      <c r="C273" s="4" t="s">
        <v>784</v>
      </c>
      <c r="D273" s="6" t="s">
        <v>3343</v>
      </c>
      <c r="E273" s="4" t="s">
        <v>3344</v>
      </c>
      <c r="F273" s="4"/>
      <c r="G273" s="4"/>
      <c r="H273" s="4" t="s">
        <v>2612</v>
      </c>
    </row>
    <row r="274" spans="2:8" hidden="1">
      <c r="B274" s="4" t="s">
        <v>3345</v>
      </c>
      <c r="C274" s="4" t="s">
        <v>784</v>
      </c>
      <c r="D274" s="5" t="s">
        <v>3346</v>
      </c>
      <c r="E274" s="4" t="s">
        <v>3347</v>
      </c>
      <c r="F274" s="4"/>
      <c r="G274" s="4"/>
      <c r="H274" s="4" t="s">
        <v>2612</v>
      </c>
    </row>
    <row r="275" spans="2:8" hidden="1">
      <c r="B275" s="4" t="s">
        <v>3348</v>
      </c>
      <c r="C275" s="4" t="s">
        <v>784</v>
      </c>
      <c r="D275" s="5" t="s">
        <v>3349</v>
      </c>
      <c r="E275" s="4" t="s">
        <v>3350</v>
      </c>
      <c r="F275" s="4"/>
      <c r="G275" s="4"/>
      <c r="H275" s="4" t="s">
        <v>2612</v>
      </c>
    </row>
    <row r="276" spans="2:8" hidden="1">
      <c r="B276" s="4" t="s">
        <v>3351</v>
      </c>
      <c r="C276" s="4" t="s">
        <v>1441</v>
      </c>
      <c r="D276" s="5" t="s">
        <v>3128</v>
      </c>
      <c r="E276" s="4" t="s">
        <v>3352</v>
      </c>
      <c r="F276" s="4"/>
      <c r="G276" s="4"/>
      <c r="H276" s="4" t="s">
        <v>2612</v>
      </c>
    </row>
    <row r="277" spans="2:8" hidden="1">
      <c r="B277" s="4" t="s">
        <v>3353</v>
      </c>
      <c r="C277" s="4" t="s">
        <v>784</v>
      </c>
      <c r="D277" s="5" t="s">
        <v>3354</v>
      </c>
      <c r="E277" s="4" t="s">
        <v>3355</v>
      </c>
      <c r="F277" s="4"/>
      <c r="G277" s="4"/>
      <c r="H277" s="4" t="s">
        <v>2612</v>
      </c>
    </row>
    <row r="278" spans="2:8" hidden="1">
      <c r="B278" s="4" t="s">
        <v>3356</v>
      </c>
      <c r="C278" s="4" t="s">
        <v>784</v>
      </c>
      <c r="D278" s="6" t="s">
        <v>3357</v>
      </c>
      <c r="E278" s="4" t="s">
        <v>3358</v>
      </c>
      <c r="F278" s="4"/>
      <c r="G278" s="4"/>
      <c r="H278" s="4" t="s">
        <v>2612</v>
      </c>
    </row>
    <row r="279" spans="2:8" hidden="1">
      <c r="B279" s="4" t="s">
        <v>3359</v>
      </c>
      <c r="C279" s="4" t="s">
        <v>784</v>
      </c>
      <c r="D279" s="5" t="s">
        <v>3360</v>
      </c>
      <c r="E279" s="4" t="s">
        <v>3361</v>
      </c>
      <c r="F279" s="4"/>
      <c r="G279" s="4"/>
      <c r="H279" s="4" t="s">
        <v>2612</v>
      </c>
    </row>
    <row r="280" spans="2:8" hidden="1">
      <c r="B280" s="4" t="s">
        <v>134</v>
      </c>
      <c r="C280" s="4" t="s">
        <v>784</v>
      </c>
      <c r="D280" s="5" t="s">
        <v>776</v>
      </c>
      <c r="E280" s="4" t="s">
        <v>777</v>
      </c>
      <c r="F280" s="4"/>
      <c r="G280" s="4" t="s">
        <v>2646</v>
      </c>
      <c r="H280" s="4" t="s">
        <v>576</v>
      </c>
    </row>
    <row r="281" spans="2:8" hidden="1">
      <c r="B281" s="4" t="s">
        <v>126</v>
      </c>
      <c r="C281" s="4" t="s">
        <v>784</v>
      </c>
      <c r="D281" s="5" t="s">
        <v>846</v>
      </c>
      <c r="E281" s="4" t="s">
        <v>847</v>
      </c>
      <c r="F281" s="4"/>
      <c r="G281" s="4" t="s">
        <v>3362</v>
      </c>
      <c r="H281" s="4" t="s">
        <v>248</v>
      </c>
    </row>
    <row r="282" spans="2:8" hidden="1">
      <c r="B282" s="4" t="s">
        <v>105</v>
      </c>
      <c r="C282" s="4" t="s">
        <v>1441</v>
      </c>
      <c r="D282" s="5" t="s">
        <v>3363</v>
      </c>
      <c r="E282" s="4" t="s">
        <v>3364</v>
      </c>
      <c r="F282" s="4"/>
      <c r="G282" s="4"/>
      <c r="H282" s="4" t="s">
        <v>576</v>
      </c>
    </row>
    <row r="283" spans="2:8" hidden="1">
      <c r="B283" s="4" t="s">
        <v>3365</v>
      </c>
      <c r="C283" s="4" t="s">
        <v>784</v>
      </c>
      <c r="D283" s="5" t="s">
        <v>3366</v>
      </c>
      <c r="E283" s="4" t="s">
        <v>3367</v>
      </c>
      <c r="F283" s="4"/>
      <c r="G283" s="4"/>
      <c r="H283" s="4" t="s">
        <v>2612</v>
      </c>
    </row>
    <row r="284" spans="2:8" hidden="1">
      <c r="B284" s="4" t="s">
        <v>3368</v>
      </c>
      <c r="C284" s="4" t="s">
        <v>784</v>
      </c>
      <c r="D284" s="5" t="s">
        <v>3369</v>
      </c>
      <c r="E284" s="4" t="s">
        <v>3370</v>
      </c>
      <c r="F284" s="4"/>
      <c r="G284" s="4"/>
      <c r="H284" s="4" t="s">
        <v>2612</v>
      </c>
    </row>
    <row r="285" spans="2:8" hidden="1">
      <c r="B285" s="4" t="s">
        <v>174</v>
      </c>
      <c r="C285" s="4" t="s">
        <v>784</v>
      </c>
      <c r="D285" s="5" t="s">
        <v>3371</v>
      </c>
      <c r="E285" s="4" t="s">
        <v>3372</v>
      </c>
      <c r="F285" s="4"/>
      <c r="G285" s="4"/>
      <c r="H285" s="4" t="s">
        <v>421</v>
      </c>
    </row>
    <row r="286" spans="2:8" hidden="1">
      <c r="B286" s="4" t="s">
        <v>109</v>
      </c>
      <c r="C286" s="4" t="s">
        <v>1441</v>
      </c>
      <c r="D286" s="5" t="s">
        <v>3373</v>
      </c>
      <c r="E286" s="4" t="s">
        <v>3374</v>
      </c>
      <c r="F286" s="4"/>
      <c r="G286" s="4"/>
      <c r="H286" s="4" t="s">
        <v>576</v>
      </c>
    </row>
    <row r="287" spans="2:8" hidden="1">
      <c r="B287" s="4" t="s">
        <v>110</v>
      </c>
      <c r="C287" s="4" t="s">
        <v>1441</v>
      </c>
      <c r="D287" s="5" t="s">
        <v>3375</v>
      </c>
      <c r="E287" s="4" t="s">
        <v>3376</v>
      </c>
      <c r="F287" s="4"/>
      <c r="G287" s="4"/>
      <c r="H287" s="4" t="s">
        <v>576</v>
      </c>
    </row>
    <row r="288" spans="2:8" hidden="1">
      <c r="B288" s="4" t="s">
        <v>169</v>
      </c>
      <c r="C288" s="4" t="s">
        <v>784</v>
      </c>
      <c r="D288" s="5" t="s">
        <v>3377</v>
      </c>
      <c r="E288" s="4" t="s">
        <v>3378</v>
      </c>
      <c r="F288" s="4"/>
      <c r="G288" s="4"/>
      <c r="H288" s="4" t="s">
        <v>576</v>
      </c>
    </row>
    <row r="289" spans="2:8" hidden="1">
      <c r="B289" s="4" t="s">
        <v>171</v>
      </c>
      <c r="C289" s="4" t="s">
        <v>784</v>
      </c>
      <c r="D289" s="5" t="s">
        <v>3379</v>
      </c>
      <c r="E289" s="4" t="s">
        <v>3380</v>
      </c>
      <c r="F289" s="4"/>
      <c r="G289" s="4"/>
      <c r="H289" s="4" t="s">
        <v>576</v>
      </c>
    </row>
    <row r="290" spans="2:8" hidden="1">
      <c r="B290" s="4" t="s">
        <v>206</v>
      </c>
      <c r="C290" s="4" t="s">
        <v>784</v>
      </c>
      <c r="D290" s="5" t="s">
        <v>747</v>
      </c>
      <c r="E290" s="4" t="s">
        <v>3381</v>
      </c>
      <c r="F290" s="4"/>
      <c r="G290" s="4"/>
      <c r="H290" s="4" t="s">
        <v>248</v>
      </c>
    </row>
    <row r="291" spans="2:8">
      <c r="B291" s="85" t="s">
        <v>229</v>
      </c>
      <c r="C291" s="4" t="s">
        <v>1563</v>
      </c>
      <c r="D291" s="5" t="s">
        <v>3382</v>
      </c>
      <c r="E291" s="4" t="s">
        <v>3383</v>
      </c>
      <c r="F291" s="4"/>
      <c r="G291" s="4"/>
      <c r="H291" s="4" t="s">
        <v>2507</v>
      </c>
    </row>
    <row r="292" spans="2:8" hidden="1">
      <c r="B292" s="4" t="s">
        <v>94</v>
      </c>
      <c r="C292" s="4" t="s">
        <v>1441</v>
      </c>
      <c r="D292" s="5" t="s">
        <v>3384</v>
      </c>
      <c r="E292" s="4" t="s">
        <v>3385</v>
      </c>
      <c r="F292" s="4"/>
      <c r="G292" s="4"/>
      <c r="H292" s="4" t="s">
        <v>421</v>
      </c>
    </row>
    <row r="293" spans="2:8">
      <c r="B293" s="4" t="s">
        <v>217</v>
      </c>
      <c r="C293" s="4" t="s">
        <v>1563</v>
      </c>
      <c r="D293" s="5" t="s">
        <v>1572</v>
      </c>
      <c r="E293" s="4" t="s">
        <v>3386</v>
      </c>
      <c r="F293" s="4"/>
      <c r="G293" s="4"/>
      <c r="H293" s="4" t="s">
        <v>2507</v>
      </c>
    </row>
    <row r="294" spans="2:8" hidden="1">
      <c r="B294" s="4" t="s">
        <v>3387</v>
      </c>
      <c r="C294" s="4" t="s">
        <v>784</v>
      </c>
      <c r="D294" s="5" t="s">
        <v>3388</v>
      </c>
      <c r="E294" s="4" t="s">
        <v>3389</v>
      </c>
      <c r="F294" s="4"/>
      <c r="G294" s="4"/>
      <c r="H294" s="4" t="s">
        <v>2868</v>
      </c>
    </row>
    <row r="295" spans="2:8" hidden="1">
      <c r="B295" s="4" t="s">
        <v>118</v>
      </c>
      <c r="C295" s="4" t="s">
        <v>784</v>
      </c>
      <c r="D295" s="5" t="s">
        <v>1219</v>
      </c>
      <c r="E295" s="4" t="s">
        <v>3390</v>
      </c>
      <c r="F295" s="4"/>
      <c r="G295" s="4"/>
      <c r="H295" s="4" t="s">
        <v>248</v>
      </c>
    </row>
    <row r="296" spans="2:8">
      <c r="B296" s="4" t="s">
        <v>226</v>
      </c>
      <c r="C296" s="4" t="s">
        <v>1563</v>
      </c>
      <c r="D296" s="5" t="s">
        <v>1568</v>
      </c>
      <c r="E296" s="4" t="s">
        <v>3391</v>
      </c>
      <c r="F296" s="4"/>
      <c r="G296" s="4"/>
      <c r="H296" s="4" t="s">
        <v>2507</v>
      </c>
    </row>
    <row r="297" spans="2:8" hidden="1">
      <c r="B297" s="4" t="s">
        <v>3392</v>
      </c>
      <c r="C297" s="4" t="s">
        <v>784</v>
      </c>
      <c r="D297" s="6" t="s">
        <v>3393</v>
      </c>
      <c r="E297" s="4" t="s">
        <v>3394</v>
      </c>
      <c r="F297" s="4"/>
      <c r="G297" s="4" t="s">
        <v>2793</v>
      </c>
      <c r="H297" s="4" t="s">
        <v>1039</v>
      </c>
    </row>
    <row r="298" spans="2:8" hidden="1">
      <c r="B298" s="4" t="s">
        <v>182</v>
      </c>
      <c r="C298" s="4" t="s">
        <v>784</v>
      </c>
      <c r="D298" s="5" t="s">
        <v>1323</v>
      </c>
      <c r="E298" s="4" t="s">
        <v>3395</v>
      </c>
      <c r="F298" s="4"/>
      <c r="G298" s="4" t="s">
        <v>3396</v>
      </c>
      <c r="H298" s="4" t="s">
        <v>443</v>
      </c>
    </row>
    <row r="299" spans="2:8" hidden="1">
      <c r="B299" s="4" t="s">
        <v>163</v>
      </c>
      <c r="C299" s="4" t="s">
        <v>784</v>
      </c>
      <c r="D299" s="6" t="s">
        <v>1375</v>
      </c>
      <c r="E299" s="4" t="s">
        <v>1376</v>
      </c>
      <c r="F299" s="4"/>
      <c r="G299" s="4"/>
      <c r="H299" s="4" t="s">
        <v>421</v>
      </c>
    </row>
    <row r="300" spans="2:8" hidden="1">
      <c r="B300" s="4" t="s">
        <v>172</v>
      </c>
      <c r="C300" s="4" t="s">
        <v>784</v>
      </c>
      <c r="D300" s="5" t="s">
        <v>3397</v>
      </c>
      <c r="E300" s="4" t="s">
        <v>3398</v>
      </c>
      <c r="F300" s="4"/>
      <c r="G300" s="4"/>
      <c r="H300" s="4" t="s">
        <v>421</v>
      </c>
    </row>
    <row r="301" spans="2:8" hidden="1">
      <c r="B301" s="4" t="s">
        <v>178</v>
      </c>
      <c r="C301" s="4" t="s">
        <v>784</v>
      </c>
      <c r="D301" s="5" t="s">
        <v>469</v>
      </c>
      <c r="E301" s="4" t="s">
        <v>470</v>
      </c>
      <c r="F301" s="4"/>
      <c r="G301" s="4"/>
      <c r="H301" s="4" t="s">
        <v>421</v>
      </c>
    </row>
    <row r="302" spans="2:8" hidden="1">
      <c r="B302" s="4" t="s">
        <v>191</v>
      </c>
      <c r="C302" s="4" t="s">
        <v>784</v>
      </c>
      <c r="D302" s="5" t="s">
        <v>1200</v>
      </c>
      <c r="E302" s="4" t="s">
        <v>1201</v>
      </c>
      <c r="F302" s="4"/>
      <c r="G302" s="4"/>
      <c r="H302" s="4" t="s">
        <v>421</v>
      </c>
    </row>
    <row r="303" spans="2:8">
      <c r="B303" s="4" t="s">
        <v>231</v>
      </c>
      <c r="C303" s="4" t="s">
        <v>1563</v>
      </c>
      <c r="D303" s="5" t="s">
        <v>1086</v>
      </c>
      <c r="E303" s="4" t="s">
        <v>3399</v>
      </c>
      <c r="F303" s="4"/>
      <c r="G303" s="4"/>
      <c r="H303" s="4" t="s">
        <v>421</v>
      </c>
    </row>
    <row r="304" spans="2:8">
      <c r="B304" s="85" t="s">
        <v>220</v>
      </c>
      <c r="C304" s="4" t="s">
        <v>1563</v>
      </c>
      <c r="D304" s="5" t="s">
        <v>2844</v>
      </c>
      <c r="E304" s="4" t="s">
        <v>3400</v>
      </c>
      <c r="F304" s="4"/>
      <c r="G304" s="4"/>
      <c r="H304" s="4" t="s">
        <v>421</v>
      </c>
    </row>
    <row r="305" spans="2:8">
      <c r="B305" s="85" t="s">
        <v>224</v>
      </c>
      <c r="C305" s="4" t="s">
        <v>1563</v>
      </c>
      <c r="D305" s="5" t="s">
        <v>3401</v>
      </c>
      <c r="E305" s="4" t="s">
        <v>3402</v>
      </c>
      <c r="F305" s="4"/>
      <c r="G305" s="4"/>
      <c r="H305" s="4" t="s">
        <v>421</v>
      </c>
    </row>
    <row r="306" spans="2:8" hidden="1">
      <c r="B306" s="4" t="s">
        <v>143</v>
      </c>
      <c r="C306" s="4" t="s">
        <v>784</v>
      </c>
      <c r="D306" s="5" t="s">
        <v>573</v>
      </c>
      <c r="E306" s="4" t="s">
        <v>574</v>
      </c>
      <c r="F306" s="4"/>
      <c r="G306" s="4" t="s">
        <v>2540</v>
      </c>
      <c r="H306" s="4" t="s">
        <v>576</v>
      </c>
    </row>
    <row r="307" spans="2:8" hidden="1">
      <c r="B307" s="4" t="s">
        <v>185</v>
      </c>
      <c r="C307" s="4" t="s">
        <v>784</v>
      </c>
      <c r="D307" s="6" t="s">
        <v>494</v>
      </c>
      <c r="E307" s="4" t="s">
        <v>3403</v>
      </c>
      <c r="F307" s="4"/>
      <c r="G307" s="4"/>
      <c r="H307" s="4" t="s">
        <v>443</v>
      </c>
    </row>
    <row r="308" spans="2:8" hidden="1">
      <c r="B308" s="4" t="s">
        <v>98</v>
      </c>
      <c r="C308" s="4" t="s">
        <v>1441</v>
      </c>
      <c r="D308" s="5" t="s">
        <v>3404</v>
      </c>
      <c r="E308" s="4" t="s">
        <v>3405</v>
      </c>
      <c r="F308" s="4"/>
      <c r="G308" s="4"/>
      <c r="H308" s="4" t="s">
        <v>443</v>
      </c>
    </row>
    <row r="309" spans="2:8" hidden="1">
      <c r="B309" s="4" t="s">
        <v>120</v>
      </c>
      <c r="C309" s="4" t="s">
        <v>784</v>
      </c>
      <c r="D309" s="5" t="s">
        <v>1472</v>
      </c>
      <c r="E309" s="4" t="s">
        <v>3406</v>
      </c>
      <c r="F309" s="4"/>
      <c r="G309" s="4"/>
      <c r="H309" s="4" t="s">
        <v>443</v>
      </c>
    </row>
    <row r="310" spans="2:8" hidden="1">
      <c r="B310" s="4" t="s">
        <v>135</v>
      </c>
      <c r="C310" s="4" t="s">
        <v>784</v>
      </c>
      <c r="D310" s="6" t="s">
        <v>1342</v>
      </c>
      <c r="E310" s="4" t="s">
        <v>3407</v>
      </c>
      <c r="F310" s="4"/>
      <c r="G310" s="4"/>
      <c r="H310" s="4" t="s">
        <v>443</v>
      </c>
    </row>
    <row r="311" spans="2:8" hidden="1">
      <c r="B311" s="4" t="s">
        <v>3408</v>
      </c>
      <c r="C311" s="4" t="s">
        <v>784</v>
      </c>
      <c r="D311" s="5" t="s">
        <v>3409</v>
      </c>
      <c r="E311" s="4" t="s">
        <v>3410</v>
      </c>
      <c r="F311" s="4"/>
      <c r="G311" s="4"/>
      <c r="H311" s="4" t="s">
        <v>2868</v>
      </c>
    </row>
    <row r="312" spans="2:8" hidden="1">
      <c r="B312" s="4" t="s">
        <v>3411</v>
      </c>
      <c r="C312" s="4" t="s">
        <v>784</v>
      </c>
      <c r="D312" s="5" t="s">
        <v>3412</v>
      </c>
      <c r="E312" s="4" t="s">
        <v>3413</v>
      </c>
      <c r="F312" s="4"/>
      <c r="G312" s="4"/>
      <c r="H312" s="4" t="s">
        <v>2618</v>
      </c>
    </row>
    <row r="313" spans="2:8" hidden="1">
      <c r="B313" s="4" t="s">
        <v>3414</v>
      </c>
      <c r="C313" s="4" t="s">
        <v>784</v>
      </c>
      <c r="D313" s="5" t="s">
        <v>3415</v>
      </c>
      <c r="E313" s="4" t="s">
        <v>3416</v>
      </c>
      <c r="F313" s="4"/>
      <c r="G313" s="4"/>
      <c r="H313" s="4" t="s">
        <v>1039</v>
      </c>
    </row>
    <row r="314" spans="2:8" hidden="1">
      <c r="B314" s="4" t="s">
        <v>3417</v>
      </c>
      <c r="C314" s="4" t="s">
        <v>784</v>
      </c>
      <c r="D314" s="5" t="s">
        <v>3418</v>
      </c>
      <c r="E314" s="4" t="s">
        <v>3419</v>
      </c>
      <c r="F314" s="4"/>
      <c r="G314" s="4"/>
      <c r="H314" s="4" t="s">
        <v>2868</v>
      </c>
    </row>
    <row r="315" spans="2:8" hidden="1">
      <c r="B315" s="4" t="s">
        <v>3420</v>
      </c>
      <c r="C315" s="4" t="s">
        <v>784</v>
      </c>
      <c r="D315" s="5" t="s">
        <v>3421</v>
      </c>
      <c r="E315" s="4" t="s">
        <v>3422</v>
      </c>
      <c r="F315" s="4"/>
      <c r="G315" s="4"/>
      <c r="H315" s="4" t="s">
        <v>2618</v>
      </c>
    </row>
    <row r="316" spans="2:8" hidden="1">
      <c r="B316" s="4" t="s">
        <v>3423</v>
      </c>
      <c r="C316" s="4" t="s">
        <v>784</v>
      </c>
      <c r="D316" s="6" t="s">
        <v>3424</v>
      </c>
      <c r="E316" s="4" t="s">
        <v>3425</v>
      </c>
      <c r="F316" s="4"/>
      <c r="G316" s="4"/>
      <c r="H316" s="4" t="s">
        <v>2618</v>
      </c>
    </row>
    <row r="317" spans="2:8" hidden="1">
      <c r="B317" s="4" t="s">
        <v>3426</v>
      </c>
      <c r="C317" s="4" t="s">
        <v>784</v>
      </c>
      <c r="D317" s="5" t="s">
        <v>3427</v>
      </c>
      <c r="E317" s="4" t="s">
        <v>3428</v>
      </c>
      <c r="F317" s="4"/>
      <c r="G317" s="4"/>
      <c r="H317" s="4" t="s">
        <v>2618</v>
      </c>
    </row>
    <row r="318" spans="2:8" hidden="1">
      <c r="B318" s="4" t="s">
        <v>3429</v>
      </c>
      <c r="C318" s="4" t="s">
        <v>784</v>
      </c>
      <c r="D318" s="6" t="s">
        <v>3430</v>
      </c>
      <c r="E318" s="4" t="s">
        <v>3431</v>
      </c>
      <c r="F318" s="4"/>
      <c r="G318" s="4"/>
      <c r="H318" s="4" t="s">
        <v>2618</v>
      </c>
    </row>
    <row r="319" spans="2:8" hidden="1">
      <c r="B319" s="4" t="s">
        <v>3432</v>
      </c>
      <c r="C319" s="4" t="s">
        <v>784</v>
      </c>
      <c r="D319" s="6" t="s">
        <v>3433</v>
      </c>
      <c r="E319" s="4" t="s">
        <v>3434</v>
      </c>
      <c r="F319" s="4"/>
      <c r="G319" s="4"/>
      <c r="H319" s="4" t="s">
        <v>2618</v>
      </c>
    </row>
    <row r="320" spans="2:8" hidden="1">
      <c r="B320" s="4" t="s">
        <v>3435</v>
      </c>
      <c r="C320" s="4" t="s">
        <v>784</v>
      </c>
      <c r="D320" s="5" t="s">
        <v>3436</v>
      </c>
      <c r="E320" s="4" t="s">
        <v>3437</v>
      </c>
      <c r="F320" s="4"/>
      <c r="G320" s="4"/>
      <c r="H320" s="4" t="s">
        <v>2618</v>
      </c>
    </row>
    <row r="321" spans="2:8" hidden="1">
      <c r="B321" s="4" t="s">
        <v>3438</v>
      </c>
      <c r="C321" s="4" t="s">
        <v>784</v>
      </c>
      <c r="D321" s="5" t="s">
        <v>3439</v>
      </c>
      <c r="E321" s="4" t="s">
        <v>3440</v>
      </c>
      <c r="F321" s="4"/>
      <c r="G321" s="4"/>
      <c r="H321" s="4" t="s">
        <v>2618</v>
      </c>
    </row>
    <row r="322" spans="2:8" hidden="1">
      <c r="B322" s="4" t="s">
        <v>3441</v>
      </c>
      <c r="C322" s="4" t="s">
        <v>784</v>
      </c>
      <c r="D322" s="5" t="s">
        <v>3442</v>
      </c>
      <c r="E322" s="4" t="s">
        <v>3443</v>
      </c>
      <c r="F322" s="4"/>
      <c r="G322" s="4"/>
      <c r="H322" s="4" t="s">
        <v>2618</v>
      </c>
    </row>
    <row r="323" spans="2:8" hidden="1">
      <c r="B323" s="4" t="s">
        <v>3444</v>
      </c>
      <c r="C323" s="4" t="s">
        <v>784</v>
      </c>
      <c r="D323" s="5" t="s">
        <v>3445</v>
      </c>
      <c r="E323" s="4" t="s">
        <v>3446</v>
      </c>
      <c r="F323" s="4"/>
      <c r="G323" s="4"/>
      <c r="H323" s="4" t="s">
        <v>2618</v>
      </c>
    </row>
    <row r="324" spans="2:8" hidden="1">
      <c r="B324" s="4" t="s">
        <v>3447</v>
      </c>
      <c r="C324" s="4" t="s">
        <v>784</v>
      </c>
      <c r="D324" s="5" t="s">
        <v>3448</v>
      </c>
      <c r="E324" s="4" t="s">
        <v>3449</v>
      </c>
      <c r="F324" s="4"/>
      <c r="G324" s="4"/>
      <c r="H324" s="4" t="s">
        <v>2618</v>
      </c>
    </row>
    <row r="325" spans="2:8" hidden="1">
      <c r="B325" s="4" t="s">
        <v>3450</v>
      </c>
      <c r="C325" s="4" t="s">
        <v>784</v>
      </c>
      <c r="D325" s="5" t="s">
        <v>3451</v>
      </c>
      <c r="E325" s="4" t="s">
        <v>3452</v>
      </c>
      <c r="F325" s="4"/>
      <c r="G325" s="4"/>
      <c r="H325" s="4" t="s">
        <v>2618</v>
      </c>
    </row>
    <row r="326" spans="2:8" hidden="1">
      <c r="B326" s="4" t="s">
        <v>130</v>
      </c>
      <c r="C326" s="4" t="s">
        <v>784</v>
      </c>
      <c r="D326" s="5" t="s">
        <v>3453</v>
      </c>
      <c r="E326" s="4" t="s">
        <v>3454</v>
      </c>
      <c r="F326" s="4"/>
      <c r="G326" s="4" t="s">
        <v>1530</v>
      </c>
      <c r="H326" s="4" t="s">
        <v>1039</v>
      </c>
    </row>
    <row r="327" spans="2:8" hidden="1">
      <c r="B327" s="4" t="s">
        <v>3455</v>
      </c>
      <c r="C327" s="4" t="s">
        <v>784</v>
      </c>
      <c r="D327" s="5" t="s">
        <v>3456</v>
      </c>
      <c r="E327" s="4" t="s">
        <v>3457</v>
      </c>
      <c r="F327" s="4"/>
      <c r="G327" s="4"/>
      <c r="H327" s="4" t="s">
        <v>2612</v>
      </c>
    </row>
    <row r="328" spans="2:8" hidden="1">
      <c r="B328" s="4" t="s">
        <v>209</v>
      </c>
      <c r="C328" s="4" t="s">
        <v>784</v>
      </c>
      <c r="D328" s="4" t="s">
        <v>1156</v>
      </c>
      <c r="E328" s="4" t="s">
        <v>3458</v>
      </c>
      <c r="F328" s="4"/>
      <c r="G328" s="4" t="s">
        <v>2242</v>
      </c>
      <c r="H328" s="4" t="s">
        <v>2507</v>
      </c>
    </row>
    <row r="329" spans="2:8" hidden="1">
      <c r="B329" s="4" t="s">
        <v>3392</v>
      </c>
      <c r="C329" s="4" t="s">
        <v>784</v>
      </c>
      <c r="D329" s="4" t="s">
        <v>3393</v>
      </c>
      <c r="E329" s="4" t="s">
        <v>3394</v>
      </c>
      <c r="F329" s="4"/>
      <c r="G329" s="4" t="s">
        <v>2793</v>
      </c>
      <c r="H329" s="4" t="s">
        <v>3459</v>
      </c>
    </row>
    <row r="330" spans="2:8" hidden="1">
      <c r="B330" t="s">
        <v>77</v>
      </c>
      <c r="C330" t="s">
        <v>1364</v>
      </c>
      <c r="D330" t="s">
        <v>3460</v>
      </c>
      <c r="E330" t="s">
        <v>3461</v>
      </c>
      <c r="H330" s="4" t="s">
        <v>376</v>
      </c>
    </row>
  </sheetData>
  <autoFilter ref="A4:K330" xr:uid="{CD29FC72-4F78-4D8F-A18B-F9ED2A171598}">
    <filterColumn colId="2">
      <filters>
        <filter val="EEE"/>
      </filters>
    </filterColumn>
  </autoFilter>
  <mergeCells count="1">
    <mergeCell ref="B2:H3"/>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378E5-6EEC-4F52-845F-2E7F41FAB717}">
  <sheetPr filterMode="1"/>
  <dimension ref="A1:N120"/>
  <sheetViews>
    <sheetView workbookViewId="0">
      <selection activeCell="D33" sqref="D33"/>
    </sheetView>
  </sheetViews>
  <sheetFormatPr defaultRowHeight="14.45"/>
  <cols>
    <col min="1" max="1" width="36.7109375" bestFit="1" customWidth="1"/>
    <col min="2" max="2" width="15.7109375" bestFit="1" customWidth="1"/>
    <col min="3" max="3" width="5.5703125" bestFit="1" customWidth="1"/>
    <col min="4" max="4" width="15" bestFit="1" customWidth="1"/>
    <col min="5" max="5" width="33.5703125" bestFit="1" customWidth="1"/>
    <col min="6" max="6" width="9.7109375" bestFit="1" customWidth="1"/>
    <col min="7" max="7" width="9.85546875" bestFit="1" customWidth="1"/>
    <col min="8" max="8" width="10.7109375" bestFit="1" customWidth="1"/>
    <col min="9" max="9" width="23.42578125" style="104" bestFit="1" customWidth="1"/>
    <col min="10" max="10" width="10.85546875" bestFit="1" customWidth="1"/>
    <col min="11" max="11" width="16" bestFit="1" customWidth="1"/>
    <col min="12" max="12" width="9" customWidth="1"/>
    <col min="13" max="13" width="8.140625" customWidth="1"/>
    <col min="14" max="14" width="38.85546875" bestFit="1" customWidth="1"/>
  </cols>
  <sheetData>
    <row r="1" spans="1:14">
      <c r="A1" s="100" t="s">
        <v>302</v>
      </c>
      <c r="B1" s="100" t="s">
        <v>303</v>
      </c>
      <c r="C1" s="100" t="s">
        <v>304</v>
      </c>
      <c r="D1" s="100" t="s">
        <v>308</v>
      </c>
      <c r="E1" s="100" t="s">
        <v>330</v>
      </c>
      <c r="F1" s="100" t="s">
        <v>3462</v>
      </c>
      <c r="G1" s="100" t="s">
        <v>3463</v>
      </c>
      <c r="H1" s="100" t="s">
        <v>3464</v>
      </c>
      <c r="I1" s="105" t="s">
        <v>3465</v>
      </c>
      <c r="J1" s="100" t="s">
        <v>3466</v>
      </c>
      <c r="K1" s="100" t="s">
        <v>3467</v>
      </c>
      <c r="L1" s="100" t="s">
        <v>3468</v>
      </c>
      <c r="M1" s="100" t="s">
        <v>3469</v>
      </c>
      <c r="N1" s="100" t="s">
        <v>3470</v>
      </c>
    </row>
    <row r="2" spans="1:14">
      <c r="A2" s="101" t="s">
        <v>1214</v>
      </c>
      <c r="B2" s="101" t="s">
        <v>122</v>
      </c>
      <c r="C2" s="101" t="s">
        <v>784</v>
      </c>
      <c r="D2" s="101" t="s">
        <v>576</v>
      </c>
      <c r="E2" s="101" t="s">
        <v>455</v>
      </c>
      <c r="F2" s="101" t="s">
        <v>396</v>
      </c>
      <c r="G2" s="101"/>
      <c r="H2" s="101" t="s">
        <v>396</v>
      </c>
      <c r="I2" s="106" t="s">
        <v>3471</v>
      </c>
      <c r="J2" s="101">
        <v>1</v>
      </c>
      <c r="K2" s="102">
        <v>192168132121</v>
      </c>
      <c r="L2" s="101"/>
      <c r="M2" s="101"/>
      <c r="N2" s="101"/>
    </row>
    <row r="3" spans="1:14">
      <c r="A3" s="101" t="s">
        <v>440</v>
      </c>
      <c r="B3" s="101" t="s">
        <v>189</v>
      </c>
      <c r="C3" s="101" t="s">
        <v>784</v>
      </c>
      <c r="D3" s="101" t="s">
        <v>443</v>
      </c>
      <c r="E3" s="101" t="s">
        <v>455</v>
      </c>
      <c r="F3" s="101" t="s">
        <v>396</v>
      </c>
      <c r="G3" s="101"/>
      <c r="H3" s="101" t="s">
        <v>396</v>
      </c>
      <c r="I3" s="106" t="s">
        <v>3472</v>
      </c>
      <c r="J3" s="101">
        <v>1</v>
      </c>
      <c r="K3" s="101"/>
      <c r="L3" s="101"/>
      <c r="M3" s="101"/>
      <c r="N3" s="101"/>
    </row>
    <row r="4" spans="1:14">
      <c r="A4" s="101" t="s">
        <v>1489</v>
      </c>
      <c r="B4" s="101" t="s">
        <v>119</v>
      </c>
      <c r="C4" s="101" t="s">
        <v>784</v>
      </c>
      <c r="D4" s="101" t="s">
        <v>443</v>
      </c>
      <c r="E4" s="101" t="s">
        <v>455</v>
      </c>
      <c r="F4" s="101" t="s">
        <v>396</v>
      </c>
      <c r="G4" s="101"/>
      <c r="H4" s="101" t="s">
        <v>396</v>
      </c>
      <c r="I4" s="106" t="s">
        <v>3473</v>
      </c>
      <c r="J4" s="101">
        <v>1</v>
      </c>
      <c r="K4" s="101"/>
      <c r="L4" s="101"/>
      <c r="M4" s="101"/>
      <c r="N4" s="101"/>
    </row>
    <row r="5" spans="1:14">
      <c r="A5" s="101" t="s">
        <v>1472</v>
      </c>
      <c r="B5" s="101" t="s">
        <v>120</v>
      </c>
      <c r="C5" s="101" t="s">
        <v>784</v>
      </c>
      <c r="D5" s="101" t="s">
        <v>443</v>
      </c>
      <c r="E5" s="101" t="s">
        <v>455</v>
      </c>
      <c r="F5" s="101" t="s">
        <v>396</v>
      </c>
      <c r="G5" s="101"/>
      <c r="H5" s="101" t="s">
        <v>396</v>
      </c>
      <c r="I5" s="106" t="s">
        <v>3474</v>
      </c>
      <c r="J5" s="101">
        <v>1</v>
      </c>
      <c r="K5" s="101"/>
      <c r="L5" s="101"/>
      <c r="M5" s="101"/>
      <c r="N5" s="101"/>
    </row>
    <row r="6" spans="1:14">
      <c r="A6" s="101" t="s">
        <v>881</v>
      </c>
      <c r="B6" s="101" t="s">
        <v>124</v>
      </c>
      <c r="C6" s="101" t="s">
        <v>784</v>
      </c>
      <c r="D6" s="101" t="s">
        <v>443</v>
      </c>
      <c r="E6" s="101" t="s">
        <v>455</v>
      </c>
      <c r="F6" s="101" t="s">
        <v>396</v>
      </c>
      <c r="G6" s="101"/>
      <c r="H6" s="101" t="s">
        <v>396</v>
      </c>
      <c r="I6" s="106" t="s">
        <v>3475</v>
      </c>
      <c r="J6" s="101">
        <v>1</v>
      </c>
      <c r="K6" s="101"/>
      <c r="L6" s="101"/>
      <c r="M6" s="101"/>
      <c r="N6" s="101"/>
    </row>
    <row r="7" spans="1:14">
      <c r="A7" s="101" t="s">
        <v>1051</v>
      </c>
      <c r="B7" s="101" t="s">
        <v>121</v>
      </c>
      <c r="C7" s="101" t="s">
        <v>784</v>
      </c>
      <c r="D7" s="101" t="s">
        <v>443</v>
      </c>
      <c r="E7" s="101" t="s">
        <v>455</v>
      </c>
      <c r="F7" s="101" t="s">
        <v>396</v>
      </c>
      <c r="G7" s="101"/>
      <c r="H7" s="101" t="s">
        <v>396</v>
      </c>
      <c r="I7" s="106" t="s">
        <v>3476</v>
      </c>
      <c r="J7" s="101">
        <v>1</v>
      </c>
      <c r="K7" s="101"/>
      <c r="L7" s="101"/>
      <c r="M7" s="101"/>
      <c r="N7" s="101"/>
    </row>
    <row r="8" spans="1:14">
      <c r="A8" s="101" t="s">
        <v>737</v>
      </c>
      <c r="B8" s="101" t="s">
        <v>125</v>
      </c>
      <c r="C8" s="101" t="s">
        <v>784</v>
      </c>
      <c r="D8" s="101" t="s">
        <v>443</v>
      </c>
      <c r="E8" s="101" t="s">
        <v>455</v>
      </c>
      <c r="F8" s="101" t="s">
        <v>396</v>
      </c>
      <c r="G8" s="101"/>
      <c r="H8" s="101" t="s">
        <v>396</v>
      </c>
      <c r="I8" s="106" t="s">
        <v>3477</v>
      </c>
      <c r="J8" s="101">
        <v>1</v>
      </c>
      <c r="K8" s="101"/>
      <c r="L8" s="101"/>
      <c r="M8" s="101">
        <v>1</v>
      </c>
      <c r="N8" s="101"/>
    </row>
    <row r="9" spans="1:14">
      <c r="A9" s="101" t="s">
        <v>526</v>
      </c>
      <c r="B9" s="101" t="s">
        <v>131</v>
      </c>
      <c r="C9" s="101" t="s">
        <v>784</v>
      </c>
      <c r="D9" s="101" t="s">
        <v>421</v>
      </c>
      <c r="E9" s="101" t="s">
        <v>455</v>
      </c>
      <c r="F9" s="101" t="s">
        <v>396</v>
      </c>
      <c r="G9" s="101"/>
      <c r="H9" s="101" t="s">
        <v>396</v>
      </c>
      <c r="I9" s="106" t="s">
        <v>3478</v>
      </c>
      <c r="J9" s="101">
        <v>4</v>
      </c>
      <c r="K9" s="101"/>
      <c r="L9" s="101" t="s">
        <v>396</v>
      </c>
      <c r="M9" s="101"/>
      <c r="N9" s="101"/>
    </row>
    <row r="10" spans="1:14">
      <c r="A10" s="101" t="s">
        <v>633</v>
      </c>
      <c r="B10" s="101" t="s">
        <v>154</v>
      </c>
      <c r="C10" s="101" t="s">
        <v>784</v>
      </c>
      <c r="D10" s="101" t="s">
        <v>421</v>
      </c>
      <c r="E10" s="101" t="s">
        <v>410</v>
      </c>
      <c r="F10" s="101" t="s">
        <v>396</v>
      </c>
      <c r="G10" s="101"/>
      <c r="H10" s="101" t="s">
        <v>396</v>
      </c>
      <c r="I10" s="106" t="s">
        <v>3479</v>
      </c>
      <c r="J10" s="101">
        <v>2</v>
      </c>
      <c r="K10" s="101"/>
      <c r="L10" s="101" t="s">
        <v>396</v>
      </c>
      <c r="M10" s="101"/>
      <c r="N10" s="101"/>
    </row>
    <row r="11" spans="1:14">
      <c r="A11" s="101" t="s">
        <v>549</v>
      </c>
      <c r="B11" s="101" t="s">
        <v>179</v>
      </c>
      <c r="C11" s="101" t="s">
        <v>784</v>
      </c>
      <c r="D11" s="101" t="s">
        <v>421</v>
      </c>
      <c r="E11" s="101" t="s">
        <v>455</v>
      </c>
      <c r="F11" s="101" t="s">
        <v>396</v>
      </c>
      <c r="G11" s="101"/>
      <c r="H11" s="101" t="s">
        <v>396</v>
      </c>
      <c r="I11" s="106" t="s">
        <v>3480</v>
      </c>
      <c r="J11" s="101">
        <v>2</v>
      </c>
      <c r="K11" s="101"/>
      <c r="L11" s="101" t="s">
        <v>396</v>
      </c>
      <c r="M11" s="101"/>
      <c r="N11" s="101"/>
    </row>
    <row r="12" spans="1:14">
      <c r="A12" s="101" t="s">
        <v>443</v>
      </c>
      <c r="B12" s="101" t="s">
        <v>186</v>
      </c>
      <c r="C12" s="101" t="s">
        <v>784</v>
      </c>
      <c r="D12" s="101" t="s">
        <v>443</v>
      </c>
      <c r="E12" s="101" t="s">
        <v>455</v>
      </c>
      <c r="F12" s="101" t="s">
        <v>396</v>
      </c>
      <c r="G12" s="101"/>
      <c r="H12" s="101" t="s">
        <v>396</v>
      </c>
      <c r="I12" s="106" t="s">
        <v>3481</v>
      </c>
      <c r="J12" s="101">
        <v>1</v>
      </c>
      <c r="K12" s="101"/>
      <c r="L12" s="101" t="s">
        <v>396</v>
      </c>
      <c r="M12" s="101"/>
      <c r="N12" s="101"/>
    </row>
    <row r="13" spans="1:14">
      <c r="A13" s="101" t="s">
        <v>3482</v>
      </c>
      <c r="B13" s="101" t="s">
        <v>213</v>
      </c>
      <c r="C13" s="101" t="s">
        <v>784</v>
      </c>
      <c r="D13" s="101" t="s">
        <v>376</v>
      </c>
      <c r="E13" s="101" t="s">
        <v>385</v>
      </c>
      <c r="F13" s="101" t="s">
        <v>396</v>
      </c>
      <c r="G13" s="101" t="s">
        <v>386</v>
      </c>
      <c r="H13" s="101" t="s">
        <v>396</v>
      </c>
      <c r="I13" s="106"/>
      <c r="J13" s="101">
        <v>1</v>
      </c>
      <c r="K13" s="101"/>
      <c r="L13" s="101"/>
      <c r="M13" s="101">
        <v>4</v>
      </c>
      <c r="N13" s="101"/>
    </row>
    <row r="14" spans="1:14">
      <c r="A14" s="101" t="s">
        <v>1677</v>
      </c>
      <c r="B14" s="101" t="s">
        <v>213</v>
      </c>
      <c r="C14" s="101" t="s">
        <v>784</v>
      </c>
      <c r="D14" s="101" t="s">
        <v>376</v>
      </c>
      <c r="E14" s="101" t="s">
        <v>410</v>
      </c>
      <c r="F14" s="101" t="s">
        <v>396</v>
      </c>
      <c r="G14" s="101" t="s">
        <v>386</v>
      </c>
      <c r="H14" s="101" t="s">
        <v>396</v>
      </c>
      <c r="I14" s="106"/>
      <c r="J14" s="101">
        <v>2</v>
      </c>
      <c r="K14" s="101"/>
      <c r="L14" s="101"/>
      <c r="M14" s="101"/>
      <c r="N14" s="101"/>
    </row>
    <row r="15" spans="1:14" hidden="1">
      <c r="A15" s="101" t="s">
        <v>418</v>
      </c>
      <c r="B15" s="101" t="s">
        <v>177</v>
      </c>
      <c r="C15" s="101" t="s">
        <v>784</v>
      </c>
      <c r="D15" s="101" t="s">
        <v>421</v>
      </c>
      <c r="E15" s="101" t="s">
        <v>385</v>
      </c>
      <c r="F15" s="101" t="s">
        <v>386</v>
      </c>
      <c r="G15" s="101"/>
      <c r="H15" s="101"/>
      <c r="I15" s="106"/>
      <c r="J15" s="101"/>
      <c r="K15" s="101"/>
      <c r="L15" s="101"/>
      <c r="M15" s="101"/>
      <c r="N15" s="101"/>
    </row>
    <row r="16" spans="1:14" hidden="1">
      <c r="A16" s="101" t="s">
        <v>428</v>
      </c>
      <c r="B16" s="101" t="s">
        <v>212</v>
      </c>
      <c r="C16" s="101" t="s">
        <v>784</v>
      </c>
      <c r="D16" s="101" t="s">
        <v>421</v>
      </c>
      <c r="E16" s="101" t="s">
        <v>432</v>
      </c>
      <c r="F16" s="101" t="s">
        <v>386</v>
      </c>
      <c r="G16" s="101"/>
      <c r="H16" s="101"/>
      <c r="I16" s="106"/>
      <c r="J16" s="101"/>
      <c r="K16" s="101"/>
      <c r="L16" s="101"/>
      <c r="M16" s="101"/>
      <c r="N16" s="101"/>
    </row>
    <row r="17" spans="1:14">
      <c r="A17" s="101" t="s">
        <v>469</v>
      </c>
      <c r="B17" s="101" t="s">
        <v>178</v>
      </c>
      <c r="C17" s="101" t="s">
        <v>784</v>
      </c>
      <c r="D17" s="101" t="s">
        <v>421</v>
      </c>
      <c r="E17" s="101" t="s">
        <v>410</v>
      </c>
      <c r="F17" s="101" t="s">
        <v>396</v>
      </c>
      <c r="G17" s="101"/>
      <c r="H17" s="101"/>
      <c r="I17" s="106"/>
      <c r="J17" s="101">
        <v>2</v>
      </c>
      <c r="K17" s="101"/>
      <c r="L17" s="101"/>
      <c r="M17" s="101"/>
      <c r="N17" s="101"/>
    </row>
    <row r="18" spans="1:14" hidden="1">
      <c r="A18" s="101" t="s">
        <v>478</v>
      </c>
      <c r="B18" s="101" t="s">
        <v>207</v>
      </c>
      <c r="C18" s="101" t="s">
        <v>784</v>
      </c>
      <c r="D18" s="101" t="s">
        <v>421</v>
      </c>
      <c r="E18" s="101" t="s">
        <v>455</v>
      </c>
      <c r="F18" s="101" t="s">
        <v>386</v>
      </c>
      <c r="G18" s="101"/>
      <c r="H18" s="101"/>
      <c r="I18" s="106"/>
      <c r="J18" s="101"/>
      <c r="K18" s="101"/>
      <c r="L18" s="101"/>
      <c r="M18" s="101"/>
      <c r="N18" s="101"/>
    </row>
    <row r="19" spans="1:14">
      <c r="A19" s="101" t="s">
        <v>494</v>
      </c>
      <c r="B19" s="101" t="s">
        <v>185</v>
      </c>
      <c r="C19" s="101" t="s">
        <v>784</v>
      </c>
      <c r="D19" s="101" t="s">
        <v>443</v>
      </c>
      <c r="E19" s="101" t="s">
        <v>455</v>
      </c>
      <c r="F19" s="101" t="s">
        <v>396</v>
      </c>
      <c r="G19" s="101"/>
      <c r="H19" s="101" t="s">
        <v>396</v>
      </c>
      <c r="I19" s="106"/>
      <c r="J19" s="101">
        <v>4</v>
      </c>
      <c r="K19" s="101"/>
      <c r="L19" s="101" t="s">
        <v>396</v>
      </c>
      <c r="M19" s="101"/>
      <c r="N19" s="101"/>
    </row>
    <row r="20" spans="1:14">
      <c r="A20" s="101" t="s">
        <v>573</v>
      </c>
      <c r="B20" s="101" t="s">
        <v>143</v>
      </c>
      <c r="C20" s="101" t="s">
        <v>784</v>
      </c>
      <c r="D20" s="101" t="s">
        <v>576</v>
      </c>
      <c r="E20" s="101" t="s">
        <v>455</v>
      </c>
      <c r="F20" s="101" t="s">
        <v>396</v>
      </c>
      <c r="G20" s="101"/>
      <c r="H20" s="101" t="s">
        <v>396</v>
      </c>
      <c r="I20" s="106"/>
      <c r="J20" s="101">
        <v>2</v>
      </c>
      <c r="K20" s="101"/>
      <c r="L20" s="101" t="s">
        <v>396</v>
      </c>
      <c r="M20" s="101"/>
      <c r="N20" s="101"/>
    </row>
    <row r="21" spans="1:14">
      <c r="A21" s="101" t="s">
        <v>602</v>
      </c>
      <c r="B21" s="101" t="s">
        <v>196</v>
      </c>
      <c r="C21" s="101" t="s">
        <v>784</v>
      </c>
      <c r="D21" s="101" t="s">
        <v>605</v>
      </c>
      <c r="E21" s="101" t="s">
        <v>455</v>
      </c>
      <c r="F21" s="101" t="s">
        <v>396</v>
      </c>
      <c r="G21" s="101"/>
      <c r="H21" s="101" t="s">
        <v>396</v>
      </c>
      <c r="I21" s="106"/>
      <c r="J21" s="101">
        <v>2</v>
      </c>
      <c r="K21" s="101"/>
      <c r="L21" s="101" t="s">
        <v>396</v>
      </c>
      <c r="M21" s="101"/>
      <c r="N21" s="101"/>
    </row>
    <row r="22" spans="1:14" hidden="1">
      <c r="A22" s="101" t="s">
        <v>657</v>
      </c>
      <c r="B22" s="101" t="s">
        <v>176</v>
      </c>
      <c r="C22" s="101" t="s">
        <v>784</v>
      </c>
      <c r="D22" s="101" t="s">
        <v>576</v>
      </c>
      <c r="E22" s="101" t="s">
        <v>432</v>
      </c>
      <c r="F22" s="101" t="s">
        <v>386</v>
      </c>
      <c r="G22" s="101"/>
      <c r="H22" s="101"/>
      <c r="I22" s="106"/>
      <c r="J22" s="101"/>
      <c r="K22" s="101"/>
      <c r="L22" s="101"/>
      <c r="M22" s="101"/>
      <c r="N22" s="101"/>
    </row>
    <row r="23" spans="1:14" hidden="1">
      <c r="A23" s="101" t="s">
        <v>672</v>
      </c>
      <c r="B23" s="101" t="s">
        <v>159</v>
      </c>
      <c r="C23" s="101" t="s">
        <v>784</v>
      </c>
      <c r="D23" s="101" t="s">
        <v>421</v>
      </c>
      <c r="E23" s="101" t="s">
        <v>455</v>
      </c>
      <c r="F23" s="101" t="s">
        <v>386</v>
      </c>
      <c r="G23" s="101"/>
      <c r="H23" s="101"/>
      <c r="I23" s="106"/>
      <c r="J23" s="101"/>
      <c r="K23" s="101"/>
      <c r="L23" s="101"/>
      <c r="M23" s="101"/>
      <c r="N23" s="101"/>
    </row>
    <row r="24" spans="1:14">
      <c r="A24" s="101" t="s">
        <v>689</v>
      </c>
      <c r="B24" s="101" t="s">
        <v>139</v>
      </c>
      <c r="C24" s="101" t="s">
        <v>784</v>
      </c>
      <c r="D24" s="101" t="s">
        <v>421</v>
      </c>
      <c r="E24" s="101" t="s">
        <v>455</v>
      </c>
      <c r="F24" s="101" t="s">
        <v>396</v>
      </c>
      <c r="G24" s="101"/>
      <c r="H24" s="101"/>
      <c r="I24" s="106"/>
      <c r="J24" s="101"/>
      <c r="K24" s="101"/>
      <c r="L24" s="101"/>
      <c r="M24" s="101"/>
      <c r="N24" s="101" t="s">
        <v>3483</v>
      </c>
    </row>
    <row r="25" spans="1:14">
      <c r="A25" s="101" t="s">
        <v>702</v>
      </c>
      <c r="B25" s="101" t="s">
        <v>128</v>
      </c>
      <c r="C25" s="101" t="s">
        <v>784</v>
      </c>
      <c r="D25" s="101" t="s">
        <v>421</v>
      </c>
      <c r="E25" s="101" t="s">
        <v>385</v>
      </c>
      <c r="F25" s="101" t="s">
        <v>396</v>
      </c>
      <c r="G25" s="101"/>
      <c r="H25" s="101" t="s">
        <v>396</v>
      </c>
      <c r="I25" s="106"/>
      <c r="J25" s="101">
        <v>2</v>
      </c>
      <c r="K25" s="101"/>
      <c r="L25" s="101" t="s">
        <v>396</v>
      </c>
      <c r="M25" s="101"/>
      <c r="N25" s="101"/>
    </row>
    <row r="26" spans="1:14" hidden="1">
      <c r="A26" s="101" t="s">
        <v>717</v>
      </c>
      <c r="B26" s="101" t="s">
        <v>162</v>
      </c>
      <c r="C26" s="101" t="s">
        <v>784</v>
      </c>
      <c r="D26" s="101" t="s">
        <v>376</v>
      </c>
      <c r="E26" s="101" t="s">
        <v>727</v>
      </c>
      <c r="F26" s="101" t="s">
        <v>386</v>
      </c>
      <c r="G26" s="101"/>
      <c r="H26" s="101"/>
      <c r="I26" s="106"/>
      <c r="J26" s="101"/>
      <c r="K26" s="101"/>
      <c r="L26" s="101"/>
      <c r="M26" s="101"/>
      <c r="N26" s="101"/>
    </row>
    <row r="27" spans="1:14">
      <c r="A27" s="101" t="s">
        <v>747</v>
      </c>
      <c r="B27" s="101" t="s">
        <v>206</v>
      </c>
      <c r="C27" s="101" t="s">
        <v>784</v>
      </c>
      <c r="D27" s="101" t="s">
        <v>421</v>
      </c>
      <c r="E27" s="101" t="s">
        <v>455</v>
      </c>
      <c r="F27" s="101" t="s">
        <v>396</v>
      </c>
      <c r="G27" s="101"/>
      <c r="H27" s="101"/>
      <c r="I27" s="106"/>
      <c r="J27" s="101">
        <v>1</v>
      </c>
      <c r="K27" s="101"/>
      <c r="L27" s="101"/>
      <c r="M27" s="101"/>
      <c r="N27" s="101"/>
    </row>
    <row r="28" spans="1:14" hidden="1">
      <c r="A28" s="101" t="s">
        <v>770</v>
      </c>
      <c r="B28" s="101" t="s">
        <v>115</v>
      </c>
      <c r="C28" s="101" t="s">
        <v>784</v>
      </c>
      <c r="D28" s="101" t="s">
        <v>421</v>
      </c>
      <c r="E28" s="101" t="s">
        <v>455</v>
      </c>
      <c r="F28" s="101" t="s">
        <v>386</v>
      </c>
      <c r="G28" s="101"/>
      <c r="H28" s="101"/>
      <c r="I28" s="106"/>
      <c r="J28" s="101"/>
      <c r="K28" s="101"/>
      <c r="L28" s="101"/>
      <c r="M28" s="101"/>
      <c r="N28" s="101"/>
    </row>
    <row r="29" spans="1:14" hidden="1">
      <c r="A29" s="101" t="s">
        <v>776</v>
      </c>
      <c r="B29" s="101" t="s">
        <v>134</v>
      </c>
      <c r="C29" s="101" t="s">
        <v>784</v>
      </c>
      <c r="D29" s="101" t="s">
        <v>576</v>
      </c>
      <c r="E29" s="101" t="s">
        <v>455</v>
      </c>
      <c r="F29" s="101" t="s">
        <v>386</v>
      </c>
      <c r="G29" s="101"/>
      <c r="H29" s="101"/>
      <c r="I29" s="106"/>
      <c r="J29" s="101"/>
      <c r="K29" s="101"/>
      <c r="L29" s="101"/>
      <c r="M29" s="101"/>
      <c r="N29" s="101"/>
    </row>
    <row r="30" spans="1:14" hidden="1">
      <c r="A30" s="101" t="s">
        <v>783</v>
      </c>
      <c r="B30" s="101" t="s">
        <v>137</v>
      </c>
      <c r="C30" s="101" t="s">
        <v>784</v>
      </c>
      <c r="D30" s="101" t="s">
        <v>421</v>
      </c>
      <c r="E30" s="101" t="s">
        <v>727</v>
      </c>
      <c r="F30" s="101" t="s">
        <v>386</v>
      </c>
      <c r="G30" s="101"/>
      <c r="H30" s="101"/>
      <c r="I30" s="106"/>
      <c r="J30" s="101"/>
      <c r="K30" s="101"/>
      <c r="L30" s="101"/>
      <c r="M30" s="101"/>
      <c r="N30" s="101"/>
    </row>
    <row r="31" spans="1:14">
      <c r="A31" s="101" t="s">
        <v>792</v>
      </c>
      <c r="B31" s="101" t="s">
        <v>193</v>
      </c>
      <c r="C31" s="101" t="s">
        <v>784</v>
      </c>
      <c r="D31" s="101" t="s">
        <v>605</v>
      </c>
      <c r="E31" s="101" t="s">
        <v>385</v>
      </c>
      <c r="F31" s="101" t="s">
        <v>396</v>
      </c>
      <c r="G31" s="101"/>
      <c r="H31" s="101" t="s">
        <v>396</v>
      </c>
      <c r="I31" s="106"/>
      <c r="J31" s="101">
        <v>1</v>
      </c>
      <c r="K31" s="101"/>
      <c r="L31" s="101" t="s">
        <v>396</v>
      </c>
      <c r="M31" s="101"/>
      <c r="N31" s="101"/>
    </row>
    <row r="32" spans="1:14">
      <c r="A32" s="101" t="s">
        <v>810</v>
      </c>
      <c r="B32" s="101" t="s">
        <v>123</v>
      </c>
      <c r="C32" s="101" t="s">
        <v>784</v>
      </c>
      <c r="D32" s="101" t="s">
        <v>576</v>
      </c>
      <c r="E32" s="101" t="s">
        <v>455</v>
      </c>
      <c r="F32" s="101" t="s">
        <v>396</v>
      </c>
      <c r="G32" s="101"/>
      <c r="H32" s="101"/>
      <c r="I32" s="106"/>
      <c r="J32" s="101">
        <v>1</v>
      </c>
      <c r="K32" s="101"/>
      <c r="L32" s="101"/>
      <c r="M32" s="101"/>
      <c r="N32" s="101"/>
    </row>
    <row r="33" spans="1:14">
      <c r="A33" s="101" t="s">
        <v>829</v>
      </c>
      <c r="B33" s="101" t="s">
        <v>203</v>
      </c>
      <c r="C33" s="101" t="s">
        <v>784</v>
      </c>
      <c r="D33" s="101" t="s">
        <v>421</v>
      </c>
      <c r="E33" s="101" t="s">
        <v>455</v>
      </c>
      <c r="F33" s="101" t="s">
        <v>396</v>
      </c>
      <c r="G33" s="101"/>
      <c r="H33" s="101"/>
      <c r="I33" s="106"/>
      <c r="J33" s="101">
        <v>1</v>
      </c>
      <c r="K33" s="101"/>
      <c r="L33" s="101"/>
      <c r="M33" s="101">
        <v>7</v>
      </c>
      <c r="N33" s="101"/>
    </row>
    <row r="34" spans="1:14">
      <c r="A34" s="101" t="s">
        <v>846</v>
      </c>
      <c r="B34" s="101" t="s">
        <v>126</v>
      </c>
      <c r="C34" s="101" t="s">
        <v>784</v>
      </c>
      <c r="D34" s="101" t="s">
        <v>421</v>
      </c>
      <c r="E34" s="101" t="s">
        <v>455</v>
      </c>
      <c r="F34" s="101" t="s">
        <v>396</v>
      </c>
      <c r="G34" s="101"/>
      <c r="H34" s="101"/>
      <c r="I34" s="106"/>
      <c r="J34" s="101">
        <v>1</v>
      </c>
      <c r="K34" s="101"/>
      <c r="L34" s="101"/>
      <c r="M34" s="101"/>
      <c r="N34" s="101"/>
    </row>
    <row r="35" spans="1:14">
      <c r="A35" s="101" t="s">
        <v>858</v>
      </c>
      <c r="B35" s="101" t="s">
        <v>129</v>
      </c>
      <c r="C35" s="101" t="s">
        <v>784</v>
      </c>
      <c r="D35" s="101" t="s">
        <v>605</v>
      </c>
      <c r="E35" s="101" t="s">
        <v>455</v>
      </c>
      <c r="F35" s="101" t="s">
        <v>396</v>
      </c>
      <c r="G35" s="101"/>
      <c r="H35" s="101"/>
      <c r="I35" s="106"/>
      <c r="J35" s="101"/>
      <c r="K35" s="101"/>
      <c r="L35" s="101"/>
      <c r="M35" s="101"/>
      <c r="N35" s="101"/>
    </row>
    <row r="36" spans="1:14">
      <c r="A36" s="101" t="s">
        <v>869</v>
      </c>
      <c r="B36" s="101" t="s">
        <v>180</v>
      </c>
      <c r="C36" s="101" t="s">
        <v>784</v>
      </c>
      <c r="D36" s="101" t="s">
        <v>376</v>
      </c>
      <c r="E36" s="101" t="s">
        <v>385</v>
      </c>
      <c r="F36" s="101" t="s">
        <v>396</v>
      </c>
      <c r="G36" s="101" t="s">
        <v>386</v>
      </c>
      <c r="H36" s="101" t="s">
        <v>386</v>
      </c>
      <c r="I36" s="106"/>
      <c r="J36" s="101"/>
      <c r="K36" s="101"/>
      <c r="L36" s="101" t="s">
        <v>386</v>
      </c>
      <c r="M36" s="101"/>
      <c r="N36" s="101"/>
    </row>
    <row r="37" spans="1:14" hidden="1">
      <c r="A37" s="101" t="s">
        <v>889</v>
      </c>
      <c r="B37" s="101" t="s">
        <v>201</v>
      </c>
      <c r="C37" s="101" t="s">
        <v>784</v>
      </c>
      <c r="D37" s="101" t="s">
        <v>443</v>
      </c>
      <c r="E37" s="101" t="s">
        <v>432</v>
      </c>
      <c r="F37" s="101" t="s">
        <v>386</v>
      </c>
      <c r="G37" s="101"/>
      <c r="H37" s="101"/>
      <c r="I37" s="106"/>
      <c r="J37" s="101"/>
      <c r="K37" s="101"/>
      <c r="L37" s="101"/>
      <c r="M37" s="101"/>
      <c r="N37" s="101"/>
    </row>
    <row r="38" spans="1:14" hidden="1">
      <c r="A38" s="101" t="s">
        <v>899</v>
      </c>
      <c r="B38" s="101" t="s">
        <v>165</v>
      </c>
      <c r="C38" s="101" t="s">
        <v>784</v>
      </c>
      <c r="D38" s="101" t="s">
        <v>421</v>
      </c>
      <c r="E38" s="101" t="s">
        <v>455</v>
      </c>
      <c r="F38" s="101" t="s">
        <v>386</v>
      </c>
      <c r="G38" s="101"/>
      <c r="H38" s="101"/>
      <c r="I38" s="106"/>
      <c r="J38" s="101"/>
      <c r="K38" s="101"/>
      <c r="L38" s="101"/>
      <c r="M38" s="101"/>
      <c r="N38" s="101"/>
    </row>
    <row r="39" spans="1:14" hidden="1">
      <c r="A39" s="101" t="s">
        <v>912</v>
      </c>
      <c r="B39" s="101" t="s">
        <v>183</v>
      </c>
      <c r="C39" s="101" t="s">
        <v>784</v>
      </c>
      <c r="D39" s="101" t="s">
        <v>443</v>
      </c>
      <c r="E39" s="101" t="s">
        <v>432</v>
      </c>
      <c r="F39" s="101" t="s">
        <v>386</v>
      </c>
      <c r="G39" s="101"/>
      <c r="H39" s="101"/>
      <c r="I39" s="106"/>
      <c r="J39" s="101"/>
      <c r="K39" s="101"/>
      <c r="L39" s="101"/>
      <c r="M39" s="101">
        <v>2</v>
      </c>
      <c r="N39" s="101"/>
    </row>
    <row r="40" spans="1:14" hidden="1">
      <c r="A40" s="101" t="s">
        <v>919</v>
      </c>
      <c r="B40" s="101" t="s">
        <v>136</v>
      </c>
      <c r="C40" s="101" t="s">
        <v>784</v>
      </c>
      <c r="D40" s="101" t="s">
        <v>421</v>
      </c>
      <c r="E40" s="101" t="s">
        <v>727</v>
      </c>
      <c r="F40" s="101" t="s">
        <v>386</v>
      </c>
      <c r="G40" s="101"/>
      <c r="H40" s="101"/>
      <c r="I40" s="106"/>
      <c r="J40" s="101"/>
      <c r="K40" s="101"/>
      <c r="L40" s="101"/>
      <c r="M40" s="101"/>
      <c r="N40" s="101"/>
    </row>
    <row r="41" spans="1:14" hidden="1">
      <c r="A41" s="101" t="s">
        <v>935</v>
      </c>
      <c r="B41" s="101" t="s">
        <v>142</v>
      </c>
      <c r="C41" s="101" t="s">
        <v>784</v>
      </c>
      <c r="D41" s="101" t="s">
        <v>421</v>
      </c>
      <c r="E41" s="101" t="s">
        <v>727</v>
      </c>
      <c r="F41" s="101" t="s">
        <v>386</v>
      </c>
      <c r="G41" s="101"/>
      <c r="H41" s="101"/>
      <c r="I41" s="106"/>
      <c r="J41" s="101"/>
      <c r="K41" s="101"/>
      <c r="L41" s="101"/>
      <c r="M41" s="101"/>
      <c r="N41" s="101"/>
    </row>
    <row r="42" spans="1:14">
      <c r="A42" s="101" t="s">
        <v>946</v>
      </c>
      <c r="B42" s="101" t="s">
        <v>199</v>
      </c>
      <c r="C42" s="101" t="s">
        <v>784</v>
      </c>
      <c r="D42" s="101" t="s">
        <v>421</v>
      </c>
      <c r="E42" s="101" t="s">
        <v>455</v>
      </c>
      <c r="F42" s="101" t="s">
        <v>396</v>
      </c>
      <c r="G42" s="101"/>
      <c r="H42" s="101"/>
      <c r="I42" s="106"/>
      <c r="J42" s="101">
        <v>1</v>
      </c>
      <c r="K42" s="101"/>
      <c r="L42" s="101"/>
      <c r="M42" s="101"/>
      <c r="N42" s="101"/>
    </row>
    <row r="43" spans="1:14">
      <c r="A43" s="101" t="s">
        <v>954</v>
      </c>
      <c r="B43" s="101" t="s">
        <v>170</v>
      </c>
      <c r="C43" s="101" t="s">
        <v>784</v>
      </c>
      <c r="D43" s="101" t="s">
        <v>376</v>
      </c>
      <c r="E43" s="101" t="s">
        <v>727</v>
      </c>
      <c r="F43" s="101" t="s">
        <v>396</v>
      </c>
      <c r="G43" s="101"/>
      <c r="H43" s="101"/>
      <c r="I43" s="106"/>
      <c r="J43" s="101">
        <v>2</v>
      </c>
      <c r="K43" s="101"/>
      <c r="L43" s="101"/>
      <c r="M43" s="101">
        <v>2</v>
      </c>
      <c r="N43" s="101"/>
    </row>
    <row r="44" spans="1:14">
      <c r="A44" s="101" t="s">
        <v>964</v>
      </c>
      <c r="B44" s="101" t="s">
        <v>107</v>
      </c>
      <c r="C44" s="101" t="s">
        <v>1441</v>
      </c>
      <c r="D44" s="101" t="s">
        <v>421</v>
      </c>
      <c r="E44" s="101" t="s">
        <v>455</v>
      </c>
      <c r="F44" s="101" t="s">
        <v>396</v>
      </c>
      <c r="G44" s="101"/>
      <c r="H44" s="101"/>
      <c r="I44" s="106"/>
      <c r="J44" s="101">
        <v>4</v>
      </c>
      <c r="K44" s="101"/>
      <c r="L44" s="101"/>
      <c r="M44" s="101"/>
      <c r="N44" s="101" t="s">
        <v>3484</v>
      </c>
    </row>
    <row r="45" spans="1:14" hidden="1">
      <c r="A45" s="101" t="s">
        <v>970</v>
      </c>
      <c r="B45" s="101" t="s">
        <v>166</v>
      </c>
      <c r="C45" s="101" t="s">
        <v>784</v>
      </c>
      <c r="D45" s="101" t="s">
        <v>421</v>
      </c>
      <c r="E45" s="101" t="s">
        <v>455</v>
      </c>
      <c r="F45" s="101" t="s">
        <v>386</v>
      </c>
      <c r="G45" s="101"/>
      <c r="H45" s="101"/>
      <c r="I45" s="106"/>
      <c r="J45" s="101"/>
      <c r="K45" s="101"/>
      <c r="L45" s="101"/>
      <c r="M45" s="101"/>
      <c r="N45" s="101"/>
    </row>
    <row r="46" spans="1:14">
      <c r="A46" s="101" t="s">
        <v>981</v>
      </c>
      <c r="B46" s="101" t="s">
        <v>205</v>
      </c>
      <c r="C46" s="101" t="s">
        <v>784</v>
      </c>
      <c r="D46" s="101" t="s">
        <v>421</v>
      </c>
      <c r="E46" s="101" t="s">
        <v>455</v>
      </c>
      <c r="F46" s="101" t="s">
        <v>396</v>
      </c>
      <c r="G46" s="101"/>
      <c r="H46" s="101"/>
      <c r="I46" s="106"/>
      <c r="J46" s="101">
        <v>1</v>
      </c>
      <c r="K46" s="101"/>
      <c r="L46" s="101"/>
      <c r="M46" s="101">
        <v>4</v>
      </c>
      <c r="N46" s="101"/>
    </row>
    <row r="47" spans="1:14">
      <c r="A47" s="101" t="s">
        <v>990</v>
      </c>
      <c r="B47" s="101" t="s">
        <v>140</v>
      </c>
      <c r="C47" s="101" t="s">
        <v>784</v>
      </c>
      <c r="D47" s="101" t="s">
        <v>421</v>
      </c>
      <c r="E47" s="101" t="s">
        <v>727</v>
      </c>
      <c r="F47" s="101" t="s">
        <v>396</v>
      </c>
      <c r="G47" s="101"/>
      <c r="H47" s="101"/>
      <c r="I47" s="106"/>
      <c r="J47" s="101">
        <v>1</v>
      </c>
      <c r="K47" s="101"/>
      <c r="L47" s="101"/>
      <c r="M47" s="101"/>
      <c r="N47" s="101"/>
    </row>
    <row r="48" spans="1:14" hidden="1">
      <c r="A48" s="101" t="s">
        <v>997</v>
      </c>
      <c r="B48" s="101" t="s">
        <v>181</v>
      </c>
      <c r="C48" s="101" t="s">
        <v>784</v>
      </c>
      <c r="D48" s="101" t="s">
        <v>421</v>
      </c>
      <c r="E48" s="101" t="s">
        <v>385</v>
      </c>
      <c r="F48" s="101" t="s">
        <v>386</v>
      </c>
      <c r="G48" s="101"/>
      <c r="H48" s="101"/>
      <c r="I48" s="106"/>
      <c r="J48" s="101"/>
      <c r="K48" s="101"/>
      <c r="L48" s="101"/>
      <c r="M48" s="101"/>
      <c r="N48" s="101"/>
    </row>
    <row r="49" spans="1:14">
      <c r="A49" s="101" t="s">
        <v>1003</v>
      </c>
      <c r="B49" s="101" t="s">
        <v>195</v>
      </c>
      <c r="C49" s="101" t="s">
        <v>784</v>
      </c>
      <c r="D49" s="101" t="s">
        <v>421</v>
      </c>
      <c r="E49" s="101" t="s">
        <v>385</v>
      </c>
      <c r="F49" s="101" t="s">
        <v>396</v>
      </c>
      <c r="G49" s="101"/>
      <c r="H49" s="101"/>
      <c r="I49" s="106"/>
      <c r="J49" s="101">
        <v>1</v>
      </c>
      <c r="K49" s="101"/>
      <c r="L49" s="101"/>
      <c r="M49" s="101">
        <v>4</v>
      </c>
      <c r="N49" s="101"/>
    </row>
    <row r="50" spans="1:14" hidden="1">
      <c r="A50" s="101" t="s">
        <v>1015</v>
      </c>
      <c r="B50" s="101" t="s">
        <v>202</v>
      </c>
      <c r="C50" s="101" t="s">
        <v>784</v>
      </c>
      <c r="D50" s="101" t="s">
        <v>443</v>
      </c>
      <c r="E50" s="101" t="s">
        <v>455</v>
      </c>
      <c r="F50" s="101" t="s">
        <v>386</v>
      </c>
      <c r="G50" s="101"/>
      <c r="H50" s="101"/>
      <c r="I50" s="106"/>
      <c r="J50" s="101"/>
      <c r="K50" s="101"/>
      <c r="L50" s="101"/>
      <c r="M50" s="101"/>
      <c r="N50" s="101"/>
    </row>
    <row r="51" spans="1:14" hidden="1">
      <c r="A51" s="101" t="s">
        <v>1024</v>
      </c>
      <c r="B51" s="101" t="s">
        <v>132</v>
      </c>
      <c r="C51" s="101" t="s">
        <v>784</v>
      </c>
      <c r="D51" s="101" t="s">
        <v>443</v>
      </c>
      <c r="E51" s="101" t="s">
        <v>432</v>
      </c>
      <c r="F51" s="101" t="s">
        <v>386</v>
      </c>
      <c r="G51" s="101"/>
      <c r="H51" s="101"/>
      <c r="I51" s="106"/>
      <c r="J51" s="101"/>
      <c r="K51" s="101"/>
      <c r="L51" s="101"/>
      <c r="M51" s="101"/>
      <c r="N51" s="101"/>
    </row>
    <row r="52" spans="1:14">
      <c r="A52" s="101" t="s">
        <v>1026</v>
      </c>
      <c r="B52" s="101" t="s">
        <v>127</v>
      </c>
      <c r="C52" s="101" t="s">
        <v>784</v>
      </c>
      <c r="D52" s="101" t="s">
        <v>421</v>
      </c>
      <c r="E52" s="101" t="s">
        <v>455</v>
      </c>
      <c r="F52" s="101" t="s">
        <v>396</v>
      </c>
      <c r="G52" s="101"/>
      <c r="H52" s="101"/>
      <c r="I52" s="106"/>
      <c r="J52" s="101"/>
      <c r="K52" s="101"/>
      <c r="L52" s="101"/>
      <c r="M52" s="101"/>
      <c r="N52" s="101"/>
    </row>
    <row r="53" spans="1:14" hidden="1">
      <c r="A53" s="101" t="s">
        <v>1033</v>
      </c>
      <c r="B53" s="101" t="s">
        <v>211</v>
      </c>
      <c r="C53" s="101" t="s">
        <v>784</v>
      </c>
      <c r="D53" s="101" t="s">
        <v>376</v>
      </c>
      <c r="E53" s="101" t="s">
        <v>727</v>
      </c>
      <c r="F53" s="101" t="s">
        <v>386</v>
      </c>
      <c r="G53" s="101" t="s">
        <v>396</v>
      </c>
      <c r="H53" s="101"/>
      <c r="I53" s="106"/>
      <c r="J53" s="101"/>
      <c r="K53" s="101"/>
      <c r="L53" s="101"/>
      <c r="M53" s="101"/>
      <c r="N53" s="101" t="s">
        <v>3485</v>
      </c>
    </row>
    <row r="54" spans="1:14">
      <c r="A54" s="101" t="s">
        <v>1036</v>
      </c>
      <c r="B54" s="101" t="s">
        <v>138</v>
      </c>
      <c r="C54" s="101" t="s">
        <v>784</v>
      </c>
      <c r="D54" s="101" t="s">
        <v>1039</v>
      </c>
      <c r="E54" s="101" t="s">
        <v>455</v>
      </c>
      <c r="F54" s="101" t="s">
        <v>396</v>
      </c>
      <c r="G54" s="101"/>
      <c r="H54" s="101"/>
      <c r="I54" s="106"/>
      <c r="J54" s="101">
        <v>1</v>
      </c>
      <c r="K54" s="101"/>
      <c r="L54" s="101"/>
      <c r="M54" s="101">
        <v>4</v>
      </c>
      <c r="N54" s="101"/>
    </row>
    <row r="55" spans="1:14" hidden="1">
      <c r="A55" s="101" t="s">
        <v>1062</v>
      </c>
      <c r="B55" s="101" t="s">
        <v>198</v>
      </c>
      <c r="C55" s="101" t="s">
        <v>784</v>
      </c>
      <c r="D55" s="101" t="s">
        <v>443</v>
      </c>
      <c r="E55" s="101" t="s">
        <v>727</v>
      </c>
      <c r="F55" s="101" t="s">
        <v>386</v>
      </c>
      <c r="G55" s="101"/>
      <c r="H55" s="101"/>
      <c r="I55" s="106"/>
      <c r="J55" s="101"/>
      <c r="K55" s="101"/>
      <c r="L55" s="101"/>
      <c r="M55" s="101"/>
      <c r="N55" s="101"/>
    </row>
    <row r="56" spans="1:14" hidden="1">
      <c r="A56" s="101" t="s">
        <v>1067</v>
      </c>
      <c r="B56" s="101" t="s">
        <v>161</v>
      </c>
      <c r="C56" s="101" t="s">
        <v>784</v>
      </c>
      <c r="D56" s="101" t="s">
        <v>605</v>
      </c>
      <c r="E56" s="101" t="s">
        <v>727</v>
      </c>
      <c r="F56" s="101" t="s">
        <v>386</v>
      </c>
      <c r="G56" s="101"/>
      <c r="H56" s="101"/>
      <c r="I56" s="106"/>
      <c r="J56" s="101"/>
      <c r="K56" s="101"/>
      <c r="L56" s="101"/>
      <c r="M56" s="101"/>
      <c r="N56" s="101"/>
    </row>
    <row r="57" spans="1:14" hidden="1">
      <c r="A57" s="101" t="s">
        <v>1073</v>
      </c>
      <c r="B57" s="101" t="s">
        <v>184</v>
      </c>
      <c r="C57" s="101" t="s">
        <v>784</v>
      </c>
      <c r="D57" s="101" t="s">
        <v>443</v>
      </c>
      <c r="E57" s="101" t="s">
        <v>432</v>
      </c>
      <c r="F57" s="101" t="s">
        <v>386</v>
      </c>
      <c r="G57" s="101"/>
      <c r="H57" s="101"/>
      <c r="I57" s="106"/>
      <c r="J57" s="101"/>
      <c r="K57" s="101"/>
      <c r="L57" s="101"/>
      <c r="M57" s="101"/>
      <c r="N57" s="101"/>
    </row>
    <row r="58" spans="1:14" hidden="1">
      <c r="A58" s="101" t="s">
        <v>1078</v>
      </c>
      <c r="B58" s="101" t="s">
        <v>230</v>
      </c>
      <c r="C58" s="101" t="s">
        <v>1563</v>
      </c>
      <c r="D58" s="101" t="s">
        <v>421</v>
      </c>
      <c r="E58" s="101" t="s">
        <v>455</v>
      </c>
      <c r="F58" s="101" t="s">
        <v>386</v>
      </c>
      <c r="G58" s="101"/>
      <c r="H58" s="101"/>
      <c r="I58" s="106"/>
      <c r="J58" s="101"/>
      <c r="K58" s="101"/>
      <c r="L58" s="101"/>
      <c r="M58" s="101"/>
      <c r="N58" s="101"/>
    </row>
    <row r="59" spans="1:14" hidden="1">
      <c r="A59" s="101" t="s">
        <v>1086</v>
      </c>
      <c r="B59" s="101" t="s">
        <v>231</v>
      </c>
      <c r="C59" s="101" t="s">
        <v>1563</v>
      </c>
      <c r="D59" s="101" t="s">
        <v>421</v>
      </c>
      <c r="E59" s="101" t="s">
        <v>455</v>
      </c>
      <c r="F59" s="101" t="s">
        <v>386</v>
      </c>
      <c r="G59" s="101"/>
      <c r="H59" s="101"/>
      <c r="I59" s="106"/>
      <c r="J59" s="101"/>
      <c r="K59" s="101"/>
      <c r="L59" s="101"/>
      <c r="M59" s="101"/>
      <c r="N59" s="101"/>
    </row>
    <row r="60" spans="1:14" hidden="1">
      <c r="A60" s="101" t="s">
        <v>1096</v>
      </c>
      <c r="B60" s="101" t="s">
        <v>158</v>
      </c>
      <c r="C60" s="101" t="s">
        <v>784</v>
      </c>
      <c r="D60" s="101" t="s">
        <v>605</v>
      </c>
      <c r="E60" s="101" t="s">
        <v>727</v>
      </c>
      <c r="F60" s="101" t="s">
        <v>386</v>
      </c>
      <c r="G60" s="101"/>
      <c r="H60" s="101"/>
      <c r="I60" s="106"/>
      <c r="J60" s="101"/>
      <c r="K60" s="101"/>
      <c r="L60" s="101"/>
      <c r="M60" s="101"/>
      <c r="N60" s="101"/>
    </row>
    <row r="61" spans="1:14" hidden="1">
      <c r="A61" s="101" t="s">
        <v>1105</v>
      </c>
      <c r="B61" s="101" t="s">
        <v>157</v>
      </c>
      <c r="C61" s="101" t="s">
        <v>784</v>
      </c>
      <c r="D61" s="101" t="s">
        <v>421</v>
      </c>
      <c r="E61" s="101" t="s">
        <v>410</v>
      </c>
      <c r="F61" s="101" t="s">
        <v>386</v>
      </c>
      <c r="G61" s="101"/>
      <c r="H61" s="101"/>
      <c r="I61" s="106"/>
      <c r="J61" s="101"/>
      <c r="K61" s="101"/>
      <c r="L61" s="101"/>
      <c r="M61" s="101"/>
      <c r="N61" s="101"/>
    </row>
    <row r="62" spans="1:14" hidden="1">
      <c r="A62" s="101" t="s">
        <v>1111</v>
      </c>
      <c r="B62" s="101" t="s">
        <v>155</v>
      </c>
      <c r="C62" s="101" t="s">
        <v>784</v>
      </c>
      <c r="D62" s="101" t="s">
        <v>376</v>
      </c>
      <c r="E62" s="101" t="s">
        <v>727</v>
      </c>
      <c r="F62" s="101" t="s">
        <v>386</v>
      </c>
      <c r="G62" s="101" t="s">
        <v>396</v>
      </c>
      <c r="H62" s="101" t="s">
        <v>396</v>
      </c>
      <c r="I62" s="106"/>
      <c r="J62" s="101">
        <v>1</v>
      </c>
      <c r="K62" s="101"/>
      <c r="L62" s="101"/>
      <c r="M62" s="101"/>
      <c r="N62" s="101" t="s">
        <v>3485</v>
      </c>
    </row>
    <row r="63" spans="1:14" hidden="1">
      <c r="A63" s="101" t="s">
        <v>1116</v>
      </c>
      <c r="B63" s="101" t="s">
        <v>197</v>
      </c>
      <c r="C63" s="101" t="s">
        <v>784</v>
      </c>
      <c r="D63" s="101" t="s">
        <v>443</v>
      </c>
      <c r="E63" s="101" t="s">
        <v>455</v>
      </c>
      <c r="F63" s="101" t="s">
        <v>386</v>
      </c>
      <c r="G63" s="101"/>
      <c r="H63" s="101"/>
      <c r="I63" s="106"/>
      <c r="J63" s="101"/>
      <c r="K63" s="101"/>
      <c r="L63" s="101"/>
      <c r="M63" s="101"/>
      <c r="N63" s="101"/>
    </row>
    <row r="64" spans="1:14">
      <c r="A64" s="101" t="s">
        <v>1122</v>
      </c>
      <c r="B64" s="101" t="s">
        <v>153</v>
      </c>
      <c r="C64" s="101" t="s">
        <v>784</v>
      </c>
      <c r="D64" s="101" t="s">
        <v>376</v>
      </c>
      <c r="E64" s="101" t="s">
        <v>385</v>
      </c>
      <c r="F64" s="101" t="s">
        <v>396</v>
      </c>
      <c r="G64" s="101"/>
      <c r="H64" s="101"/>
      <c r="I64" s="106"/>
      <c r="J64" s="101"/>
      <c r="K64" s="101"/>
      <c r="L64" s="101"/>
      <c r="M64" s="101"/>
      <c r="N64" s="101"/>
    </row>
    <row r="65" spans="1:14" hidden="1">
      <c r="A65" s="101" t="s">
        <v>1135</v>
      </c>
      <c r="B65" s="101" t="s">
        <v>151</v>
      </c>
      <c r="C65" s="101" t="s">
        <v>784</v>
      </c>
      <c r="D65" s="101" t="s">
        <v>605</v>
      </c>
      <c r="E65" s="101" t="s">
        <v>432</v>
      </c>
      <c r="F65" s="101" t="s">
        <v>386</v>
      </c>
      <c r="G65" s="101"/>
      <c r="H65" s="101"/>
      <c r="I65" s="106"/>
      <c r="J65" s="101"/>
      <c r="K65" s="101"/>
      <c r="L65" s="101"/>
      <c r="M65" s="101"/>
      <c r="N65" s="101"/>
    </row>
    <row r="66" spans="1:14" hidden="1">
      <c r="A66" s="101" t="s">
        <v>1143</v>
      </c>
      <c r="B66" s="101" t="s">
        <v>150</v>
      </c>
      <c r="C66" s="101" t="s">
        <v>784</v>
      </c>
      <c r="D66" s="101" t="s">
        <v>421</v>
      </c>
      <c r="E66" s="101" t="s">
        <v>727</v>
      </c>
      <c r="F66" s="101" t="s">
        <v>386</v>
      </c>
      <c r="G66" s="101"/>
      <c r="H66" s="101"/>
      <c r="I66" s="106"/>
      <c r="J66" s="101"/>
      <c r="K66" s="101"/>
      <c r="L66" s="101"/>
      <c r="M66" s="101"/>
      <c r="N66" s="101"/>
    </row>
    <row r="67" spans="1:14">
      <c r="A67" s="101" t="s">
        <v>1151</v>
      </c>
      <c r="B67" s="101" t="s">
        <v>149</v>
      </c>
      <c r="C67" s="101" t="s">
        <v>784</v>
      </c>
      <c r="D67" s="101" t="s">
        <v>376</v>
      </c>
      <c r="E67" s="101" t="s">
        <v>727</v>
      </c>
      <c r="F67" s="101" t="s">
        <v>396</v>
      </c>
      <c r="G67" s="101" t="s">
        <v>386</v>
      </c>
      <c r="H67" s="101"/>
      <c r="I67" s="106"/>
      <c r="J67" s="101"/>
      <c r="K67" s="101"/>
      <c r="L67" s="101"/>
      <c r="M67" s="101"/>
      <c r="N67" s="101"/>
    </row>
    <row r="68" spans="1:14">
      <c r="A68" s="101" t="s">
        <v>1156</v>
      </c>
      <c r="B68" s="101" t="s">
        <v>209</v>
      </c>
      <c r="C68" s="101" t="s">
        <v>784</v>
      </c>
      <c r="D68" s="101" t="s">
        <v>605</v>
      </c>
      <c r="E68" s="101" t="s">
        <v>455</v>
      </c>
      <c r="F68" s="101" t="s">
        <v>396</v>
      </c>
      <c r="G68" s="101"/>
      <c r="H68" s="101" t="s">
        <v>396</v>
      </c>
      <c r="I68" s="106" t="s">
        <v>3486</v>
      </c>
      <c r="J68" s="101">
        <v>2</v>
      </c>
      <c r="K68" s="101"/>
      <c r="L68" s="101"/>
      <c r="M68" s="101"/>
      <c r="N68" s="101"/>
    </row>
    <row r="69" spans="1:14">
      <c r="A69" s="101" t="s">
        <v>1171</v>
      </c>
      <c r="B69" s="101" t="s">
        <v>175</v>
      </c>
      <c r="C69" s="101" t="s">
        <v>784</v>
      </c>
      <c r="D69" s="101" t="s">
        <v>421</v>
      </c>
      <c r="E69" s="101" t="s">
        <v>727</v>
      </c>
      <c r="F69" s="101" t="s">
        <v>396</v>
      </c>
      <c r="G69" s="101"/>
      <c r="H69" s="101"/>
      <c r="I69" s="103"/>
      <c r="J69" s="101"/>
      <c r="K69" s="101"/>
      <c r="L69" s="101"/>
      <c r="M69" s="101"/>
      <c r="N69" s="101"/>
    </row>
    <row r="70" spans="1:14" hidden="1">
      <c r="A70" s="101" t="s">
        <v>1178</v>
      </c>
      <c r="B70" s="101" t="s">
        <v>133</v>
      </c>
      <c r="C70" s="101" t="s">
        <v>784</v>
      </c>
      <c r="D70" s="101" t="s">
        <v>443</v>
      </c>
      <c r="E70" s="101" t="s">
        <v>455</v>
      </c>
      <c r="F70" s="101" t="s">
        <v>386</v>
      </c>
      <c r="G70" s="101"/>
      <c r="H70" s="101"/>
      <c r="I70" s="103"/>
      <c r="J70" s="101"/>
      <c r="K70" s="101"/>
      <c r="L70" s="101"/>
      <c r="M70" s="101"/>
      <c r="N70" s="101"/>
    </row>
    <row r="71" spans="1:14" hidden="1">
      <c r="A71" s="101" t="s">
        <v>1188</v>
      </c>
      <c r="B71" s="101" t="s">
        <v>152</v>
      </c>
      <c r="C71" s="101" t="s">
        <v>784</v>
      </c>
      <c r="D71" s="101" t="s">
        <v>421</v>
      </c>
      <c r="E71" s="101" t="s">
        <v>727</v>
      </c>
      <c r="F71" s="101" t="s">
        <v>386</v>
      </c>
      <c r="G71" s="101"/>
      <c r="H71" s="101"/>
      <c r="I71" s="103"/>
      <c r="J71" s="101"/>
      <c r="K71" s="101"/>
      <c r="L71" s="101"/>
      <c r="M71" s="101"/>
      <c r="N71" s="101"/>
    </row>
    <row r="72" spans="1:14">
      <c r="A72" s="101" t="s">
        <v>1200</v>
      </c>
      <c r="B72" s="101" t="s">
        <v>191</v>
      </c>
      <c r="C72" s="101" t="s">
        <v>784</v>
      </c>
      <c r="D72" s="101" t="s">
        <v>421</v>
      </c>
      <c r="E72" s="101" t="s">
        <v>727</v>
      </c>
      <c r="F72" s="101" t="s">
        <v>396</v>
      </c>
      <c r="G72" s="101"/>
      <c r="H72" s="101" t="s">
        <v>396</v>
      </c>
      <c r="I72" s="103"/>
      <c r="J72" s="101"/>
      <c r="K72" s="101"/>
      <c r="L72" s="101" t="s">
        <v>396</v>
      </c>
      <c r="M72" s="101"/>
      <c r="N72" s="101"/>
    </row>
    <row r="73" spans="1:14">
      <c r="A73" s="101" t="s">
        <v>1219</v>
      </c>
      <c r="B73" s="101" t="s">
        <v>118</v>
      </c>
      <c r="C73" s="101" t="s">
        <v>784</v>
      </c>
      <c r="D73" s="101" t="s">
        <v>421</v>
      </c>
      <c r="E73" s="101" t="s">
        <v>455</v>
      </c>
      <c r="F73" s="101" t="s">
        <v>396</v>
      </c>
      <c r="G73" s="101"/>
      <c r="H73" s="101"/>
      <c r="I73" s="103"/>
      <c r="J73" s="101">
        <v>1</v>
      </c>
      <c r="K73" s="101"/>
      <c r="L73" s="101"/>
      <c r="M73" s="101"/>
      <c r="N73" s="101"/>
    </row>
    <row r="74" spans="1:14">
      <c r="A74" s="101" t="s">
        <v>376</v>
      </c>
      <c r="B74" s="101" t="s">
        <v>141</v>
      </c>
      <c r="C74" s="101" t="s">
        <v>784</v>
      </c>
      <c r="D74" s="101" t="s">
        <v>376</v>
      </c>
      <c r="E74" s="101" t="s">
        <v>455</v>
      </c>
      <c r="F74" s="101" t="s">
        <v>396</v>
      </c>
      <c r="G74" s="101"/>
      <c r="H74" s="101" t="s">
        <v>396</v>
      </c>
      <c r="I74" s="103"/>
      <c r="J74" s="101">
        <v>3</v>
      </c>
      <c r="K74" s="101"/>
      <c r="L74" s="101" t="s">
        <v>396</v>
      </c>
      <c r="M74" s="101"/>
      <c r="N74" s="101"/>
    </row>
    <row r="75" spans="1:14" hidden="1">
      <c r="A75" s="101" t="s">
        <v>1247</v>
      </c>
      <c r="B75" s="101" t="s">
        <v>148</v>
      </c>
      <c r="C75" s="101" t="s">
        <v>784</v>
      </c>
      <c r="D75" s="101" t="s">
        <v>376</v>
      </c>
      <c r="E75" s="101" t="s">
        <v>385</v>
      </c>
      <c r="F75" s="101" t="s">
        <v>386</v>
      </c>
      <c r="G75" s="101"/>
      <c r="H75" s="101"/>
      <c r="I75" s="103"/>
      <c r="J75" s="101"/>
      <c r="K75" s="101"/>
      <c r="L75" s="101"/>
      <c r="M75" s="101"/>
      <c r="N75" s="101"/>
    </row>
    <row r="76" spans="1:14" hidden="1">
      <c r="A76" s="101" t="s">
        <v>1253</v>
      </c>
      <c r="B76" s="101" t="s">
        <v>190</v>
      </c>
      <c r="C76" s="101" t="s">
        <v>784</v>
      </c>
      <c r="D76" s="101" t="s">
        <v>443</v>
      </c>
      <c r="E76" s="101" t="s">
        <v>432</v>
      </c>
      <c r="F76" s="101" t="s">
        <v>386</v>
      </c>
      <c r="G76" s="101"/>
      <c r="H76" s="101"/>
      <c r="I76" s="103"/>
      <c r="J76" s="101"/>
      <c r="K76" s="101"/>
      <c r="L76" s="101"/>
      <c r="M76" s="101"/>
      <c r="N76" s="101"/>
    </row>
    <row r="77" spans="1:14">
      <c r="A77" s="101" t="s">
        <v>1257</v>
      </c>
      <c r="B77" s="101" t="s">
        <v>144</v>
      </c>
      <c r="C77" s="101" t="s">
        <v>784</v>
      </c>
      <c r="D77" s="101" t="s">
        <v>421</v>
      </c>
      <c r="E77" s="101" t="s">
        <v>385</v>
      </c>
      <c r="F77" s="101" t="s">
        <v>396</v>
      </c>
      <c r="G77" s="101"/>
      <c r="H77" s="101"/>
      <c r="I77" s="103"/>
      <c r="J77" s="101">
        <v>1</v>
      </c>
      <c r="K77" s="101"/>
      <c r="L77" s="101"/>
      <c r="M77" s="101">
        <v>4</v>
      </c>
      <c r="N77" s="101"/>
    </row>
    <row r="78" spans="1:14" hidden="1">
      <c r="A78" s="101" t="s">
        <v>1267</v>
      </c>
      <c r="B78" s="101" t="s">
        <v>188</v>
      </c>
      <c r="C78" s="101" t="s">
        <v>784</v>
      </c>
      <c r="D78" s="101" t="s">
        <v>443</v>
      </c>
      <c r="E78" s="101" t="s">
        <v>432</v>
      </c>
      <c r="F78" s="101" t="s">
        <v>386</v>
      </c>
      <c r="G78" s="101"/>
      <c r="H78" s="101"/>
      <c r="I78" s="103"/>
      <c r="J78" s="101"/>
      <c r="K78" s="101"/>
      <c r="L78" s="101"/>
      <c r="M78" s="101"/>
      <c r="N78" s="101"/>
    </row>
    <row r="79" spans="1:14">
      <c r="A79" s="101" t="s">
        <v>1275</v>
      </c>
      <c r="B79" s="101" t="s">
        <v>147</v>
      </c>
      <c r="C79" s="101" t="s">
        <v>784</v>
      </c>
      <c r="D79" s="101" t="s">
        <v>421</v>
      </c>
      <c r="E79" s="101" t="s">
        <v>727</v>
      </c>
      <c r="F79" s="101" t="s">
        <v>396</v>
      </c>
      <c r="G79" s="101"/>
      <c r="H79" s="101"/>
      <c r="I79" s="103"/>
      <c r="J79" s="101"/>
      <c r="K79" s="101"/>
      <c r="L79" s="101"/>
      <c r="M79" s="101"/>
      <c r="N79" s="101"/>
    </row>
    <row r="80" spans="1:14" hidden="1">
      <c r="A80" s="101" t="s">
        <v>735</v>
      </c>
      <c r="B80" s="101" t="s">
        <v>160</v>
      </c>
      <c r="C80" s="101" t="s">
        <v>784</v>
      </c>
      <c r="D80" s="101" t="s">
        <v>376</v>
      </c>
      <c r="E80" s="101" t="s">
        <v>727</v>
      </c>
      <c r="F80" s="101" t="s">
        <v>386</v>
      </c>
      <c r="G80" s="101" t="s">
        <v>396</v>
      </c>
      <c r="H80" s="101"/>
      <c r="I80" s="103"/>
      <c r="J80" s="101"/>
      <c r="K80" s="101"/>
      <c r="L80" s="101"/>
      <c r="M80" s="101"/>
      <c r="N80" s="101" t="s">
        <v>3485</v>
      </c>
    </row>
    <row r="81" spans="1:14">
      <c r="A81" s="101" t="s">
        <v>1289</v>
      </c>
      <c r="B81" s="101" t="s">
        <v>156</v>
      </c>
      <c r="C81" s="101" t="s">
        <v>784</v>
      </c>
      <c r="D81" s="101" t="s">
        <v>421</v>
      </c>
      <c r="E81" s="101" t="s">
        <v>385</v>
      </c>
      <c r="F81" s="101" t="s">
        <v>396</v>
      </c>
      <c r="G81" s="101"/>
      <c r="H81" s="101"/>
      <c r="I81" s="103"/>
      <c r="J81" s="101"/>
      <c r="K81" s="101"/>
      <c r="L81" s="101"/>
      <c r="M81" s="101"/>
      <c r="N81" s="101"/>
    </row>
    <row r="82" spans="1:14" hidden="1">
      <c r="A82" s="101" t="s">
        <v>1298</v>
      </c>
      <c r="B82" s="101" t="s">
        <v>187</v>
      </c>
      <c r="C82" s="101" t="s">
        <v>784</v>
      </c>
      <c r="D82" s="101" t="s">
        <v>421</v>
      </c>
      <c r="E82" s="101" t="s">
        <v>385</v>
      </c>
      <c r="F82" s="101" t="s">
        <v>386</v>
      </c>
      <c r="G82" s="101"/>
      <c r="H82" s="101"/>
      <c r="I82" s="103"/>
      <c r="J82" s="101"/>
      <c r="K82" s="101"/>
      <c r="L82" s="101"/>
      <c r="M82" s="101"/>
      <c r="N82" s="101"/>
    </row>
    <row r="83" spans="1:14">
      <c r="A83" s="101" t="s">
        <v>1308</v>
      </c>
      <c r="B83" s="101" t="s">
        <v>116</v>
      </c>
      <c r="C83" s="101" t="s">
        <v>784</v>
      </c>
      <c r="D83" s="101" t="s">
        <v>443</v>
      </c>
      <c r="E83" s="101" t="s">
        <v>432</v>
      </c>
      <c r="F83" s="101" t="s">
        <v>396</v>
      </c>
      <c r="G83" s="101"/>
      <c r="H83" s="101"/>
      <c r="I83" s="103"/>
      <c r="J83" s="101">
        <v>1</v>
      </c>
      <c r="K83" s="101"/>
      <c r="L83" s="101"/>
      <c r="M83" s="101"/>
      <c r="N83" s="101"/>
    </row>
    <row r="84" spans="1:14" hidden="1">
      <c r="A84" s="101" t="s">
        <v>1323</v>
      </c>
      <c r="B84" s="101" t="s">
        <v>182</v>
      </c>
      <c r="C84" s="101" t="s">
        <v>784</v>
      </c>
      <c r="D84" s="101" t="s">
        <v>443</v>
      </c>
      <c r="E84" s="101" t="s">
        <v>432</v>
      </c>
      <c r="F84" s="101" t="s">
        <v>386</v>
      </c>
      <c r="G84" s="101"/>
      <c r="H84" s="101"/>
      <c r="I84" s="103"/>
      <c r="J84" s="101"/>
      <c r="K84" s="101"/>
      <c r="L84" s="101"/>
      <c r="M84" s="101"/>
      <c r="N84" s="101"/>
    </row>
    <row r="85" spans="1:14" hidden="1">
      <c r="A85" s="101" t="s">
        <v>1342</v>
      </c>
      <c r="B85" s="101" t="s">
        <v>135</v>
      </c>
      <c r="C85" s="101" t="s">
        <v>784</v>
      </c>
      <c r="D85" s="101" t="s">
        <v>443</v>
      </c>
      <c r="E85" s="101" t="s">
        <v>385</v>
      </c>
      <c r="F85" s="101" t="s">
        <v>386</v>
      </c>
      <c r="G85" s="101"/>
      <c r="H85" s="101"/>
      <c r="I85" s="103"/>
      <c r="J85" s="101"/>
      <c r="K85" s="101"/>
      <c r="L85" s="101"/>
      <c r="M85" s="101"/>
      <c r="N85" s="101"/>
    </row>
    <row r="86" spans="1:14">
      <c r="A86" s="101" t="s">
        <v>1352</v>
      </c>
      <c r="B86" s="101" t="s">
        <v>215</v>
      </c>
      <c r="C86" s="101" t="s">
        <v>784</v>
      </c>
      <c r="D86" s="101" t="s">
        <v>605</v>
      </c>
      <c r="E86" s="101" t="s">
        <v>385</v>
      </c>
      <c r="F86" s="101" t="s">
        <v>396</v>
      </c>
      <c r="G86" s="101"/>
      <c r="H86" s="101"/>
      <c r="I86" s="103"/>
      <c r="J86" s="101">
        <v>1</v>
      </c>
      <c r="K86" s="101"/>
      <c r="L86" s="101"/>
      <c r="M86" s="101"/>
      <c r="N86" s="101"/>
    </row>
    <row r="87" spans="1:14">
      <c r="A87" s="101" t="s">
        <v>1363</v>
      </c>
      <c r="B87" s="101" t="s">
        <v>82</v>
      </c>
      <c r="C87" s="101" t="s">
        <v>1364</v>
      </c>
      <c r="D87" s="101" t="s">
        <v>421</v>
      </c>
      <c r="E87" s="101" t="s">
        <v>455</v>
      </c>
      <c r="F87" s="101" t="s">
        <v>396</v>
      </c>
      <c r="G87" s="101"/>
      <c r="H87" s="101" t="s">
        <v>396</v>
      </c>
      <c r="I87" s="103"/>
      <c r="J87" s="101"/>
      <c r="K87" s="101"/>
      <c r="L87" s="101"/>
      <c r="M87" s="101"/>
      <c r="N87" s="101"/>
    </row>
    <row r="88" spans="1:14">
      <c r="A88" s="101" t="s">
        <v>1369</v>
      </c>
      <c r="B88" s="101" t="s">
        <v>77</v>
      </c>
      <c r="C88" s="101" t="s">
        <v>1364</v>
      </c>
      <c r="D88" s="101" t="s">
        <v>376</v>
      </c>
      <c r="E88" s="101" t="s">
        <v>455</v>
      </c>
      <c r="F88" s="101" t="s">
        <v>396</v>
      </c>
      <c r="G88" s="101"/>
      <c r="H88" s="101" t="s">
        <v>396</v>
      </c>
      <c r="I88" s="103"/>
      <c r="J88" s="101"/>
      <c r="K88" s="101"/>
      <c r="L88" s="101"/>
      <c r="M88" s="101"/>
      <c r="N88" s="101"/>
    </row>
    <row r="89" spans="1:14">
      <c r="A89" s="101" t="s">
        <v>1375</v>
      </c>
      <c r="B89" s="101" t="s">
        <v>163</v>
      </c>
      <c r="C89" s="101" t="s">
        <v>784</v>
      </c>
      <c r="D89" s="101" t="s">
        <v>421</v>
      </c>
      <c r="E89" s="101" t="s">
        <v>727</v>
      </c>
      <c r="F89" s="101" t="s">
        <v>396</v>
      </c>
      <c r="G89" s="101"/>
      <c r="H89" s="101" t="s">
        <v>396</v>
      </c>
      <c r="I89" s="103"/>
      <c r="J89" s="101">
        <v>2</v>
      </c>
      <c r="K89" s="101"/>
      <c r="L89" s="101" t="s">
        <v>396</v>
      </c>
      <c r="M89" s="101"/>
      <c r="N89" s="101"/>
    </row>
    <row r="90" spans="1:14" hidden="1">
      <c r="A90" s="101" t="s">
        <v>1391</v>
      </c>
      <c r="B90" s="101" t="s">
        <v>146</v>
      </c>
      <c r="C90" s="101" t="s">
        <v>784</v>
      </c>
      <c r="D90" s="101" t="s">
        <v>376</v>
      </c>
      <c r="E90" s="101" t="s">
        <v>385</v>
      </c>
      <c r="F90" s="101" t="s">
        <v>386</v>
      </c>
      <c r="G90" s="101"/>
      <c r="H90" s="101"/>
      <c r="I90" s="103"/>
      <c r="J90" s="101"/>
      <c r="K90" s="101"/>
      <c r="L90" s="101"/>
      <c r="M90" s="101"/>
      <c r="N90" s="101"/>
    </row>
    <row r="91" spans="1:14">
      <c r="A91" s="101" t="s">
        <v>1397</v>
      </c>
      <c r="B91" s="101" t="s">
        <v>218</v>
      </c>
      <c r="C91" s="101" t="s">
        <v>1563</v>
      </c>
      <c r="D91" s="101" t="s">
        <v>605</v>
      </c>
      <c r="E91" s="101" t="s">
        <v>455</v>
      </c>
      <c r="F91" s="101" t="s">
        <v>396</v>
      </c>
      <c r="G91" s="101"/>
      <c r="H91" s="101"/>
      <c r="I91" s="103"/>
      <c r="J91" s="101">
        <v>1</v>
      </c>
      <c r="K91" s="101"/>
      <c r="L91" s="101"/>
      <c r="M91" s="101"/>
      <c r="N91" s="101" t="s">
        <v>3487</v>
      </c>
    </row>
    <row r="92" spans="1:14" hidden="1">
      <c r="A92" s="101" t="s">
        <v>1427</v>
      </c>
      <c r="B92" s="101" t="s">
        <v>145</v>
      </c>
      <c r="C92" s="101" t="s">
        <v>784</v>
      </c>
      <c r="D92" s="101" t="s">
        <v>421</v>
      </c>
      <c r="E92" s="101" t="s">
        <v>727</v>
      </c>
      <c r="F92" s="101" t="s">
        <v>386</v>
      </c>
      <c r="G92" s="101"/>
      <c r="H92" s="101"/>
      <c r="I92" s="103"/>
      <c r="J92" s="101"/>
      <c r="K92" s="101"/>
      <c r="L92" s="101"/>
      <c r="M92" s="101"/>
      <c r="N92" s="101"/>
    </row>
    <row r="93" spans="1:14">
      <c r="A93" s="101" t="s">
        <v>1437</v>
      </c>
      <c r="B93" s="101" t="s">
        <v>117</v>
      </c>
      <c r="C93" s="101" t="s">
        <v>784</v>
      </c>
      <c r="D93" s="101" t="s">
        <v>421</v>
      </c>
      <c r="E93" s="101" t="s">
        <v>455</v>
      </c>
      <c r="F93" s="101" t="s">
        <v>396</v>
      </c>
      <c r="G93" s="101"/>
      <c r="H93" s="101"/>
      <c r="I93" s="103"/>
      <c r="J93" s="101"/>
      <c r="K93" s="101"/>
      <c r="L93" s="101"/>
      <c r="M93" s="101"/>
      <c r="N93" s="101"/>
    </row>
    <row r="94" spans="1:14" hidden="1">
      <c r="A94" s="101" t="s">
        <v>1440</v>
      </c>
      <c r="B94" s="101" t="s">
        <v>93</v>
      </c>
      <c r="C94" s="101" t="s">
        <v>1441</v>
      </c>
      <c r="D94" s="101" t="s">
        <v>443</v>
      </c>
      <c r="E94" s="101" t="s">
        <v>455</v>
      </c>
      <c r="F94" s="101" t="s">
        <v>386</v>
      </c>
      <c r="G94" s="101"/>
      <c r="H94" s="101"/>
      <c r="I94" s="103"/>
      <c r="J94" s="101"/>
      <c r="K94" s="101"/>
      <c r="L94" s="101"/>
      <c r="M94" s="101"/>
      <c r="N94" s="101"/>
    </row>
    <row r="95" spans="1:14">
      <c r="A95" s="101" t="s">
        <v>1449</v>
      </c>
      <c r="B95" s="101" t="s">
        <v>208</v>
      </c>
      <c r="C95" s="101" t="s">
        <v>784</v>
      </c>
      <c r="D95" s="101" t="s">
        <v>576</v>
      </c>
      <c r="E95" s="101" t="s">
        <v>455</v>
      </c>
      <c r="F95" s="101" t="s">
        <v>396</v>
      </c>
      <c r="G95" s="101"/>
      <c r="H95" s="101"/>
      <c r="I95" s="103"/>
      <c r="J95" s="101">
        <v>1</v>
      </c>
      <c r="K95" s="101"/>
      <c r="L95" s="101"/>
      <c r="M95" s="101"/>
      <c r="N95" s="101"/>
    </row>
    <row r="96" spans="1:14">
      <c r="A96" s="101" t="s">
        <v>1464</v>
      </c>
      <c r="B96" s="101" t="s">
        <v>200</v>
      </c>
      <c r="C96" s="101" t="s">
        <v>784</v>
      </c>
      <c r="D96" s="101" t="s">
        <v>421</v>
      </c>
      <c r="E96" s="101" t="s">
        <v>727</v>
      </c>
      <c r="F96" s="101" t="s">
        <v>396</v>
      </c>
      <c r="G96" s="101"/>
      <c r="H96" s="101"/>
      <c r="I96" s="103"/>
      <c r="J96" s="101"/>
      <c r="K96" s="101"/>
      <c r="L96" s="101"/>
      <c r="M96" s="101"/>
      <c r="N96" s="101"/>
    </row>
    <row r="97" spans="1:14" hidden="1">
      <c r="A97" s="101" t="s">
        <v>1478</v>
      </c>
      <c r="B97" s="101" t="s">
        <v>192</v>
      </c>
      <c r="C97" s="101" t="s">
        <v>784</v>
      </c>
      <c r="D97" s="101" t="s">
        <v>443</v>
      </c>
      <c r="E97" s="101" t="s">
        <v>455</v>
      </c>
      <c r="F97" s="101" t="s">
        <v>386</v>
      </c>
      <c r="G97" s="101"/>
      <c r="H97" s="101"/>
      <c r="I97" s="103"/>
      <c r="J97" s="101"/>
      <c r="K97" s="101"/>
      <c r="L97" s="101"/>
      <c r="M97" s="101"/>
      <c r="N97" s="101"/>
    </row>
    <row r="98" spans="1:14" hidden="1">
      <c r="A98" s="101" t="s">
        <v>1498</v>
      </c>
      <c r="B98" s="101" t="s">
        <v>164</v>
      </c>
      <c r="C98" s="101" t="s">
        <v>784</v>
      </c>
      <c r="D98" s="101" t="s">
        <v>421</v>
      </c>
      <c r="E98" s="101" t="s">
        <v>455</v>
      </c>
      <c r="F98" s="101" t="s">
        <v>386</v>
      </c>
      <c r="G98" s="101"/>
      <c r="H98" s="101"/>
      <c r="I98" s="103"/>
      <c r="J98" s="101"/>
      <c r="K98" s="101"/>
      <c r="L98" s="101"/>
      <c r="M98" s="101"/>
      <c r="N98" s="101"/>
    </row>
    <row r="99" spans="1:14">
      <c r="A99" s="101" t="s">
        <v>1508</v>
      </c>
      <c r="B99" s="101" t="s">
        <v>204</v>
      </c>
      <c r="C99" s="101" t="s">
        <v>784</v>
      </c>
      <c r="D99" s="101" t="s">
        <v>421</v>
      </c>
      <c r="E99" s="101" t="s">
        <v>455</v>
      </c>
      <c r="F99" s="101" t="s">
        <v>396</v>
      </c>
      <c r="G99" s="101"/>
      <c r="H99" s="101"/>
      <c r="I99" s="103"/>
      <c r="J99" s="101"/>
      <c r="K99" s="101"/>
      <c r="L99" s="101"/>
      <c r="M99" s="101">
        <v>7</v>
      </c>
      <c r="N99" s="101"/>
    </row>
    <row r="100" spans="1:14" hidden="1">
      <c r="A100" s="101" t="s">
        <v>1524</v>
      </c>
      <c r="B100" s="101" t="s">
        <v>214</v>
      </c>
      <c r="C100" s="101" t="s">
        <v>784</v>
      </c>
      <c r="D100" s="101" t="s">
        <v>376</v>
      </c>
      <c r="E100" s="101" t="s">
        <v>727</v>
      </c>
      <c r="F100" s="101" t="s">
        <v>386</v>
      </c>
      <c r="G100" s="101"/>
      <c r="H100" s="101"/>
      <c r="I100" s="103"/>
      <c r="J100" s="101"/>
      <c r="K100" s="101"/>
      <c r="L100" s="101"/>
      <c r="M100" s="101"/>
      <c r="N100" s="101"/>
    </row>
    <row r="101" spans="1:14">
      <c r="A101" s="101" t="s">
        <v>1526</v>
      </c>
      <c r="B101" s="101" t="s">
        <v>130</v>
      </c>
      <c r="C101" s="101" t="s">
        <v>784</v>
      </c>
      <c r="D101" s="101" t="s">
        <v>1039</v>
      </c>
      <c r="E101" s="101" t="s">
        <v>455</v>
      </c>
      <c r="F101" s="101" t="s">
        <v>396</v>
      </c>
      <c r="G101" s="101"/>
      <c r="H101" s="101" t="s">
        <v>396</v>
      </c>
      <c r="I101" s="103"/>
      <c r="J101" s="101">
        <v>2</v>
      </c>
      <c r="K101" s="101"/>
      <c r="L101" s="101" t="s">
        <v>396</v>
      </c>
      <c r="M101" s="101"/>
      <c r="N101" s="101"/>
    </row>
    <row r="102" spans="1:14" hidden="1">
      <c r="A102" s="101" t="s">
        <v>1542</v>
      </c>
      <c r="B102" s="101" t="s">
        <v>210</v>
      </c>
      <c r="C102" s="101" t="s">
        <v>784</v>
      </c>
      <c r="D102" s="101" t="s">
        <v>421</v>
      </c>
      <c r="E102" s="101" t="s">
        <v>455</v>
      </c>
      <c r="F102" s="101" t="s">
        <v>386</v>
      </c>
      <c r="G102" s="101" t="s">
        <v>396</v>
      </c>
      <c r="H102" s="101"/>
      <c r="I102" s="103"/>
      <c r="J102" s="101">
        <v>1</v>
      </c>
      <c r="K102" s="101"/>
      <c r="L102" s="101"/>
      <c r="M102" s="101"/>
      <c r="N102" s="101"/>
    </row>
    <row r="103" spans="1:14">
      <c r="A103" s="101" t="s">
        <v>1554</v>
      </c>
      <c r="B103" s="101" t="s">
        <v>113</v>
      </c>
      <c r="C103" s="101" t="s">
        <v>784</v>
      </c>
      <c r="D103" s="101" t="s">
        <v>421</v>
      </c>
      <c r="E103" s="101" t="s">
        <v>410</v>
      </c>
      <c r="F103" s="101" t="s">
        <v>396</v>
      </c>
      <c r="G103" s="101"/>
      <c r="H103" s="101"/>
      <c r="I103" s="103"/>
      <c r="J103" s="101">
        <v>2</v>
      </c>
      <c r="K103" s="101"/>
      <c r="L103" s="101"/>
      <c r="M103" s="101"/>
      <c r="N103" s="101"/>
    </row>
    <row r="104" spans="1:14">
      <c r="A104" s="101" t="s">
        <v>792</v>
      </c>
      <c r="B104" s="101" t="s">
        <v>1562</v>
      </c>
      <c r="C104" s="101" t="s">
        <v>1563</v>
      </c>
      <c r="D104" s="101" t="s">
        <v>605</v>
      </c>
      <c r="E104" s="101" t="s">
        <v>455</v>
      </c>
      <c r="F104" s="101" t="s">
        <v>396</v>
      </c>
      <c r="G104" s="101"/>
      <c r="H104" s="101"/>
      <c r="I104" s="103"/>
      <c r="J104" s="101">
        <v>1</v>
      </c>
      <c r="K104" s="101"/>
      <c r="L104" s="101"/>
      <c r="M104" s="101"/>
      <c r="N104" s="101" t="s">
        <v>3484</v>
      </c>
    </row>
    <row r="105" spans="1:14">
      <c r="A105" s="101" t="s">
        <v>1568</v>
      </c>
      <c r="B105" s="101" t="s">
        <v>226</v>
      </c>
      <c r="C105" s="101" t="s">
        <v>1563</v>
      </c>
      <c r="D105" s="101" t="s">
        <v>605</v>
      </c>
      <c r="E105" s="101" t="s">
        <v>455</v>
      </c>
      <c r="F105" s="101" t="s">
        <v>396</v>
      </c>
      <c r="G105" s="101"/>
      <c r="H105" s="101"/>
      <c r="I105" s="103"/>
      <c r="J105" s="101">
        <v>1</v>
      </c>
      <c r="K105" s="101"/>
      <c r="L105" s="101"/>
      <c r="M105" s="101"/>
      <c r="N105" s="101" t="s">
        <v>3484</v>
      </c>
    </row>
    <row r="106" spans="1:14" hidden="1">
      <c r="A106" s="101" t="s">
        <v>1572</v>
      </c>
      <c r="B106" s="101" t="s">
        <v>217</v>
      </c>
      <c r="C106" s="101" t="s">
        <v>1563</v>
      </c>
      <c r="D106" s="101" t="s">
        <v>605</v>
      </c>
      <c r="E106" s="101" t="s">
        <v>455</v>
      </c>
      <c r="F106" s="101" t="s">
        <v>386</v>
      </c>
      <c r="G106" s="101"/>
      <c r="H106" s="101"/>
      <c r="I106" s="103"/>
      <c r="J106" s="101"/>
      <c r="K106" s="101"/>
      <c r="L106" s="101"/>
      <c r="M106" s="101"/>
      <c r="N106" s="101"/>
    </row>
    <row r="107" spans="1:14" hidden="1">
      <c r="A107" s="101" t="s">
        <v>1576</v>
      </c>
      <c r="B107" s="101" t="s">
        <v>111</v>
      </c>
      <c r="C107" s="101" t="s">
        <v>784</v>
      </c>
      <c r="D107" s="101" t="s">
        <v>421</v>
      </c>
      <c r="E107" s="101" t="s">
        <v>455</v>
      </c>
      <c r="F107" s="101" t="s">
        <v>386</v>
      </c>
      <c r="G107" s="101"/>
      <c r="H107" s="101"/>
      <c r="I107" s="103"/>
      <c r="J107" s="101"/>
      <c r="K107" s="101"/>
      <c r="L107" s="101"/>
      <c r="M107" s="101"/>
      <c r="N107" s="101"/>
    </row>
    <row r="108" spans="1:14">
      <c r="A108" s="101" t="s">
        <v>858</v>
      </c>
      <c r="B108" s="101" t="s">
        <v>129</v>
      </c>
      <c r="C108" s="101" t="s">
        <v>784</v>
      </c>
      <c r="D108" s="101" t="s">
        <v>605</v>
      </c>
      <c r="E108" s="101" t="s">
        <v>455</v>
      </c>
      <c r="F108" s="101" t="s">
        <v>396</v>
      </c>
      <c r="G108" s="101"/>
      <c r="H108" s="101"/>
      <c r="I108" s="103"/>
      <c r="J108" s="101"/>
      <c r="K108" s="101"/>
      <c r="L108" s="101"/>
      <c r="M108" s="101"/>
      <c r="N108" s="101"/>
    </row>
    <row r="109" spans="1:14">
      <c r="A109" s="101" t="s">
        <v>1592</v>
      </c>
      <c r="B109" s="101" t="s">
        <v>194</v>
      </c>
      <c r="C109" s="101" t="s">
        <v>784</v>
      </c>
      <c r="D109" s="101" t="s">
        <v>421</v>
      </c>
      <c r="E109" s="101" t="s">
        <v>410</v>
      </c>
      <c r="F109" s="101" t="s">
        <v>396</v>
      </c>
      <c r="G109" s="101"/>
      <c r="H109" s="101"/>
      <c r="I109" s="103"/>
      <c r="J109" s="101">
        <v>1</v>
      </c>
      <c r="K109" s="101"/>
      <c r="L109" s="101"/>
      <c r="M109" s="101"/>
      <c r="N109" s="101"/>
    </row>
    <row r="110" spans="1:14">
      <c r="A110" s="101" t="s">
        <v>1599</v>
      </c>
      <c r="B110" s="101" t="s">
        <v>114</v>
      </c>
      <c r="C110" s="101" t="s">
        <v>784</v>
      </c>
      <c r="D110" s="101" t="s">
        <v>605</v>
      </c>
      <c r="E110" s="101" t="s">
        <v>410</v>
      </c>
      <c r="F110" s="101" t="s">
        <v>396</v>
      </c>
      <c r="G110" s="101"/>
      <c r="H110" s="101"/>
      <c r="I110" s="103"/>
      <c r="J110" s="101">
        <v>2</v>
      </c>
      <c r="K110" s="101"/>
      <c r="L110" s="101"/>
      <c r="M110" s="101"/>
      <c r="N110" s="101"/>
    </row>
    <row r="111" spans="1:14" hidden="1">
      <c r="A111" s="101" t="s">
        <v>3488</v>
      </c>
      <c r="B111" s="101" t="s">
        <v>74</v>
      </c>
      <c r="C111" s="101" t="s">
        <v>1364</v>
      </c>
      <c r="D111" s="101" t="s">
        <v>605</v>
      </c>
      <c r="E111" s="101" t="s">
        <v>455</v>
      </c>
      <c r="F111" s="101" t="s">
        <v>386</v>
      </c>
      <c r="G111" s="101"/>
      <c r="H111" s="101" t="s">
        <v>396</v>
      </c>
      <c r="I111" s="103"/>
      <c r="J111" s="101"/>
      <c r="K111" s="101"/>
      <c r="L111" s="101"/>
      <c r="M111" s="101"/>
      <c r="N111" s="101"/>
    </row>
    <row r="112" spans="1:14" hidden="1">
      <c r="A112" s="101" t="s">
        <v>3489</v>
      </c>
      <c r="B112" s="101" t="s">
        <v>75</v>
      </c>
      <c r="C112" s="101" t="s">
        <v>1364</v>
      </c>
      <c r="D112" s="101" t="s">
        <v>605</v>
      </c>
      <c r="E112" s="101" t="s">
        <v>455</v>
      </c>
      <c r="F112" s="101" t="s">
        <v>386</v>
      </c>
      <c r="G112" s="101"/>
      <c r="H112" s="101" t="s">
        <v>396</v>
      </c>
      <c r="I112" s="103"/>
      <c r="J112" s="101"/>
      <c r="K112" s="101"/>
      <c r="L112" s="101"/>
      <c r="M112" s="101"/>
      <c r="N112" s="101"/>
    </row>
    <row r="113" spans="1:14">
      <c r="A113" s="101" t="s">
        <v>3490</v>
      </c>
      <c r="B113" s="101" t="s">
        <v>72</v>
      </c>
      <c r="C113" s="101" t="s">
        <v>1364</v>
      </c>
      <c r="D113" s="101" t="s">
        <v>421</v>
      </c>
      <c r="E113" s="101" t="s">
        <v>455</v>
      </c>
      <c r="F113" s="101" t="s">
        <v>396</v>
      </c>
      <c r="G113" s="101"/>
      <c r="H113" s="101" t="s">
        <v>396</v>
      </c>
      <c r="I113" s="103"/>
      <c r="J113" s="101">
        <v>1</v>
      </c>
      <c r="K113" s="101"/>
      <c r="L113" s="101"/>
      <c r="M113" s="101"/>
      <c r="N113" s="101" t="s">
        <v>3491</v>
      </c>
    </row>
    <row r="114" spans="1:14">
      <c r="A114" s="101" t="s">
        <v>3492</v>
      </c>
      <c r="B114" s="101" t="s">
        <v>73</v>
      </c>
      <c r="C114" s="101" t="s">
        <v>1364</v>
      </c>
      <c r="D114" s="101" t="s">
        <v>576</v>
      </c>
      <c r="E114" s="101" t="s">
        <v>455</v>
      </c>
      <c r="F114" s="101" t="s">
        <v>396</v>
      </c>
      <c r="G114" s="101"/>
      <c r="H114" s="101" t="s">
        <v>396</v>
      </c>
      <c r="I114" s="103"/>
      <c r="J114" s="101">
        <v>1</v>
      </c>
      <c r="K114" s="101"/>
      <c r="L114" s="101"/>
      <c r="M114" s="101"/>
      <c r="N114" s="101"/>
    </row>
    <row r="115" spans="1:14">
      <c r="A115" s="101" t="s">
        <v>3493</v>
      </c>
      <c r="B115" s="101" t="s">
        <v>76</v>
      </c>
      <c r="C115" s="101" t="s">
        <v>1364</v>
      </c>
      <c r="D115" s="101" t="s">
        <v>376</v>
      </c>
      <c r="E115" s="101" t="s">
        <v>455</v>
      </c>
      <c r="F115" s="101" t="s">
        <v>396</v>
      </c>
      <c r="G115" s="101"/>
      <c r="H115" s="101" t="s">
        <v>396</v>
      </c>
      <c r="I115" s="103"/>
      <c r="J115" s="101">
        <v>1</v>
      </c>
      <c r="K115" s="101"/>
      <c r="L115" s="101"/>
      <c r="M115" s="101"/>
      <c r="N115" s="101" t="s">
        <v>3494</v>
      </c>
    </row>
    <row r="116" spans="1:14">
      <c r="A116" s="101" t="s">
        <v>3495</v>
      </c>
      <c r="B116" s="101" t="s">
        <v>81</v>
      </c>
      <c r="C116" s="101" t="s">
        <v>1364</v>
      </c>
      <c r="D116" s="101" t="s">
        <v>248</v>
      </c>
      <c r="E116" s="101" t="s">
        <v>455</v>
      </c>
      <c r="F116" s="101" t="s">
        <v>396</v>
      </c>
      <c r="G116" s="101"/>
      <c r="H116" s="101" t="s">
        <v>396</v>
      </c>
      <c r="I116" s="103"/>
      <c r="J116" s="101"/>
      <c r="K116" s="101"/>
      <c r="L116" s="101"/>
      <c r="M116" s="101"/>
      <c r="N116" s="101"/>
    </row>
    <row r="117" spans="1:14">
      <c r="A117" s="101" t="s">
        <v>1363</v>
      </c>
      <c r="B117" s="101" t="s">
        <v>82</v>
      </c>
      <c r="C117" s="101" t="s">
        <v>1364</v>
      </c>
      <c r="D117" s="101" t="s">
        <v>248</v>
      </c>
      <c r="E117" s="101" t="s">
        <v>455</v>
      </c>
      <c r="F117" s="101" t="s">
        <v>396</v>
      </c>
      <c r="G117" s="101"/>
      <c r="H117" s="101" t="s">
        <v>396</v>
      </c>
      <c r="I117" s="103"/>
      <c r="J117" s="101">
        <v>1</v>
      </c>
      <c r="K117" s="101"/>
      <c r="L117" s="101"/>
      <c r="M117" s="101"/>
      <c r="N117" s="101" t="s">
        <v>3483</v>
      </c>
    </row>
    <row r="118" spans="1:14">
      <c r="A118" s="101" t="s">
        <v>3496</v>
      </c>
      <c r="B118" s="101" t="s">
        <v>89</v>
      </c>
      <c r="C118" s="101" t="s">
        <v>3497</v>
      </c>
      <c r="D118" s="101" t="s">
        <v>421</v>
      </c>
      <c r="E118" s="101" t="s">
        <v>455</v>
      </c>
      <c r="F118" s="101" t="s">
        <v>396</v>
      </c>
      <c r="G118" s="101"/>
      <c r="H118" s="101" t="s">
        <v>396</v>
      </c>
      <c r="I118" s="103"/>
      <c r="J118" s="101"/>
      <c r="K118" s="101"/>
      <c r="L118" s="101"/>
      <c r="M118" s="101"/>
      <c r="N118" s="101"/>
    </row>
    <row r="119" spans="1:14" hidden="1">
      <c r="A119" s="101" t="s">
        <v>1613</v>
      </c>
      <c r="B119" s="101" t="s">
        <v>112</v>
      </c>
      <c r="C119" s="101" t="s">
        <v>784</v>
      </c>
      <c r="D119" s="101" t="s">
        <v>248</v>
      </c>
      <c r="E119" s="101" t="s">
        <v>410</v>
      </c>
      <c r="F119" s="101" t="s">
        <v>386</v>
      </c>
      <c r="G119" s="101"/>
      <c r="H119" s="101" t="s">
        <v>396</v>
      </c>
      <c r="I119" s="103"/>
      <c r="J119" s="101"/>
      <c r="K119" s="101"/>
      <c r="L119" s="101"/>
      <c r="M119" s="101"/>
      <c r="N119" s="101"/>
    </row>
    <row r="120" spans="1:14" hidden="1">
      <c r="A120" s="101" t="s">
        <v>1166</v>
      </c>
      <c r="B120" s="101" t="s">
        <v>228</v>
      </c>
      <c r="C120" s="101" t="s">
        <v>1563</v>
      </c>
      <c r="D120" s="101" t="s">
        <v>3498</v>
      </c>
      <c r="E120" s="101" t="s">
        <v>455</v>
      </c>
      <c r="F120" s="101" t="s">
        <v>386</v>
      </c>
      <c r="G120" s="101"/>
      <c r="H120" s="101"/>
      <c r="I120" s="103"/>
      <c r="J120" s="101"/>
      <c r="K120" s="101"/>
      <c r="L120" s="101"/>
      <c r="M120" s="101"/>
      <c r="N120" s="101"/>
    </row>
  </sheetData>
  <autoFilter ref="A1:N120" xr:uid="{EAC378E5-6EEC-4F52-845F-2E7F41FAB717}">
    <filterColumn colId="5">
      <filters>
        <filter val="SIM"/>
      </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303B6-6B66-49D2-A6E4-C66D15382984}">
  <dimension ref="A1"/>
  <sheetViews>
    <sheetView workbookViewId="0">
      <selection activeCell="H11" sqref="H11"/>
    </sheetView>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ec7467c-2796-4dbd-b5c7-5bcf3d89101b" xsi:nil="true"/>
    <lcf76f155ced4ddcb4097134ff3c332f xmlns="69945bd0-fb79-4a4a-86df-9980d644c3e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6ACDE8BAD4A254F8EA9EBFF4E1D9982" ma:contentTypeVersion="13" ma:contentTypeDescription="Create a new document." ma:contentTypeScope="" ma:versionID="ea0e2d4eb8a4874e9983f46f2cd0d860">
  <xsd:schema xmlns:xsd="http://www.w3.org/2001/XMLSchema" xmlns:xs="http://www.w3.org/2001/XMLSchema" xmlns:p="http://schemas.microsoft.com/office/2006/metadata/properties" xmlns:ns2="69945bd0-fb79-4a4a-86df-9980d644c3eb" xmlns:ns3="3ec7467c-2796-4dbd-b5c7-5bcf3d89101b" targetNamespace="http://schemas.microsoft.com/office/2006/metadata/properties" ma:root="true" ma:fieldsID="f4da072dd4921ac5260fa4ff447747e5" ns2:_="" ns3:_="">
    <xsd:import namespace="69945bd0-fb79-4a4a-86df-9980d644c3eb"/>
    <xsd:import namespace="3ec7467c-2796-4dbd-b5c7-5bcf3d89101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3:SharedWithUsers" minOccurs="0"/>
                <xsd:element ref="ns3:SharedWithDetail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945bd0-fb79-4a4a-86df-9980d644c3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002aa79-1fc5-44a4-a23c-c8d49ef83493"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c7467c-2796-4dbd-b5c7-5bcf3d89101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855e280-ed5b-478d-9b56-af4a05f6e328}" ma:internalName="TaxCatchAll" ma:showField="CatchAllData" ma:web="3ec7467c-2796-4dbd-b5c7-5bcf3d89101b">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131E22-A02C-425C-AD45-7BC90D82AC44}"/>
</file>

<file path=customXml/itemProps2.xml><?xml version="1.0" encoding="utf-8"?>
<ds:datastoreItem xmlns:ds="http://schemas.openxmlformats.org/officeDocument/2006/customXml" ds:itemID="{A832E242-A6B4-4DD4-AC06-D35A8F757941}"/>
</file>

<file path=customXml/itemProps3.xml><?xml version="1.0" encoding="utf-8"?>
<ds:datastoreItem xmlns:ds="http://schemas.openxmlformats.org/officeDocument/2006/customXml" ds:itemID="{F1F195EE-F51D-46F4-BE72-D72671D6EF3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 Victor dos Santos</dc:creator>
  <cp:keywords/>
  <dc:description/>
  <cp:lastModifiedBy/>
  <cp:revision/>
  <dcterms:created xsi:type="dcterms:W3CDTF">2015-06-05T18:19:34Z</dcterms:created>
  <dcterms:modified xsi:type="dcterms:W3CDTF">2026-07-23T19:07:04Z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0x010100C6ACDE8BAD4A254F8EA9EBFF4E1D9982</vt:lpwstr>
  </property>
  <property fmtid="{D5CDD505-2E9C-101B-9397-08002B2CF9AE}" pid="3" name="MediaServiceImageTags">
    <vt:lpwstr/>
  </property>
</Properties>
</file>