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68265967-2C0D-42D8-84DE-7D633FCF1A71}" xr6:coauthVersionLast="47" xr6:coauthVersionMax="47" xr10:uidLastSave="{00000000-0000-0000-0000-000000000000}"/>
  <bookViews>
    <workbookView xWindow="20370" yWindow="-120" windowWidth="29040" windowHeight="15720" firstSheet="6" activeTab="6" xr2:uid="{00000000-000D-0000-FFFF-FFFF00000000}"/>
  </bookViews>
  <sheets>
    <sheet name="PAPEIS &amp; RESPONSABILIDADES" sheetId="4" state="hidden" r:id="rId1"/>
    <sheet name="Agenda" sheetId="1" state="hidden" r:id="rId2"/>
    <sheet name="Entrada de dados" sheetId="2" state="hidden" r:id="rId3"/>
    <sheet name="DISPO ATIVOS " sheetId="5" state="hidden" r:id="rId4"/>
    <sheet name="CAPACIDADE" sheetId="7" state="hidden" r:id="rId5"/>
    <sheet name="CRONOGRAMA MUNCK" sheetId="8" state="hidden" r:id="rId6"/>
    <sheet name="ESCALA EQUIPES" sheetId="9" r:id="rId7"/>
    <sheet name="Planilha3" sheetId="12" state="hidden" r:id="rId8"/>
    <sheet name="Planilha2" sheetId="11" state="hidden" r:id="rId9"/>
    <sheet name="Planilha1" sheetId="10" state="hidden" r:id="rId10"/>
    <sheet name="Pesquisa de nome" sheetId="3" state="hidden" r:id="rId11"/>
  </sheets>
  <definedNames>
    <definedName name="_xlnm._FilterDatabase" localSheetId="6" hidden="1">'ESCALA EQUIPES'!$A$4:$G$25</definedName>
    <definedName name="Área_de_Impressão">Agenda!$B$2:$I$23</definedName>
    <definedName name="CampoQuem">tblDados[QUEM]</definedName>
    <definedName name="MostrarNome">Agenda!$H$3</definedName>
    <definedName name="PesquisarQuem">OFFSET('Pesquisa de nome'!$A$3,,,COUNT('Pesquisa de nome'!$B:$B),1)</definedName>
    <definedName name="SemanaDe">Agenda!$G$3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E13" i="9" s="1"/>
  <c r="H17" i="9"/>
  <c r="H18" i="9"/>
  <c r="H19" i="9"/>
  <c r="H20" i="9"/>
  <c r="H22" i="9"/>
  <c r="H23" i="9"/>
  <c r="H24" i="9"/>
  <c r="H25" i="9"/>
  <c r="D27" i="9"/>
  <c r="E27" i="9" s="1"/>
  <c r="I5" i="9"/>
  <c r="J5" i="9" s="1"/>
  <c r="K5" i="9" s="1"/>
  <c r="L5" i="9" s="1"/>
  <c r="M5" i="9" s="1"/>
  <c r="N5" i="9" s="1"/>
  <c r="O5" i="9" s="1"/>
  <c r="P5" i="9" s="1"/>
  <c r="Q5" i="9" l="1"/>
  <c r="Q19" i="9" s="1"/>
  <c r="P22" i="9"/>
  <c r="P24" i="9"/>
  <c r="P18" i="9"/>
  <c r="P25" i="9"/>
  <c r="P20" i="9"/>
  <c r="P19" i="9"/>
  <c r="P17" i="9"/>
  <c r="P23" i="9"/>
  <c r="P4" i="9"/>
  <c r="I20" i="9"/>
  <c r="J18" i="9"/>
  <c r="J17" i="9"/>
  <c r="I18" i="9"/>
  <c r="J20" i="9"/>
  <c r="O25" i="9"/>
  <c r="O17" i="9"/>
  <c r="O4" i="9"/>
  <c r="O23" i="9"/>
  <c r="O20" i="9"/>
  <c r="O19" i="9"/>
  <c r="O18" i="9"/>
  <c r="J19" i="9"/>
  <c r="I19" i="9"/>
  <c r="I17" i="9"/>
  <c r="O22" i="9"/>
  <c r="O24" i="9"/>
  <c r="I24" i="9"/>
  <c r="J24" i="9"/>
  <c r="I23" i="9"/>
  <c r="J23" i="9"/>
  <c r="J25" i="9"/>
  <c r="I25" i="9"/>
  <c r="J22" i="9"/>
  <c r="I22" i="9"/>
  <c r="J27" i="9"/>
  <c r="D10" i="9"/>
  <c r="E10" i="9" s="1"/>
  <c r="Q22" i="9" l="1"/>
  <c r="R5" i="9"/>
  <c r="R25" i="9" s="1"/>
  <c r="Q17" i="9"/>
  <c r="Q4" i="9"/>
  <c r="Q12" i="9" s="1"/>
  <c r="Q18" i="9"/>
  <c r="Q20" i="9"/>
  <c r="Q25" i="9"/>
  <c r="Q24" i="9"/>
  <c r="Q23" i="9"/>
  <c r="P13" i="9"/>
  <c r="P11" i="9"/>
  <c r="O15" i="9"/>
  <c r="O11" i="9"/>
  <c r="O13" i="9"/>
  <c r="Q10" i="9"/>
  <c r="P12" i="9"/>
  <c r="P10" i="9"/>
  <c r="P9" i="9"/>
  <c r="P8" i="9"/>
  <c r="P7" i="9"/>
  <c r="P14" i="9"/>
  <c r="P15" i="9"/>
  <c r="R22" i="9"/>
  <c r="R19" i="9"/>
  <c r="R18" i="9"/>
  <c r="R20" i="9"/>
  <c r="R24" i="9"/>
  <c r="R17" i="9"/>
  <c r="O8" i="9"/>
  <c r="O12" i="9"/>
  <c r="O7" i="9"/>
  <c r="O10" i="9"/>
  <c r="O9" i="9"/>
  <c r="O14" i="9"/>
  <c r="D7" i="9"/>
  <c r="E7" i="9" s="1"/>
  <c r="D22" i="9"/>
  <c r="E22" i="9" s="1"/>
  <c r="D23" i="9"/>
  <c r="E23" i="9" s="1"/>
  <c r="D24" i="9"/>
  <c r="E24" i="9" s="1"/>
  <c r="D25" i="9"/>
  <c r="E25" i="9" s="1"/>
  <c r="D20" i="9"/>
  <c r="E20" i="9" s="1"/>
  <c r="D17" i="9"/>
  <c r="E17" i="9" s="1"/>
  <c r="D8" i="9"/>
  <c r="E8" i="9" s="1"/>
  <c r="D12" i="9"/>
  <c r="E12" i="9" s="1"/>
  <c r="Q7" i="9" l="1"/>
  <c r="Q8" i="9"/>
  <c r="Q14" i="9"/>
  <c r="Q15" i="9"/>
  <c r="R23" i="9"/>
  <c r="S5" i="9"/>
  <c r="S24" i="9" s="1"/>
  <c r="R4" i="9"/>
  <c r="R8" i="9" s="1"/>
  <c r="Q9" i="9"/>
  <c r="Q11" i="9"/>
  <c r="Q13" i="9"/>
  <c r="S4" i="9"/>
  <c r="T5" i="9"/>
  <c r="S23" i="9"/>
  <c r="S17" i="9"/>
  <c r="S18" i="9"/>
  <c r="S25" i="9"/>
  <c r="S22" i="9"/>
  <c r="R10" i="9"/>
  <c r="R7" i="9"/>
  <c r="R15" i="9"/>
  <c r="C113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2" i="10"/>
  <c r="R14" i="9" l="1"/>
  <c r="R9" i="9"/>
  <c r="R11" i="9"/>
  <c r="R13" i="9"/>
  <c r="S20" i="9"/>
  <c r="R12" i="9"/>
  <c r="S19" i="9"/>
  <c r="S13" i="9"/>
  <c r="S11" i="9"/>
  <c r="T25" i="9"/>
  <c r="T24" i="9"/>
  <c r="U5" i="9"/>
  <c r="T4" i="9"/>
  <c r="T17" i="9"/>
  <c r="T18" i="9"/>
  <c r="T23" i="9"/>
  <c r="T19" i="9"/>
  <c r="T20" i="9"/>
  <c r="T22" i="9"/>
  <c r="S7" i="9"/>
  <c r="S14" i="9"/>
  <c r="S12" i="9"/>
  <c r="S8" i="9"/>
  <c r="S10" i="9"/>
  <c r="S9" i="9"/>
  <c r="S15" i="9"/>
  <c r="I72" i="7"/>
  <c r="J72" i="7"/>
  <c r="K72" i="7"/>
  <c r="T13" i="9" l="1"/>
  <c r="T11" i="9"/>
  <c r="T8" i="9"/>
  <c r="T7" i="9"/>
  <c r="T15" i="9"/>
  <c r="T14" i="9"/>
  <c r="T12" i="9"/>
  <c r="T10" i="9"/>
  <c r="T9" i="9"/>
  <c r="U17" i="9"/>
  <c r="U25" i="9"/>
  <c r="U4" i="9"/>
  <c r="V5" i="9"/>
  <c r="U22" i="9"/>
  <c r="U18" i="9"/>
  <c r="U23" i="9"/>
  <c r="U20" i="9"/>
  <c r="U19" i="9"/>
  <c r="U24" i="9"/>
  <c r="H95" i="7"/>
  <c r="U13" i="9" l="1"/>
  <c r="U11" i="9"/>
  <c r="U9" i="9"/>
  <c r="U8" i="9"/>
  <c r="U7" i="9"/>
  <c r="U15" i="9"/>
  <c r="U10" i="9"/>
  <c r="U12" i="9"/>
  <c r="U14" i="9"/>
  <c r="V18" i="9"/>
  <c r="V17" i="9"/>
  <c r="V4" i="9"/>
  <c r="V22" i="9"/>
  <c r="V25" i="9"/>
  <c r="V23" i="9"/>
  <c r="W5" i="9"/>
  <c r="V19" i="9"/>
  <c r="V20" i="9"/>
  <c r="V24" i="9"/>
  <c r="L95" i="7"/>
  <c r="G95" i="7"/>
  <c r="F95" i="7"/>
  <c r="J94" i="7"/>
  <c r="I94" i="7"/>
  <c r="J93" i="7"/>
  <c r="I93" i="7"/>
  <c r="J92" i="7"/>
  <c r="I92" i="7"/>
  <c r="J91" i="7"/>
  <c r="I91" i="7"/>
  <c r="J90" i="7"/>
  <c r="I90" i="7"/>
  <c r="J89" i="7"/>
  <c r="I89" i="7"/>
  <c r="J88" i="7"/>
  <c r="I88" i="7"/>
  <c r="J87" i="7"/>
  <c r="I87" i="7"/>
  <c r="J86" i="7"/>
  <c r="I86" i="7"/>
  <c r="J85" i="7"/>
  <c r="I85" i="7"/>
  <c r="J84" i="7"/>
  <c r="I84" i="7"/>
  <c r="K84" i="7" s="1"/>
  <c r="J83" i="7"/>
  <c r="I83" i="7"/>
  <c r="J82" i="7"/>
  <c r="I82" i="7"/>
  <c r="J81" i="7"/>
  <c r="I81" i="7"/>
  <c r="J80" i="7"/>
  <c r="I80" i="7"/>
  <c r="J79" i="7"/>
  <c r="I79" i="7"/>
  <c r="J78" i="7"/>
  <c r="I78" i="7"/>
  <c r="J77" i="7"/>
  <c r="I77" i="7"/>
  <c r="J76" i="7"/>
  <c r="I76" i="7"/>
  <c r="J75" i="7"/>
  <c r="I75" i="7"/>
  <c r="J74" i="7"/>
  <c r="I74" i="7"/>
  <c r="J73" i="7"/>
  <c r="I73" i="7"/>
  <c r="J66" i="7"/>
  <c r="F66" i="7"/>
  <c r="E66" i="7"/>
  <c r="D66" i="7"/>
  <c r="H65" i="7"/>
  <c r="G65" i="7"/>
  <c r="H64" i="7"/>
  <c r="G64" i="7"/>
  <c r="H63" i="7"/>
  <c r="G63" i="7"/>
  <c r="H62" i="7"/>
  <c r="G62" i="7"/>
  <c r="H61" i="7"/>
  <c r="G61" i="7"/>
  <c r="H60" i="7"/>
  <c r="G60" i="7"/>
  <c r="H59" i="7"/>
  <c r="G59" i="7"/>
  <c r="H58" i="7"/>
  <c r="G58" i="7"/>
  <c r="G57" i="7"/>
  <c r="H56" i="7"/>
  <c r="G56" i="7"/>
  <c r="H55" i="7"/>
  <c r="I55" i="7" s="1"/>
  <c r="G55" i="7"/>
  <c r="H54" i="7"/>
  <c r="G54" i="7"/>
  <c r="H53" i="7"/>
  <c r="G53" i="7"/>
  <c r="H52" i="7"/>
  <c r="G52" i="7"/>
  <c r="H51" i="7"/>
  <c r="G51" i="7"/>
  <c r="H50" i="7"/>
  <c r="G50" i="7"/>
  <c r="H49" i="7"/>
  <c r="G49" i="7"/>
  <c r="H48" i="7"/>
  <c r="G48" i="7"/>
  <c r="J43" i="7"/>
  <c r="F43" i="7"/>
  <c r="E43" i="7"/>
  <c r="D43" i="7"/>
  <c r="H42" i="7"/>
  <c r="G42" i="7"/>
  <c r="I42" i="7" s="1"/>
  <c r="H41" i="7"/>
  <c r="G41" i="7"/>
  <c r="I41" i="7" s="1"/>
  <c r="H40" i="7"/>
  <c r="G40" i="7"/>
  <c r="I40" i="7" s="1"/>
  <c r="H39" i="7"/>
  <c r="G39" i="7"/>
  <c r="I39" i="7" s="1"/>
  <c r="H38" i="7"/>
  <c r="G38" i="7"/>
  <c r="I38" i="7" s="1"/>
  <c r="H37" i="7"/>
  <c r="G37" i="7"/>
  <c r="I37" i="7" s="1"/>
  <c r="H36" i="7"/>
  <c r="G36" i="7"/>
  <c r="I36" i="7" s="1"/>
  <c r="H35" i="7"/>
  <c r="G35" i="7"/>
  <c r="I35" i="7" s="1"/>
  <c r="H34" i="7"/>
  <c r="G34" i="7"/>
  <c r="I34" i="7" s="1"/>
  <c r="H33" i="7"/>
  <c r="G33" i="7"/>
  <c r="I33" i="7" s="1"/>
  <c r="H32" i="7"/>
  <c r="G32" i="7"/>
  <c r="I32" i="7" s="1"/>
  <c r="H31" i="7"/>
  <c r="G31" i="7"/>
  <c r="I31" i="7" s="1"/>
  <c r="H30" i="7"/>
  <c r="G30" i="7"/>
  <c r="I30" i="7" s="1"/>
  <c r="H29" i="7"/>
  <c r="G29" i="7"/>
  <c r="I29" i="7" s="1"/>
  <c r="H28" i="7"/>
  <c r="G28" i="7"/>
  <c r="I28" i="7" s="1"/>
  <c r="J23" i="7"/>
  <c r="F23" i="7"/>
  <c r="E23" i="7"/>
  <c r="D23" i="7"/>
  <c r="H22" i="7"/>
  <c r="G22" i="7"/>
  <c r="I22" i="7" s="1"/>
  <c r="H21" i="7"/>
  <c r="G21" i="7"/>
  <c r="I21" i="7" s="1"/>
  <c r="H20" i="7"/>
  <c r="G20" i="7"/>
  <c r="I20" i="7" s="1"/>
  <c r="H19" i="7"/>
  <c r="G19" i="7"/>
  <c r="I19" i="7" s="1"/>
  <c r="H18" i="7"/>
  <c r="G18" i="7"/>
  <c r="I18" i="7" s="1"/>
  <c r="H17" i="7"/>
  <c r="G17" i="7"/>
  <c r="I17" i="7" s="1"/>
  <c r="H16" i="7"/>
  <c r="G16" i="7"/>
  <c r="I16" i="7" s="1"/>
  <c r="H15" i="7"/>
  <c r="G15" i="7"/>
  <c r="I15" i="7" s="1"/>
  <c r="H14" i="7"/>
  <c r="G14" i="7"/>
  <c r="I14" i="7" s="1"/>
  <c r="H13" i="7"/>
  <c r="G13" i="7"/>
  <c r="I13" i="7" s="1"/>
  <c r="H12" i="7"/>
  <c r="G12" i="7"/>
  <c r="I12" i="7" s="1"/>
  <c r="H11" i="7"/>
  <c r="G11" i="7"/>
  <c r="I11" i="7" s="1"/>
  <c r="H10" i="7"/>
  <c r="G10" i="7"/>
  <c r="I10" i="7" s="1"/>
  <c r="H9" i="7"/>
  <c r="G9" i="7"/>
  <c r="I9" i="7" s="1"/>
  <c r="H8" i="7"/>
  <c r="G8" i="7"/>
  <c r="I8" i="7" s="1"/>
  <c r="H7" i="7"/>
  <c r="G7" i="7"/>
  <c r="I7" i="7" s="1"/>
  <c r="H6" i="7"/>
  <c r="G6" i="7"/>
  <c r="I6" i="7" s="1"/>
  <c r="H5" i="7"/>
  <c r="G5" i="7"/>
  <c r="I5" i="7" s="1"/>
  <c r="H4" i="7"/>
  <c r="G4" i="7"/>
  <c r="I4" i="7" s="1"/>
  <c r="V13" i="9" l="1"/>
  <c r="V11" i="9"/>
  <c r="W19" i="9"/>
  <c r="W18" i="9"/>
  <c r="W4" i="9"/>
  <c r="W24" i="9"/>
  <c r="W23" i="9"/>
  <c r="W17" i="9"/>
  <c r="W22" i="9"/>
  <c r="W25" i="9"/>
  <c r="X5" i="9"/>
  <c r="W20" i="9"/>
  <c r="V10" i="9"/>
  <c r="V9" i="9"/>
  <c r="V8" i="9"/>
  <c r="V7" i="9"/>
  <c r="V14" i="9"/>
  <c r="V15" i="9"/>
  <c r="V12" i="9"/>
  <c r="K78" i="7"/>
  <c r="K73" i="7"/>
  <c r="K92" i="7"/>
  <c r="K89" i="7"/>
  <c r="J95" i="7"/>
  <c r="I53" i="7"/>
  <c r="I61" i="7"/>
  <c r="I49" i="7"/>
  <c r="H43" i="7"/>
  <c r="H23" i="7"/>
  <c r="I65" i="7"/>
  <c r="K81" i="7"/>
  <c r="K93" i="7"/>
  <c r="H66" i="7"/>
  <c r="I54" i="7"/>
  <c r="I58" i="7"/>
  <c r="I62" i="7"/>
  <c r="K86" i="7"/>
  <c r="K94" i="7"/>
  <c r="I51" i="7"/>
  <c r="I59" i="7"/>
  <c r="G66" i="7"/>
  <c r="I63" i="7"/>
  <c r="K75" i="7"/>
  <c r="I48" i="7"/>
  <c r="I52" i="7"/>
  <c r="I60" i="7"/>
  <c r="I56" i="7"/>
  <c r="I64" i="7"/>
  <c r="K79" i="7"/>
  <c r="K83" i="7"/>
  <c r="K76" i="7"/>
  <c r="K87" i="7"/>
  <c r="K80" i="7"/>
  <c r="K91" i="7"/>
  <c r="K77" i="7"/>
  <c r="K88" i="7"/>
  <c r="I95" i="7"/>
  <c r="K74" i="7"/>
  <c r="K85" i="7"/>
  <c r="K82" i="7"/>
  <c r="K90" i="7"/>
  <c r="I23" i="7"/>
  <c r="I43" i="7"/>
  <c r="G23" i="7"/>
  <c r="I50" i="7"/>
  <c r="G43" i="7"/>
  <c r="W13" i="9" l="1"/>
  <c r="W11" i="9"/>
  <c r="X20" i="9"/>
  <c r="X19" i="9"/>
  <c r="X17" i="9"/>
  <c r="X4" i="9"/>
  <c r="X24" i="9"/>
  <c r="X22" i="9"/>
  <c r="X23" i="9"/>
  <c r="Y5" i="9"/>
  <c r="X18" i="9"/>
  <c r="X25" i="9"/>
  <c r="W10" i="9"/>
  <c r="W9" i="9"/>
  <c r="W8" i="9"/>
  <c r="W7" i="9"/>
  <c r="W15" i="9"/>
  <c r="W12" i="9"/>
  <c r="W14" i="9"/>
  <c r="I66" i="7"/>
  <c r="K95" i="7"/>
  <c r="X11" i="9" l="1"/>
  <c r="X13" i="9"/>
  <c r="Y4" i="9"/>
  <c r="Z5" i="9"/>
  <c r="Y22" i="9"/>
  <c r="Y20" i="9"/>
  <c r="Y18" i="9"/>
  <c r="Y24" i="9"/>
  <c r="Y17" i="9"/>
  <c r="Y25" i="9"/>
  <c r="Y19" i="9"/>
  <c r="Y23" i="9"/>
  <c r="X12" i="9"/>
  <c r="X10" i="9"/>
  <c r="X9" i="9"/>
  <c r="X8" i="9"/>
  <c r="X14" i="9"/>
  <c r="X15" i="9"/>
  <c r="X7" i="9"/>
  <c r="A3" i="3" a="1"/>
  <c r="A3" i="3" s="1"/>
  <c r="B3" i="3" s="1"/>
  <c r="Y13" i="9" l="1"/>
  <c r="Y11" i="9"/>
  <c r="Z4" i="9"/>
  <c r="AA5" i="9"/>
  <c r="Z23" i="9"/>
  <c r="Z22" i="9"/>
  <c r="Z19" i="9"/>
  <c r="Z20" i="9"/>
  <c r="Z18" i="9"/>
  <c r="Z24" i="9"/>
  <c r="Z25" i="9"/>
  <c r="Z17" i="9"/>
  <c r="Y12" i="9"/>
  <c r="Y10" i="9"/>
  <c r="Y9" i="9"/>
  <c r="Y8" i="9"/>
  <c r="Y14" i="9"/>
  <c r="Y15" i="9"/>
  <c r="Y7" i="9"/>
  <c r="A4" i="3" a="1"/>
  <c r="A4" i="3" s="1"/>
  <c r="F3" i="1"/>
  <c r="C4" i="1" s="1"/>
  <c r="Z13" i="9" l="1"/>
  <c r="Z11" i="9"/>
  <c r="AA24" i="9"/>
  <c r="AA4" i="9"/>
  <c r="AB5" i="9"/>
  <c r="AA23" i="9"/>
  <c r="AA20" i="9"/>
  <c r="AA17" i="9"/>
  <c r="AA22" i="9"/>
  <c r="AA18" i="9"/>
  <c r="AA19" i="9"/>
  <c r="AA25" i="9"/>
  <c r="Z12" i="9"/>
  <c r="Z10" i="9"/>
  <c r="Z7" i="9"/>
  <c r="Z8" i="9"/>
  <c r="Z14" i="9"/>
  <c r="Z15" i="9"/>
  <c r="Z9" i="9"/>
  <c r="A5" i="3" a="1"/>
  <c r="A5" i="3" s="1"/>
  <c r="B5" i="3" s="1"/>
  <c r="B4" i="3"/>
  <c r="D4" i="1"/>
  <c r="E4" i="1"/>
  <c r="C5" i="1" s="1"/>
  <c r="H4" i="1"/>
  <c r="F4" i="1"/>
  <c r="G4" i="1"/>
  <c r="I4" i="1"/>
  <c r="AA13" i="9" l="1"/>
  <c r="AA11" i="9"/>
  <c r="AB25" i="9"/>
  <c r="AB24" i="9"/>
  <c r="AB4" i="9"/>
  <c r="AC5" i="9"/>
  <c r="AB19" i="9"/>
  <c r="AB23" i="9"/>
  <c r="AB20" i="9"/>
  <c r="AB22" i="9"/>
  <c r="AB17" i="9"/>
  <c r="AB18" i="9"/>
  <c r="AA7" i="9"/>
  <c r="AA14" i="9"/>
  <c r="AA9" i="9"/>
  <c r="AA12" i="9"/>
  <c r="AA8" i="9"/>
  <c r="AA15" i="9"/>
  <c r="AA10" i="9"/>
  <c r="C17" i="1" a="1"/>
  <c r="C17" i="1" s="1"/>
  <c r="C9" i="1" a="1"/>
  <c r="C9" i="1" s="1"/>
  <c r="C18" i="1" a="1"/>
  <c r="C18" i="1" s="1"/>
  <c r="C10" i="1" a="1"/>
  <c r="C10" i="1" s="1"/>
  <c r="C19" i="1" a="1"/>
  <c r="C19" i="1" s="1"/>
  <c r="C11" i="1" a="1"/>
  <c r="C11" i="1" s="1"/>
  <c r="C20" i="1" a="1"/>
  <c r="C20" i="1" s="1"/>
  <c r="C12" i="1" a="1"/>
  <c r="C12" i="1" s="1"/>
  <c r="C13" i="1" a="1"/>
  <c r="C13" i="1" s="1"/>
  <c r="C22" i="1" a="1"/>
  <c r="C22" i="1" s="1"/>
  <c r="C14" i="1" a="1"/>
  <c r="C14" i="1" s="1"/>
  <c r="C23" i="1" a="1"/>
  <c r="C23" i="1" s="1"/>
  <c r="C15" i="1" a="1"/>
  <c r="C15" i="1" s="1"/>
  <c r="C16" i="1" a="1"/>
  <c r="C16" i="1" s="1"/>
  <c r="C8" i="1" a="1"/>
  <c r="C8" i="1" s="1"/>
  <c r="C7" i="1" a="1"/>
  <c r="C7" i="1" s="1"/>
  <c r="C21" i="1" a="1"/>
  <c r="C21" i="1" s="1"/>
  <c r="A6" i="3" a="1"/>
  <c r="A6" i="3" s="1"/>
  <c r="B6" i="3" s="1"/>
  <c r="D5" i="1"/>
  <c r="I5" i="1"/>
  <c r="F5" i="1"/>
  <c r="G5" i="1"/>
  <c r="E5" i="1"/>
  <c r="H5" i="1"/>
  <c r="AB13" i="9" l="1"/>
  <c r="AB11" i="9"/>
  <c r="AB8" i="9"/>
  <c r="AB7" i="9"/>
  <c r="AB15" i="9"/>
  <c r="AB14" i="9"/>
  <c r="AB12" i="9"/>
  <c r="AB9" i="9"/>
  <c r="AB10" i="9"/>
  <c r="AC17" i="9"/>
  <c r="AC25" i="9"/>
  <c r="AC4" i="9"/>
  <c r="AD5" i="9"/>
  <c r="AC18" i="9"/>
  <c r="AC19" i="9"/>
  <c r="AC23" i="9"/>
  <c r="AC22" i="9"/>
  <c r="AC20" i="9"/>
  <c r="AC24" i="9"/>
  <c r="I23" i="1" a="1"/>
  <c r="I23" i="1" s="1"/>
  <c r="I11" i="1" a="1"/>
  <c r="I11" i="1" s="1"/>
  <c r="I18" i="1" a="1"/>
  <c r="I18" i="1" s="1"/>
  <c r="I12" i="1" a="1"/>
  <c r="I12" i="1" s="1"/>
  <c r="I7" i="1" a="1"/>
  <c r="I7" i="1" s="1"/>
  <c r="I13" i="1" a="1"/>
  <c r="I13" i="1" s="1"/>
  <c r="I14" i="1" a="1"/>
  <c r="I14" i="1" s="1"/>
  <c r="I22" i="1" a="1"/>
  <c r="I22" i="1" s="1"/>
  <c r="I21" i="1" a="1"/>
  <c r="I21" i="1" s="1"/>
  <c r="I20" i="1" a="1"/>
  <c r="I20" i="1" s="1"/>
  <c r="I19" i="1" a="1"/>
  <c r="I19" i="1" s="1"/>
  <c r="I15" i="1" a="1"/>
  <c r="I15" i="1" s="1"/>
  <c r="I8" i="1" a="1"/>
  <c r="I8" i="1" s="1"/>
  <c r="I16" i="1" a="1"/>
  <c r="I16" i="1" s="1"/>
  <c r="I17" i="1" a="1"/>
  <c r="I17" i="1" s="1"/>
  <c r="I9" i="1" a="1"/>
  <c r="I9" i="1" s="1"/>
  <c r="I10" i="1" a="1"/>
  <c r="I10" i="1" s="1"/>
  <c r="H11" i="1" a="1"/>
  <c r="H11" i="1" s="1"/>
  <c r="H19" i="1" a="1"/>
  <c r="H19" i="1" s="1"/>
  <c r="H20" i="1" a="1"/>
  <c r="H20" i="1" s="1"/>
  <c r="H12" i="1" a="1"/>
  <c r="H12" i="1" s="1"/>
  <c r="H21" i="1" a="1"/>
  <c r="H21" i="1" s="1"/>
  <c r="H13" i="1" a="1"/>
  <c r="H13" i="1" s="1"/>
  <c r="H7" i="1" a="1"/>
  <c r="H7" i="1" s="1"/>
  <c r="H22" i="1" a="1"/>
  <c r="H22" i="1" s="1"/>
  <c r="H14" i="1" a="1"/>
  <c r="H14" i="1" s="1"/>
  <c r="H15" i="1" a="1"/>
  <c r="H15" i="1" s="1"/>
  <c r="H23" i="1" a="1"/>
  <c r="H23" i="1" s="1"/>
  <c r="H8" i="1" a="1"/>
  <c r="H8" i="1" s="1"/>
  <c r="H16" i="1" a="1"/>
  <c r="H16" i="1" s="1"/>
  <c r="H9" i="1" a="1"/>
  <c r="H9" i="1" s="1"/>
  <c r="H17" i="1" a="1"/>
  <c r="H17" i="1" s="1"/>
  <c r="H10" i="1" a="1"/>
  <c r="H10" i="1" s="1"/>
  <c r="H18" i="1" a="1"/>
  <c r="H18" i="1" s="1"/>
  <c r="E10" i="1" a="1"/>
  <c r="E10" i="1" s="1"/>
  <c r="E18" i="1" a="1"/>
  <c r="E18" i="1" s="1"/>
  <c r="E11" i="1" a="1"/>
  <c r="E11" i="1" s="1"/>
  <c r="E19" i="1" a="1"/>
  <c r="E19" i="1" s="1"/>
  <c r="E12" i="1" a="1"/>
  <c r="E12" i="1" s="1"/>
  <c r="E20" i="1" a="1"/>
  <c r="E20" i="1" s="1"/>
  <c r="E13" i="1" a="1"/>
  <c r="E13" i="1" s="1"/>
  <c r="E21" i="1" a="1"/>
  <c r="E21" i="1" s="1"/>
  <c r="E14" i="1" a="1"/>
  <c r="E14" i="1" s="1"/>
  <c r="E22" i="1" a="1"/>
  <c r="E22" i="1" s="1"/>
  <c r="E23" i="1" a="1"/>
  <c r="E23" i="1" s="1"/>
  <c r="E15" i="1" a="1"/>
  <c r="E15" i="1" s="1"/>
  <c r="E7" i="1" a="1"/>
  <c r="E7" i="1" s="1"/>
  <c r="E8" i="1" a="1"/>
  <c r="E8" i="1" s="1"/>
  <c r="E16" i="1" a="1"/>
  <c r="E16" i="1" s="1"/>
  <c r="E9" i="1" a="1"/>
  <c r="E9" i="1" s="1"/>
  <c r="E17" i="1" a="1"/>
  <c r="E17" i="1" s="1"/>
  <c r="G22" i="1" a="1"/>
  <c r="G22" i="1" s="1"/>
  <c r="G14" i="1" a="1"/>
  <c r="G14" i="1" s="1"/>
  <c r="G23" i="1" a="1"/>
  <c r="G23" i="1" s="1"/>
  <c r="G15" i="1" a="1"/>
  <c r="G15" i="1" s="1"/>
  <c r="G8" i="1" a="1"/>
  <c r="G8" i="1" s="1"/>
  <c r="G16" i="1" a="1"/>
  <c r="G16" i="1" s="1"/>
  <c r="G17" i="1" a="1"/>
  <c r="G17" i="1" s="1"/>
  <c r="G9" i="1" a="1"/>
  <c r="G9" i="1" s="1"/>
  <c r="G7" i="1" a="1"/>
  <c r="G7" i="1" s="1"/>
  <c r="G10" i="1" a="1"/>
  <c r="G10" i="1" s="1"/>
  <c r="G19" i="1" a="1"/>
  <c r="G19" i="1" s="1"/>
  <c r="G11" i="1" a="1"/>
  <c r="G11" i="1" s="1"/>
  <c r="G20" i="1" a="1"/>
  <c r="G20" i="1" s="1"/>
  <c r="G12" i="1" a="1"/>
  <c r="G12" i="1" s="1"/>
  <c r="G21" i="1" a="1"/>
  <c r="G21" i="1" s="1"/>
  <c r="G13" i="1" a="1"/>
  <c r="G13" i="1" s="1"/>
  <c r="G18" i="1" a="1"/>
  <c r="G18" i="1" s="1"/>
  <c r="F23" i="1" a="1"/>
  <c r="F23" i="1" s="1"/>
  <c r="F15" i="1" a="1"/>
  <c r="F15" i="1" s="1"/>
  <c r="F8" i="1" a="1"/>
  <c r="F8" i="1" s="1"/>
  <c r="F16" i="1" a="1"/>
  <c r="F16" i="1" s="1"/>
  <c r="F9" i="1" a="1"/>
  <c r="F9" i="1" s="1"/>
  <c r="F17" i="1" a="1"/>
  <c r="F17" i="1" s="1"/>
  <c r="F10" i="1" a="1"/>
  <c r="F10" i="1" s="1"/>
  <c r="F18" i="1" a="1"/>
  <c r="F18" i="1" s="1"/>
  <c r="F11" i="1" a="1"/>
  <c r="F11" i="1" s="1"/>
  <c r="F20" i="1" a="1"/>
  <c r="F20" i="1" s="1"/>
  <c r="F12" i="1" a="1"/>
  <c r="F12" i="1" s="1"/>
  <c r="F21" i="1" a="1"/>
  <c r="F21" i="1" s="1"/>
  <c r="F13" i="1" a="1"/>
  <c r="F13" i="1" s="1"/>
  <c r="F22" i="1" a="1"/>
  <c r="F22" i="1" s="1"/>
  <c r="F14" i="1" a="1"/>
  <c r="F14" i="1" s="1"/>
  <c r="F19" i="1" a="1"/>
  <c r="F19" i="1" s="1"/>
  <c r="F7" i="1" a="1"/>
  <c r="F7" i="1" s="1"/>
  <c r="D20" i="1" a="1"/>
  <c r="D20" i="1" s="1"/>
  <c r="D12" i="1" a="1"/>
  <c r="D12" i="1" s="1"/>
  <c r="D21" i="1" a="1"/>
  <c r="D21" i="1" s="1"/>
  <c r="D13" i="1" a="1"/>
  <c r="D13" i="1" s="1"/>
  <c r="D22" i="1" a="1"/>
  <c r="D22" i="1" s="1"/>
  <c r="D14" i="1" a="1"/>
  <c r="D14" i="1" s="1"/>
  <c r="D15" i="1" a="1"/>
  <c r="D15" i="1" s="1"/>
  <c r="D16" i="1" a="1"/>
  <c r="D16" i="1" s="1"/>
  <c r="D23" i="1" a="1"/>
  <c r="D23" i="1" s="1"/>
  <c r="D9" i="1" a="1"/>
  <c r="D9" i="1" s="1"/>
  <c r="D17" i="1" a="1"/>
  <c r="D17" i="1" s="1"/>
  <c r="D18" i="1" a="1"/>
  <c r="D18" i="1" s="1"/>
  <c r="D10" i="1" a="1"/>
  <c r="D10" i="1" s="1"/>
  <c r="D7" i="1" a="1"/>
  <c r="D7" i="1" s="1"/>
  <c r="D19" i="1" a="1"/>
  <c r="D19" i="1" s="1"/>
  <c r="D11" i="1" a="1"/>
  <c r="D11" i="1" s="1"/>
  <c r="D8" i="1" a="1"/>
  <c r="D8" i="1" s="1"/>
  <c r="A7" i="3" a="1"/>
  <c r="A7" i="3" s="1"/>
  <c r="B7" i="3" s="1"/>
  <c r="AC13" i="9" l="1"/>
  <c r="AC11" i="9"/>
  <c r="AD18" i="9"/>
  <c r="AD17" i="9"/>
  <c r="AD25" i="9"/>
  <c r="AD24" i="9"/>
  <c r="AD4" i="9"/>
  <c r="AD19" i="9"/>
  <c r="AD23" i="9"/>
  <c r="AD20" i="9"/>
  <c r="AD22" i="9"/>
  <c r="AC9" i="9"/>
  <c r="AC8" i="9"/>
  <c r="AC7" i="9"/>
  <c r="AC15" i="9"/>
  <c r="AC12" i="9"/>
  <c r="AC14" i="9"/>
  <c r="AC10" i="9"/>
  <c r="A8" i="3" a="1"/>
  <c r="A8" i="3" s="1"/>
  <c r="A9" i="3" s="1" a="1"/>
  <c r="A9" i="3" s="1"/>
  <c r="AD13" i="9" l="1"/>
  <c r="AD11" i="9"/>
  <c r="AD10" i="9"/>
  <c r="AD9" i="9"/>
  <c r="AD8" i="9"/>
  <c r="AD7" i="9"/>
  <c r="AD14" i="9"/>
  <c r="AD12" i="9"/>
  <c r="AD15" i="9"/>
  <c r="B8" i="3"/>
  <c r="B9" i="3"/>
  <c r="A10" i="3" a="1"/>
  <c r="A10" i="3" s="1"/>
  <c r="B10" i="3" l="1"/>
  <c r="A11" i="3" a="1"/>
  <c r="A11" i="3" s="1"/>
  <c r="B11" i="3" s="1"/>
  <c r="A12" i="3" l="1" a="1"/>
  <c r="A12" i="3" s="1"/>
  <c r="B12" i="3" l="1"/>
  <c r="A13" i="3" a="1"/>
  <c r="A13" i="3" s="1"/>
  <c r="B13" i="3" s="1"/>
  <c r="A14" i="3" l="1" a="1"/>
  <c r="A14" i="3" s="1"/>
  <c r="B14" i="3" s="1"/>
  <c r="A15" i="3" l="1" a="1"/>
  <c r="A15" i="3" s="1"/>
  <c r="B15" i="3" s="1"/>
  <c r="A16" i="3" l="1" a="1"/>
  <c r="A16" i="3" s="1"/>
  <c r="A17" i="3" s="1" a="1"/>
  <c r="A17" i="3" s="1"/>
  <c r="B17" i="3" l="1"/>
  <c r="A18" i="3" a="1"/>
  <c r="A18" i="3" s="1"/>
  <c r="B18" i="3" s="1"/>
  <c r="B16" i="3"/>
  <c r="A19" i="3" l="1" a="1"/>
  <c r="A19" i="3" s="1"/>
  <c r="B19" i="3" s="1"/>
  <c r="A20" i="3" l="1" a="1"/>
  <c r="A20" i="3" s="1"/>
  <c r="B20" i="3" s="1"/>
  <c r="A21" i="3" l="1" a="1"/>
  <c r="A21" i="3" s="1"/>
  <c r="A22" i="3" s="1" a="1"/>
  <c r="A22" i="3" s="1"/>
  <c r="B22" i="3" s="1"/>
  <c r="B21" i="3" l="1"/>
  <c r="A23" i="3" a="1"/>
  <c r="A23" i="3" s="1"/>
  <c r="B23" i="3" s="1"/>
  <c r="A24" i="3" l="1" a="1"/>
  <c r="A24" i="3" s="1"/>
  <c r="B24" i="3" l="1"/>
  <c r="A25" i="3" a="1"/>
  <c r="A25" i="3" s="1"/>
  <c r="B25" i="3" s="1"/>
  <c r="A26" i="3" l="1" a="1"/>
  <c r="A26" i="3" s="1"/>
  <c r="B26" i="3" s="1"/>
  <c r="A27" i="3" l="1" a="1"/>
  <c r="A27" i="3" s="1"/>
  <c r="B27" i="3" l="1"/>
  <c r="A28" i="3" a="1"/>
  <c r="A28" i="3" s="1"/>
  <c r="B28" i="3" s="1"/>
  <c r="A29" i="3" l="1" a="1"/>
  <c r="A29" i="3" s="1"/>
  <c r="B29" i="3" s="1"/>
  <c r="A30" i="3" l="1" a="1"/>
  <c r="A30" i="3" s="1"/>
  <c r="B30" i="3" l="1"/>
  <c r="A31" i="3" a="1"/>
  <c r="A31" i="3" s="1"/>
  <c r="B31" i="3" s="1"/>
  <c r="A32" i="3" l="1" a="1"/>
  <c r="A32" i="3" s="1"/>
  <c r="B32" i="3" s="1"/>
  <c r="A33" i="3" l="1" a="1"/>
  <c r="A33" i="3" s="1"/>
  <c r="B33" i="3" l="1"/>
  <c r="A34" i="3" a="1"/>
  <c r="A34" i="3" s="1"/>
  <c r="B34" i="3" s="1"/>
  <c r="A35" i="3" l="1" a="1"/>
  <c r="A35" i="3" s="1"/>
  <c r="B35" i="3" s="1"/>
  <c r="A36" i="3" l="1" a="1"/>
  <c r="A36" i="3" s="1"/>
  <c r="B36" i="3" l="1"/>
  <c r="A37" i="3" a="1"/>
  <c r="A37" i="3" s="1"/>
  <c r="B37" i="3" s="1"/>
  <c r="A38" i="3" l="1" a="1"/>
  <c r="A38" i="3" s="1"/>
  <c r="B38" i="3" s="1"/>
  <c r="A39" i="3" l="1" a="1"/>
  <c r="A39" i="3" s="1"/>
  <c r="B39" i="3" l="1"/>
  <c r="A40" i="3" a="1"/>
  <c r="A40" i="3" s="1"/>
  <c r="B40" i="3" s="1"/>
  <c r="A41" i="3" l="1" a="1"/>
  <c r="A41" i="3" s="1"/>
  <c r="B41" i="3" s="1"/>
  <c r="A42" i="3" l="1" a="1"/>
  <c r="A42" i="3" s="1"/>
  <c r="B42" i="3" l="1"/>
  <c r="A43" i="3" a="1"/>
  <c r="A43" i="3" s="1"/>
  <c r="B43" i="3" s="1"/>
  <c r="A44" i="3" l="1" a="1"/>
  <c r="A44" i="3" s="1"/>
  <c r="B44" i="3" s="1"/>
  <c r="A45" i="3" l="1" a="1"/>
  <c r="A45" i="3" s="1"/>
  <c r="B45" i="3" l="1"/>
  <c r="A46" i="3" a="1"/>
  <c r="A46" i="3" s="1"/>
  <c r="B46" i="3" s="1"/>
  <c r="A47" i="3" l="1" a="1"/>
  <c r="A47" i="3" s="1"/>
  <c r="B47" i="3" s="1"/>
  <c r="A48" i="3" l="1" a="1"/>
  <c r="A48" i="3" s="1"/>
  <c r="B48" i="3" l="1"/>
  <c r="A49" i="3" a="1"/>
  <c r="A49" i="3" s="1"/>
  <c r="B49" i="3" l="1"/>
  <c r="A50" i="3" a="1"/>
  <c r="A50" i="3" s="1"/>
  <c r="B50" i="3" s="1"/>
  <c r="A51" i="3" l="1" a="1"/>
  <c r="A51" i="3" s="1"/>
  <c r="A52" i="3" l="1" a="1"/>
  <c r="A52" i="3" s="1"/>
  <c r="B52" i="3" s="1"/>
  <c r="B51" i="3"/>
  <c r="A53" i="3" l="1" a="1"/>
  <c r="A53" i="3" s="1"/>
  <c r="B53" i="3" l="1"/>
  <c r="A54" i="3" a="1"/>
  <c r="A54" i="3" s="1"/>
  <c r="B54" i="3" s="1"/>
  <c r="A55" i="3" l="1" a="1"/>
  <c r="A55" i="3" s="1"/>
  <c r="B55" i="3" s="1"/>
  <c r="A56" i="3" l="1" a="1"/>
  <c r="A56" i="3" s="1"/>
  <c r="A57" i="3" l="1" a="1"/>
  <c r="A57" i="3" s="1"/>
  <c r="B57" i="3" s="1"/>
  <c r="B56" i="3"/>
  <c r="A58" i="3" l="1" a="1"/>
  <c r="A58" i="3" s="1"/>
  <c r="B58" i="3" l="1"/>
  <c r="A59" i="3" a="1"/>
  <c r="A59" i="3" s="1"/>
  <c r="B59" i="3" s="1"/>
  <c r="A60" i="3" l="1" a="1"/>
  <c r="A60" i="3" s="1"/>
  <c r="B60" i="3" s="1"/>
  <c r="A61" i="3" l="1" a="1"/>
  <c r="A61" i="3" s="1"/>
  <c r="B61" i="3" l="1"/>
  <c r="A62" i="3" a="1"/>
  <c r="A62" i="3" s="1"/>
  <c r="B62" i="3" s="1"/>
  <c r="A63" i="3" l="1" a="1"/>
  <c r="A63" i="3" s="1"/>
  <c r="B63" i="3" s="1"/>
  <c r="A64" i="3" l="1" a="1"/>
  <c r="A64" i="3" s="1"/>
  <c r="B64" i="3" l="1"/>
  <c r="A65" i="3" a="1"/>
  <c r="A65" i="3" s="1"/>
  <c r="B65" i="3" s="1"/>
  <c r="A66" i="3" l="1" a="1"/>
  <c r="A66" i="3" s="1"/>
  <c r="B66" i="3" s="1"/>
  <c r="A67" i="3" l="1" a="1"/>
  <c r="A67" i="3" s="1"/>
  <c r="B67" i="3" l="1"/>
  <c r="A68" i="3" a="1"/>
  <c r="A68" i="3" s="1"/>
  <c r="B68" i="3" s="1"/>
  <c r="A69" i="3" l="1" a="1"/>
  <c r="A69" i="3" s="1"/>
  <c r="B69" i="3" s="1"/>
  <c r="A70" i="3" l="1" a="1"/>
  <c r="A70" i="3" s="1"/>
  <c r="B70" i="3" l="1"/>
  <c r="A71" i="3" a="1"/>
  <c r="A71" i="3" s="1"/>
  <c r="B71" i="3" s="1"/>
  <c r="A72" i="3" l="1" a="1"/>
  <c r="A72" i="3" s="1"/>
  <c r="B72" i="3" l="1"/>
  <c r="A73" i="3" a="1"/>
  <c r="A73" i="3" s="1"/>
  <c r="B73" i="3" l="1"/>
  <c r="A74" i="3" a="1"/>
  <c r="A74" i="3" s="1"/>
  <c r="B74" i="3" s="1"/>
  <c r="A75" i="3" l="1" a="1"/>
  <c r="A75" i="3" s="1"/>
  <c r="B75" i="3" l="1"/>
  <c r="A76" i="3" a="1"/>
  <c r="A76" i="3" s="1"/>
  <c r="B76" i="3" s="1"/>
  <c r="A77" i="3" l="1" a="1"/>
  <c r="A77" i="3" s="1"/>
  <c r="B77" i="3" s="1"/>
  <c r="A78" i="3" l="1" a="1"/>
  <c r="A78" i="3" s="1"/>
  <c r="B78" i="3" l="1"/>
  <c r="A79" i="3" a="1"/>
  <c r="A79" i="3" s="1"/>
  <c r="B79" i="3" s="1"/>
  <c r="A80" i="3" l="1" a="1"/>
  <c r="A80" i="3" s="1"/>
  <c r="B80" i="3" s="1"/>
  <c r="A81" i="3" l="1" a="1"/>
  <c r="A81" i="3" s="1"/>
  <c r="B81" i="3" l="1"/>
  <c r="A82" i="3" a="1"/>
  <c r="A82" i="3" s="1"/>
  <c r="B82" i="3" s="1"/>
  <c r="A83" i="3" l="1" a="1"/>
  <c r="A83" i="3" s="1"/>
  <c r="B83" i="3" s="1"/>
  <c r="A84" i="3" l="1" a="1"/>
  <c r="A84" i="3" s="1"/>
  <c r="B84" i="3" l="1"/>
  <c r="A85" i="3" a="1"/>
  <c r="A85" i="3" s="1"/>
  <c r="A86" i="3" l="1" a="1"/>
  <c r="A86" i="3" s="1"/>
  <c r="B85" i="3"/>
  <c r="B86" i="3" l="1"/>
  <c r="A87" i="3" a="1"/>
  <c r="A87" i="3" s="1"/>
  <c r="B87" i="3" l="1"/>
  <c r="A88" i="3" a="1"/>
  <c r="A88" i="3" s="1"/>
  <c r="B88" i="3" s="1"/>
  <c r="A89" i="3" l="1" a="1"/>
  <c r="A89" i="3" s="1"/>
  <c r="B89" i="3" s="1"/>
  <c r="A90" i="3" l="1" a="1"/>
  <c r="A90" i="3" s="1"/>
  <c r="A91" i="3" s="1" a="1"/>
  <c r="A91" i="3" s="1"/>
  <c r="B91" i="3" s="1"/>
  <c r="A92" i="3" l="1" a="1"/>
  <c r="A92" i="3" s="1"/>
  <c r="B92" i="3" s="1"/>
  <c r="B90" i="3"/>
  <c r="A93" i="3" l="1" a="1"/>
  <c r="A93" i="3" s="1"/>
  <c r="B93" i="3" s="1"/>
  <c r="A94" i="3" l="1" a="1"/>
  <c r="A94" i="3" s="1"/>
  <c r="B94" i="3" s="1"/>
  <c r="A95" i="3" l="1" a="1"/>
  <c r="A95" i="3" s="1"/>
  <c r="B95" i="3" s="1"/>
  <c r="A96" i="3" l="1" a="1"/>
  <c r="A96" i="3" s="1"/>
  <c r="B96" i="3" s="1"/>
  <c r="A97" i="3" l="1" a="1"/>
  <c r="A97" i="3" s="1"/>
  <c r="B97" i="3" s="1"/>
  <c r="A98" i="3" l="1" a="1"/>
  <c r="A98" i="3" s="1"/>
  <c r="B98" i="3" s="1"/>
  <c r="A99" i="3" l="1" a="1"/>
  <c r="A99" i="3" s="1"/>
  <c r="B99" i="3" s="1"/>
  <c r="A100" i="3" l="1" a="1"/>
  <c r="A100" i="3" s="1"/>
  <c r="B100" i="3" s="1"/>
  <c r="A101" i="3" l="1" a="1"/>
  <c r="A101" i="3" s="1"/>
  <c r="B101" i="3" s="1"/>
  <c r="A102" i="3" l="1" a="1"/>
  <c r="A102" i="3" s="1"/>
  <c r="B102" i="3" s="1"/>
  <c r="A103" i="3" l="1" a="1"/>
  <c r="A103" i="3" s="1"/>
  <c r="B103" i="3" s="1"/>
  <c r="A104" i="3" l="1" a="1"/>
  <c r="A104" i="3" s="1"/>
  <c r="B104" i="3" s="1"/>
  <c r="A105" i="3" l="1" a="1"/>
  <c r="A105" i="3" s="1"/>
  <c r="B105" i="3" s="1"/>
  <c r="A106" i="3" l="1" a="1"/>
  <c r="A106" i="3" s="1"/>
  <c r="B106" i="3" s="1"/>
  <c r="A107" i="3" l="1" a="1"/>
  <c r="A107" i="3" s="1"/>
  <c r="B107" i="3" s="1"/>
  <c r="A108" i="3" l="1" a="1"/>
  <c r="A108" i="3" s="1"/>
  <c r="B108" i="3" s="1"/>
  <c r="A109" i="3" l="1" a="1"/>
  <c r="A109" i="3" s="1"/>
  <c r="B109" i="3" s="1"/>
  <c r="A110" i="3" l="1" a="1"/>
  <c r="A110" i="3" s="1"/>
  <c r="B110" i="3" s="1"/>
  <c r="A111" i="3" l="1" a="1"/>
  <c r="A111" i="3" s="1"/>
  <c r="B111" i="3" s="1"/>
  <c r="A112" i="3" l="1" a="1"/>
  <c r="A112" i="3" s="1"/>
  <c r="B112" i="3" s="1"/>
  <c r="A113" i="3" l="1" a="1"/>
  <c r="A113" i="3" s="1"/>
  <c r="B113" i="3" s="1"/>
  <c r="A114" i="3" l="1" a="1"/>
  <c r="A114" i="3" s="1"/>
  <c r="B114" i="3" s="1"/>
  <c r="A115" i="3" l="1" a="1"/>
  <c r="A115" i="3" s="1"/>
  <c r="B115" i="3" s="1"/>
  <c r="A116" i="3" l="1" a="1"/>
  <c r="A116" i="3" s="1"/>
  <c r="B116" i="3" s="1"/>
  <c r="A117" i="3" l="1" a="1"/>
  <c r="A117" i="3" s="1"/>
  <c r="B117" i="3" s="1"/>
  <c r="A118" i="3" l="1" a="1"/>
  <c r="A118" i="3" s="1"/>
  <c r="B118" i="3" s="1"/>
  <c r="A119" i="3" l="1" a="1"/>
  <c r="A119" i="3" s="1"/>
  <c r="B119" i="3" s="1"/>
  <c r="A120" i="3" l="1" a="1"/>
  <c r="A120" i="3" s="1"/>
  <c r="B120" i="3" s="1"/>
  <c r="A121" i="3" l="1" a="1"/>
  <c r="A121" i="3" s="1"/>
  <c r="B121" i="3" s="1"/>
  <c r="A122" i="3" l="1" a="1"/>
  <c r="A122" i="3" s="1"/>
  <c r="B122" i="3" s="1"/>
  <c r="A123" i="3" l="1" a="1"/>
  <c r="A123" i="3" s="1"/>
  <c r="B123" i="3" s="1"/>
  <c r="A124" i="3" l="1" a="1"/>
  <c r="A124" i="3" s="1"/>
  <c r="B124" i="3" s="1"/>
  <c r="A125" i="3" l="1" a="1"/>
  <c r="A125" i="3" s="1"/>
  <c r="B125" i="3" s="1"/>
  <c r="A126" i="3" l="1" a="1"/>
  <c r="A126" i="3" s="1"/>
  <c r="B126" i="3" s="1"/>
  <c r="A127" i="3" l="1" a="1"/>
  <c r="A127" i="3" s="1"/>
  <c r="B127" i="3" s="1"/>
  <c r="A128" i="3" l="1" a="1"/>
  <c r="A128" i="3" s="1"/>
  <c r="B128" i="3" s="1"/>
  <c r="A129" i="3" l="1" a="1"/>
  <c r="A129" i="3" s="1"/>
  <c r="B129" i="3" s="1"/>
  <c r="A130" i="3" l="1" a="1"/>
  <c r="A130" i="3" s="1"/>
  <c r="B130" i="3" s="1"/>
  <c r="A131" i="3" l="1" a="1"/>
  <c r="A131" i="3" s="1"/>
  <c r="B131" i="3" s="1"/>
  <c r="H4" i="9" l="1"/>
  <c r="H9" i="9" s="1"/>
  <c r="H13" i="9" l="1"/>
  <c r="H11" i="9"/>
  <c r="H7" i="9"/>
  <c r="H15" i="9"/>
  <c r="H14" i="9"/>
  <c r="H8" i="9"/>
  <c r="H10" i="9"/>
  <c r="H12" i="9"/>
  <c r="I4" i="9"/>
  <c r="H6" i="9"/>
  <c r="I13" i="9" l="1"/>
  <c r="I11" i="9"/>
  <c r="I8" i="9"/>
  <c r="I7" i="9"/>
  <c r="I15" i="9"/>
  <c r="I14" i="9"/>
  <c r="I9" i="9"/>
  <c r="I12" i="9"/>
  <c r="I10" i="9"/>
  <c r="I6" i="9"/>
  <c r="J4" i="9"/>
  <c r="J13" i="9" l="1"/>
  <c r="J11" i="9"/>
  <c r="J7" i="9"/>
  <c r="J15" i="9"/>
  <c r="J10" i="9"/>
  <c r="J14" i="9"/>
  <c r="K23" i="9"/>
  <c r="K25" i="9"/>
  <c r="K22" i="9"/>
  <c r="K24" i="9"/>
  <c r="K20" i="9"/>
  <c r="K17" i="9"/>
  <c r="K18" i="9"/>
  <c r="K19" i="9"/>
  <c r="K4" i="9"/>
  <c r="J6" i="9"/>
  <c r="K13" i="9" l="1"/>
  <c r="K11" i="9"/>
  <c r="K10" i="9"/>
  <c r="K9" i="9"/>
  <c r="K8" i="9"/>
  <c r="K14" i="9"/>
  <c r="K12" i="9"/>
  <c r="K7" i="9"/>
  <c r="K15" i="9"/>
  <c r="L23" i="9"/>
  <c r="L25" i="9"/>
  <c r="L24" i="9"/>
  <c r="L22" i="9"/>
  <c r="L17" i="9"/>
  <c r="L20" i="9"/>
  <c r="L18" i="9"/>
  <c r="L19" i="9"/>
  <c r="K6" i="9"/>
  <c r="L4" i="9"/>
  <c r="L13" i="9" l="1"/>
  <c r="L11" i="9"/>
  <c r="L10" i="9"/>
  <c r="L9" i="9"/>
  <c r="L15" i="9"/>
  <c r="L12" i="9"/>
  <c r="L14" i="9"/>
  <c r="L8" i="9"/>
  <c r="L7" i="9"/>
  <c r="M4" i="9"/>
  <c r="M17" i="9"/>
  <c r="M24" i="9"/>
  <c r="M25" i="9"/>
  <c r="M23" i="9"/>
  <c r="M22" i="9"/>
  <c r="N19" i="9"/>
  <c r="M19" i="9"/>
  <c r="M20" i="9"/>
  <c r="M18" i="9"/>
  <c r="L6" i="9"/>
  <c r="M13" i="9" l="1"/>
  <c r="M11" i="9"/>
  <c r="M12" i="9"/>
  <c r="M10" i="9"/>
  <c r="M8" i="9"/>
  <c r="M7" i="9"/>
  <c r="M15" i="9"/>
  <c r="M14" i="9"/>
  <c r="M9" i="9"/>
  <c r="N4" i="9"/>
  <c r="N17" i="9"/>
  <c r="N25" i="9"/>
  <c r="N24" i="9"/>
  <c r="N23" i="9"/>
  <c r="N22" i="9"/>
  <c r="N18" i="9"/>
  <c r="N20" i="9"/>
  <c r="N13" i="9" l="1"/>
  <c r="N11" i="9"/>
  <c r="N12" i="9"/>
  <c r="N15" i="9"/>
  <c r="N14" i="9"/>
  <c r="N9" i="9"/>
  <c r="N8" i="9"/>
  <c r="N10" i="9"/>
  <c r="N7" i="9"/>
</calcChain>
</file>

<file path=xl/sharedStrings.xml><?xml version="1.0" encoding="utf-8"?>
<sst xmlns="http://schemas.openxmlformats.org/spreadsheetml/2006/main" count="786" uniqueCount="290">
  <si>
    <t>PROGRAMAÇÃO DIÁRIA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</si>
  <si>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</si>
  <si>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</si>
  <si>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</si>
  <si>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</si>
  <si>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</si>
  <si>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</si>
  <si>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</si>
  <si>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Para a semana de</t>
  </si>
  <si>
    <t>TAREFA</t>
  </si>
  <si>
    <t>QUEM</t>
  </si>
  <si>
    <t>ENTRADA DE DADOS</t>
  </si>
  <si>
    <t>DATA E HORA</t>
  </si>
  <si>
    <t xml:space="preserve">Mostrar agenda de: </t>
  </si>
  <si>
    <t>HORA</t>
  </si>
  <si>
    <t>Manuel</t>
  </si>
  <si>
    <t>NOME EXCLUSIVO</t>
  </si>
  <si>
    <t>NÚMERO DA LINHA</t>
  </si>
  <si>
    <t>Esta planilha preenche a lista suspensa de nomes na planilha Agenda da célula H3. Qualquer alteração feita nesta planilha pode resultar em erro.</t>
  </si>
  <si>
    <t>PROCESSOS</t>
  </si>
  <si>
    <t>PAPEIS E RESPONSABILIDADES  - ANALISTA DE OPERAÇÕES EMEC</t>
  </si>
  <si>
    <t>PLANEJAMENTO</t>
  </si>
  <si>
    <t>PROGRAMAÇÃO</t>
  </si>
  <si>
    <t>CUSTO E MEDIÇÃO</t>
  </si>
  <si>
    <t>GESTÃO DE RECURSOS</t>
  </si>
  <si>
    <t>ANÁLISE DE PERFORMANCE</t>
  </si>
  <si>
    <t>PADRONIZAÇÃO DE ANÁLISE DE FALHA E RECORRÊNCIA OS</t>
  </si>
  <si>
    <t>GESTÃO DE DOCUMENTOS</t>
  </si>
  <si>
    <t>INOVAÇÃO E MELHORIAS</t>
  </si>
  <si>
    <t>APRESENTAÇÃO DE RESULTADOS</t>
  </si>
  <si>
    <t>CAPACITAÇÃO</t>
  </si>
  <si>
    <t>SOLICITAÇÃO DE COMPRAS</t>
  </si>
  <si>
    <t>RESERVAS CL</t>
  </si>
  <si>
    <t>RESSUPRIMENTO</t>
  </si>
  <si>
    <t>CRONOGRAMA MUNCK</t>
  </si>
  <si>
    <t>KPI's EMEC</t>
  </si>
  <si>
    <t>GESTÃO DOS DADOS</t>
  </si>
  <si>
    <t>POWER BI</t>
  </si>
  <si>
    <t xml:space="preserve">DASHBOARD </t>
  </si>
  <si>
    <t>OTIMIZAR A GESTÃO DA ROTINA DE EMEC</t>
  </si>
  <si>
    <t>MATERIAL</t>
  </si>
  <si>
    <t>RELATÓRIO</t>
  </si>
  <si>
    <t>EPC</t>
  </si>
  <si>
    <t>CAMPO EMEC</t>
  </si>
  <si>
    <t>EEE</t>
  </si>
  <si>
    <t>PARAFUSO</t>
  </si>
  <si>
    <t>AGOSTO</t>
  </si>
  <si>
    <t>EAT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</si>
  <si>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</si>
  <si>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</si>
  <si>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</si>
  <si>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</si>
  <si>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</si>
  <si>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</si>
  <si>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</si>
  <si>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</si>
  <si>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</si>
  <si>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ANDRÉ  AZEVEDO</t>
  </si>
  <si>
    <t>GUAICURUS</t>
  </si>
  <si>
    <t>DISPONIBILIDADE DE ATIVOS CRÍTICOS</t>
  </si>
  <si>
    <t>JUNHO</t>
  </si>
  <si>
    <t>NOME</t>
  </si>
  <si>
    <t xml:space="preserve">LOGIN SAP </t>
  </si>
  <si>
    <t>ESCALA</t>
  </si>
  <si>
    <t>CARGA HORÁRIA (H)</t>
  </si>
  <si>
    <t>QTD DIAS TRAB</t>
  </si>
  <si>
    <t>QTD DIAS AUSENTE</t>
  </si>
  <si>
    <t>QTD HORAS AUSENTE</t>
  </si>
  <si>
    <t>CAPACIDADE (MÊS)</t>
  </si>
  <si>
    <t xml:space="preserve">REAL TRABALHADO </t>
  </si>
  <si>
    <t>BASE SAP</t>
  </si>
  <si>
    <t>LUIZ CLAUDIO FERREIRA DE SOUZA</t>
  </si>
  <si>
    <t>LSOUZA04</t>
  </si>
  <si>
    <t>5x2</t>
  </si>
  <si>
    <t>THIAGO DE SOUZA BRAZ</t>
  </si>
  <si>
    <t>TDSBRAZ</t>
  </si>
  <si>
    <t>RICHARD SILVA DE OLIVEIRA</t>
  </si>
  <si>
    <t>RSDOLIVEIRA1</t>
  </si>
  <si>
    <t>DHIEGO SILVESTRE CERESO</t>
  </si>
  <si>
    <t>DCERESO</t>
  </si>
  <si>
    <t>CARLOS EMMANOEL IGNOCENCIO DO AMARAL</t>
  </si>
  <si>
    <t>CEIDAMARAL</t>
  </si>
  <si>
    <t>LINALDO DOS SANTOS</t>
  </si>
  <si>
    <t>LSANTOS7</t>
  </si>
  <si>
    <t>GILSON MOREIRA SANCHES</t>
  </si>
  <si>
    <t>GSANCHES</t>
  </si>
  <si>
    <t>FRANCISCO ALVES CAMELO JUNIOR</t>
  </si>
  <si>
    <t>FAJUNIOR</t>
  </si>
  <si>
    <t>2x2</t>
  </si>
  <si>
    <t>GUSTAVO MATHEUS MOREIRA DA SILVA</t>
  </si>
  <si>
    <t>GSILVA54</t>
  </si>
  <si>
    <t>LUCAS VILANOVA SILVA</t>
  </si>
  <si>
    <t>LVSILVA</t>
  </si>
  <si>
    <t xml:space="preserve">DIOGO LOGULLO TAVARES MORAIS </t>
  </si>
  <si>
    <t>DMORAIS01</t>
  </si>
  <si>
    <t>JOSIVALDO ALEXANDRE DE OLIVEIRA</t>
  </si>
  <si>
    <t>JOLIVEIRA17</t>
  </si>
  <si>
    <t> ODILON XAVIER BARRETO DA SILVA GOMES</t>
  </si>
  <si>
    <t>OGOMES01</t>
  </si>
  <si>
    <t xml:space="preserve">EDER RODRIGUES DA SILVA </t>
  </si>
  <si>
    <t>ESILVA19</t>
  </si>
  <si>
    <t>JEFFERSON COUTO DE SOUZA</t>
  </si>
  <si>
    <t>JSOUZA61</t>
  </si>
  <si>
    <t>RIVAL DA MATTA NUNES</t>
  </si>
  <si>
    <t>RNUNES04</t>
  </si>
  <si>
    <t xml:space="preserve">EDSON CARLOS DA SILVA </t>
  </si>
  <si>
    <t>ESILVA21</t>
  </si>
  <si>
    <t>LEONSTHIN DE CARVALHO MELO</t>
  </si>
  <si>
    <t>LMELO03</t>
  </si>
  <si>
    <t>WASHINGTON IGOR PONTES NUNES</t>
  </si>
  <si>
    <t>WNUNES03</t>
  </si>
  <si>
    <t>TOTAL:</t>
  </si>
  <si>
    <t>JULHO</t>
  </si>
  <si>
    <t>AMANCIO THIAGO PEDRO DIAS</t>
  </si>
  <si>
    <t>ADIAS08</t>
  </si>
  <si>
    <t>EDER RODRIGUES DA SILVA</t>
  </si>
  <si>
    <t>EDSON CARLOS DA SILVA</t>
  </si>
  <si>
    <t>FRANCISCO ALVES CAMILO JUNIOR</t>
  </si>
  <si>
    <t>LUCAS SILVA BRAGA D IMPÉRIO AROUCHA</t>
  </si>
  <si>
    <t>LSBDIAROUCHA</t>
  </si>
  <si>
    <t>ODILON XAVIER BARRETO DA SILVA GOMES</t>
  </si>
  <si>
    <t>PAULO ROBERTO SENA RODRIGUES SILVA</t>
  </si>
  <si>
    <t>PSILVA20</t>
  </si>
  <si>
    <t xml:space="preserve">RELÓGIO DE PONTO </t>
  </si>
  <si>
    <t>FABIANO DUTRA DUARTE</t>
  </si>
  <si>
    <t>FDDUARTE</t>
  </si>
  <si>
    <t>SETEMBRO</t>
  </si>
  <si>
    <t>BH</t>
  </si>
  <si>
    <t>FELIPE RICARDO DA SILVA</t>
  </si>
  <si>
    <t>FRSILVA</t>
  </si>
  <si>
    <t>ALEX SYDNEY DE OLIVEIRA ANTUNES</t>
  </si>
  <si>
    <t>ASOANTUNES</t>
  </si>
  <si>
    <t>JONATHAN RODRIGUES DA SILVA</t>
  </si>
  <si>
    <t>JRSILVA01</t>
  </si>
  <si>
    <t>RICARDO MOREIRA FILHO</t>
  </si>
  <si>
    <t>RMFILHO</t>
  </si>
  <si>
    <t>BRUNO JESUS RAMOS CAETANO FERREIRA</t>
  </si>
  <si>
    <t>BJRCFERREIRA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</si>
  <si>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</si>
  <si>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</si>
  <si>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</si>
  <si>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</si>
  <si>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</si>
  <si>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</si>
  <si>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</si>
  <si>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</si>
  <si>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FLÁVIO</t>
  </si>
  <si>
    <t>MAURICIO</t>
  </si>
  <si>
    <t>COLETAR CAIZA REDUTORA NA PRODUMEC</t>
  </si>
  <si>
    <t>COLETAR VOLUTA NA WORKMEC</t>
  </si>
  <si>
    <t>EAT SIQUEIRA CAMPOS - RETIRAR BOMBAS E MOTORES QUE ESTÃO SOLTOS NA UNIDADE</t>
  </si>
  <si>
    <t>EAT ALMIRANTE ALEXANDRINO - RETIRAR BOMBAS E MOTORES QUE ESTÃO SOLTOS NA UNIDADE</t>
  </si>
  <si>
    <t/>
  </si>
  <si>
    <t>01/10/2025</t>
  </si>
  <si>
    <t>02/10/2025</t>
  </si>
  <si>
    <t>03/10/2025</t>
  </si>
  <si>
    <t>04/10/2025</t>
  </si>
  <si>
    <t>05/10/2025</t>
  </si>
  <si>
    <t>QUARTA</t>
  </si>
  <si>
    <t>QUINTA</t>
  </si>
  <si>
    <t>SEXTA</t>
  </si>
  <si>
    <t>RETIRAR MATERIAIS OBSOLETOS DA ELEVATÓRIA MARACANÃ</t>
  </si>
  <si>
    <t xml:space="preserve">RETIRAR BOMBA DE CONSELHEIRO PARANAGUÁ - CL </t>
  </si>
  <si>
    <t>RETIRAR BOMBAS DA EAT SIQUEIRA CAMPOS E ALMIRANTE ALEXANDRINO</t>
  </si>
  <si>
    <t>RETIRAR BOMBA DA FARME DE AMOEDO G2</t>
  </si>
  <si>
    <t>RETIRAR BOMBA DE ANDRÉ AZEVEDO - CL</t>
  </si>
  <si>
    <t>COLETAR INVERSOR DE FREQUÊNCIA NA ETE ALEGRIA E DEIXAR NA MENDES DE MORAIS</t>
  </si>
  <si>
    <t xml:space="preserve">TOTAL: </t>
  </si>
  <si>
    <t>CAIÇARAS</t>
  </si>
  <si>
    <t>PERI</t>
  </si>
  <si>
    <t>FARO</t>
  </si>
  <si>
    <t>JACARANDÁS</t>
  </si>
  <si>
    <t>FÉRIAS</t>
  </si>
  <si>
    <t>JUSTIFICATIVA</t>
  </si>
  <si>
    <t>OBS</t>
  </si>
  <si>
    <t>-</t>
  </si>
  <si>
    <t>SERVIÇOS E ATENDIMENTOS EMERGENCIAIS</t>
  </si>
  <si>
    <t>CONVERSA FRANCA COM GESTOR E MEDIDA DISCIPLINAR</t>
  </si>
  <si>
    <t>CONVERSA FRANCA COM GESTOR</t>
  </si>
  <si>
    <t>05/10/2028</t>
  </si>
  <si>
    <t>06/10/2026</t>
  </si>
  <si>
    <t>07/10/2027</t>
  </si>
  <si>
    <t>RETIRAR MOTOBOMBA ANFIBIA DO CL</t>
  </si>
  <si>
    <t>RETIRAR BOMBA CENTRÍFUGA DO CL</t>
  </si>
  <si>
    <t>RETIRAR VARA DE MANOBRA DO CL</t>
  </si>
  <si>
    <t>SEGUNDA</t>
  </si>
  <si>
    <t>TERÇA</t>
  </si>
  <si>
    <t xml:space="preserve">SÁBADO </t>
  </si>
  <si>
    <t xml:space="preserve">PARAFUSO,MOVIMENTAR BOMBA G2 - EDER X ODILON </t>
  </si>
  <si>
    <t>FARME DE AMOEDO: RETIRAR BOMBA E LEVAR PARA WORKMEC - JEFFERSON X RIVAL</t>
  </si>
  <si>
    <t>SIQUEIRA CAMPOS: RETIRAR EQUIPAMENTOS</t>
  </si>
  <si>
    <t>INSTALAÇÃO CAIXA REDUTORA - PARAFUSO</t>
  </si>
  <si>
    <t>FUNÇÃO</t>
  </si>
  <si>
    <t>LOGIN SAP</t>
  </si>
  <si>
    <t xml:space="preserve">COLABORADOR </t>
  </si>
  <si>
    <t>TEC. ELETROMECANICA I</t>
  </si>
  <si>
    <t>COMERCIAL</t>
  </si>
  <si>
    <t>C2</t>
  </si>
  <si>
    <t>PLANTÃO 1</t>
  </si>
  <si>
    <t>PLANTÃO 2</t>
  </si>
  <si>
    <t>ESCALA DE TRABALHO</t>
  </si>
  <si>
    <t>QUANT.</t>
  </si>
  <si>
    <t>VALOR UNITÁRIO</t>
  </si>
  <si>
    <t>TOTAL GERAL:</t>
  </si>
  <si>
    <t>TOTAL</t>
  </si>
  <si>
    <t>Login Field</t>
  </si>
  <si>
    <t>P1</t>
  </si>
  <si>
    <t>P2</t>
  </si>
  <si>
    <t>CLOVIS DE SOUZA BOAVENTURA</t>
  </si>
  <si>
    <t>JHONATA SILVA VIEIRA</t>
  </si>
  <si>
    <t>ANDREW VENANCIO DOS SANTOS SANTANA</t>
  </si>
  <si>
    <t>VINICIUS HENRIQUE GUIMARAES DA SILVA</t>
  </si>
  <si>
    <t>VAGNER LIMA BATISTA</t>
  </si>
  <si>
    <t>ALEXANDRE JOSE FERREIRA</t>
  </si>
  <si>
    <t>VALMIR GONCALVES PIRES</t>
  </si>
  <si>
    <t>ELETRICISTA</t>
  </si>
  <si>
    <t>ANDRE LUIZ PEREIRA MACIEL FERNANDES</t>
  </si>
  <si>
    <t>DOUGLAS BRUNO DOS SANTOS SILVA</t>
  </si>
  <si>
    <t>MARCIO LEANDRO PEREIRA SILVA</t>
  </si>
  <si>
    <t>DIEGO SILVA SOUZA</t>
  </si>
  <si>
    <t>HORARIO</t>
  </si>
  <si>
    <t>NOTURNO</t>
  </si>
  <si>
    <t>DIURNO</t>
  </si>
  <si>
    <t>RONALDO GOMES BEZERRA</t>
  </si>
  <si>
    <t>JORGE LUIZ DA SILVA DOS SANTOS</t>
  </si>
  <si>
    <t>ERICK DO NASCIMENTO BARROS</t>
  </si>
  <si>
    <t>PAULO SERGIO VIEIRA QUIXABEIRA</t>
  </si>
  <si>
    <t>MAXWELL RODRIGUES BEDA</t>
  </si>
  <si>
    <t>REINALDO BOTELHO GONÇALVES</t>
  </si>
  <si>
    <t>OPERADOR MULTIFUNCIONAL</t>
  </si>
  <si>
    <t>MECÂNICO MANUTENÇÃO I</t>
  </si>
  <si>
    <t>TEC. AUTOMAÇÃO I</t>
  </si>
  <si>
    <t>MARCELO DE SOUZA LIMA</t>
  </si>
  <si>
    <t>CBOAVENTURA</t>
  </si>
  <si>
    <t>clovis.boaventura@aguasdorio.com.br</t>
  </si>
  <si>
    <t>21 99508-1150</t>
  </si>
  <si>
    <t>JVIEIRA03</t>
  </si>
  <si>
    <t>ELETRICISTA I</t>
  </si>
  <si>
    <t>jhonata.vieira@aguasdorio.com.br</t>
  </si>
  <si>
    <t>21 99653-9956</t>
  </si>
  <si>
    <t>ASANTANA04</t>
  </si>
  <si>
    <t>andrew.santana@aguasdorio.com.br</t>
  </si>
  <si>
    <t>VHGDSILVA</t>
  </si>
  <si>
    <t>vinicius.hsilva@aegea.com.br</t>
  </si>
  <si>
    <t>21 99897-8785</t>
  </si>
  <si>
    <t>AFERREIRA17</t>
  </si>
  <si>
    <t>alexandre.jose@aguasdorio.com.br</t>
  </si>
  <si>
    <t>21 97126-8976</t>
  </si>
  <si>
    <t>MOTORISTA MAQ. PESADA</t>
  </si>
  <si>
    <t>marcelo.dlima@aguasdorio.com.br</t>
  </si>
  <si>
    <t>21 99705-0724</t>
  </si>
  <si>
    <t>MLEANDRO</t>
  </si>
  <si>
    <t>marcio.leandro@aguasdorio.com.br</t>
  </si>
  <si>
    <t>21 97241-9524</t>
  </si>
  <si>
    <t>DSOUZA15</t>
  </si>
  <si>
    <t>diego.ssilva@aguasdorio.com.br</t>
  </si>
  <si>
    <t>AMACIEL1</t>
  </si>
  <si>
    <t>andre.maciel@aguasdorio.com.br</t>
  </si>
  <si>
    <t>21 96775-8413</t>
  </si>
  <si>
    <t>DSILVA55</t>
  </si>
  <si>
    <t>douglas.bruno@aguasdorio.com.br</t>
  </si>
  <si>
    <t>VPIRES</t>
  </si>
  <si>
    <t>valmir.pires@aguasdorio.com.br</t>
  </si>
  <si>
    <t>21 97188-6799</t>
  </si>
  <si>
    <t>RBEZERRA</t>
  </si>
  <si>
    <t>ronaldo.bezerra@aguasdorio.com.br</t>
  </si>
  <si>
    <t>JSANTOS121</t>
  </si>
  <si>
    <t>jorge.dsantos@aguasdorio.com.br</t>
  </si>
  <si>
    <t>EBARROS04</t>
  </si>
  <si>
    <t>erick.barros@aguasdorio.com.br</t>
  </si>
  <si>
    <t>21 99578-3656</t>
  </si>
  <si>
    <t>PQUIXABEIRA</t>
  </si>
  <si>
    <t>paulo.quixabeira@aguasdorio.com.br</t>
  </si>
  <si>
    <t>MBEDA</t>
  </si>
  <si>
    <t>maxwell.beda@aguasdorio.com.br</t>
  </si>
  <si>
    <t>21 97221-7726</t>
  </si>
  <si>
    <t>VBATISTA02</t>
  </si>
  <si>
    <t>vagner.batista@aguasdorio.com.br</t>
  </si>
  <si>
    <t>RGONCALVES</t>
  </si>
  <si>
    <t>reinaldo.goncalves@aegea.com.br</t>
  </si>
  <si>
    <t>CLAUDIO SOUZA DE MELO</t>
  </si>
  <si>
    <t>claudio.smelo@aegea.com.br</t>
  </si>
  <si>
    <t>C1</t>
  </si>
  <si>
    <t>C3</t>
  </si>
  <si>
    <t>C4</t>
  </si>
  <si>
    <t>INFORMAÇÕES TIME EMEC - BAIXADA 2</t>
  </si>
  <si>
    <t>Férias</t>
  </si>
  <si>
    <t>FOLGA</t>
  </si>
  <si>
    <t>EQUIPE</t>
  </si>
  <si>
    <t>VAGO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</si>
</sst>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h:mm;@"/>
    <numFmt numFmtId="165" formatCode="_-* #,##0_-;\-* #,##0_-;_-* &quot;-&quot;??_-;_-@_-"/>
  </numFmts>
  <fonts count="48" x14ac:knownFonts="1">
    <font>
      <sz val="9"/>
      <color theme="3"/>
      <name val="Cambria"/>
      <family val="2"/>
      <scheme val="minor"/>
    </font>
    <font>
      <sz val="10"/>
      <color theme="1"/>
      <name val="Cambria"/>
      <family val="2"/>
      <scheme val="minor"/>
    </font>
    <font>
      <sz val="10"/>
      <color theme="0"/>
      <name val="Cambria"/>
      <family val="2"/>
      <scheme val="minor"/>
    </font>
    <font>
      <sz val="9"/>
      <color theme="1"/>
      <name val="Cambria"/>
      <family val="2"/>
      <scheme val="minor"/>
    </font>
    <font>
      <sz val="8"/>
      <color theme="1"/>
      <name val="Cambria"/>
      <family val="2"/>
      <scheme val="minor"/>
    </font>
    <font>
      <sz val="8"/>
      <color theme="0"/>
      <name val="Cambria"/>
      <family val="2"/>
      <scheme val="minor"/>
    </font>
    <font>
      <sz val="10"/>
      <color theme="1"/>
      <name val="Franklin Gothic Medium"/>
      <family val="2"/>
      <scheme val="major"/>
    </font>
    <font>
      <b/>
      <sz val="8"/>
      <color theme="3" tint="9.9978637043366805E-2"/>
      <name val="Cambria"/>
      <family val="1"/>
      <scheme val="minor"/>
    </font>
    <font>
      <sz val="14"/>
      <color theme="4"/>
      <name val="Franklin Gothic Medium"/>
      <family val="2"/>
      <scheme val="major"/>
    </font>
    <font>
      <sz val="14"/>
      <color theme="5"/>
      <name val="Franklin Gothic Medium"/>
      <family val="2"/>
      <scheme val="major"/>
    </font>
    <font>
      <sz val="14"/>
      <color theme="7"/>
      <name val="Franklin Gothic Medium"/>
      <family val="2"/>
      <scheme val="major"/>
    </font>
    <font>
      <sz val="14"/>
      <color theme="6"/>
      <name val="Franklin Gothic Medium"/>
      <family val="2"/>
      <scheme val="major"/>
    </font>
    <font>
      <sz val="14"/>
      <color theme="9"/>
      <name val="Franklin Gothic Medium"/>
      <family val="2"/>
      <scheme val="major"/>
    </font>
    <font>
      <sz val="14"/>
      <color theme="8"/>
      <name val="Franklin Gothic Medium"/>
      <family val="2"/>
      <scheme val="major"/>
    </font>
    <font>
      <sz val="14"/>
      <color theme="5" tint="-0.499984740745262"/>
      <name val="Franklin Gothic Medium"/>
      <family val="2"/>
      <scheme val="major"/>
    </font>
    <font>
      <b/>
      <sz val="9"/>
      <color theme="3" tint="9.9978637043366805E-2"/>
      <name val="Cambria"/>
      <family val="1"/>
      <scheme val="minor"/>
    </font>
    <font>
      <sz val="9"/>
      <color theme="3" tint="9.9978637043366805E-2"/>
      <name val="Cambria"/>
      <family val="1"/>
      <scheme val="minor"/>
    </font>
    <font>
      <sz val="28"/>
      <color theme="3" tint="9.9917600024414813E-2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sz val="13"/>
      <color theme="3" tint="9.9948118533890809E-2"/>
      <name val="Franklin Gothic Medium"/>
      <family val="2"/>
      <scheme val="major"/>
    </font>
    <font>
      <sz val="13"/>
      <color theme="3" tint="9.9917600024414813E-2"/>
      <name val="Franklin Gothic Medium"/>
      <family val="2"/>
      <scheme val="major"/>
    </font>
    <font>
      <b/>
      <sz val="8"/>
      <color theme="3" tint="9.9917600024414813E-2"/>
      <name val="Cambria"/>
      <family val="1"/>
      <scheme val="minor"/>
    </font>
    <font>
      <b/>
      <sz val="9"/>
      <color theme="3" tint="9.9978637043366805E-2"/>
      <name val="Cambria"/>
      <family val="1"/>
      <scheme val="minor"/>
    </font>
    <font>
      <sz val="9"/>
      <color theme="3" tint="9.9978637043366805E-2"/>
      <name val="Cambria"/>
      <family val="1"/>
      <scheme val="minor"/>
    </font>
    <font>
      <sz val="9"/>
      <color theme="4"/>
      <name val="Cambria"/>
      <family val="2"/>
      <scheme val="minor"/>
    </font>
    <font>
      <sz val="9"/>
      <color theme="1"/>
      <name val="Cambria"/>
      <family val="1"/>
      <scheme val="minor"/>
    </font>
    <font>
      <sz val="22"/>
      <color theme="3"/>
      <name val="Cambria"/>
      <family val="2"/>
      <scheme val="minor"/>
    </font>
    <font>
      <sz val="8"/>
      <name val="Cambria"/>
      <family val="2"/>
      <scheme val="minor"/>
    </font>
    <font>
      <sz val="10"/>
      <color theme="3"/>
      <name val="Cambria"/>
      <family val="2"/>
      <scheme val="minor"/>
    </font>
    <font>
      <sz val="11"/>
      <color theme="3"/>
      <name val="Cambria"/>
      <family val="2"/>
      <scheme val="minor"/>
    </font>
    <font>
      <b/>
      <sz val="16"/>
      <color theme="0"/>
      <name val="Cambria"/>
      <family val="1"/>
      <scheme val="minor"/>
    </font>
    <font>
      <b/>
      <sz val="26"/>
      <color theme="0"/>
      <name val="Cambria"/>
      <family val="2"/>
      <scheme val="minor"/>
    </font>
    <font>
      <b/>
      <sz val="14"/>
      <color theme="0"/>
      <name val="Cambria"/>
      <family val="2"/>
      <scheme val="minor"/>
    </font>
    <font>
      <sz val="14"/>
      <color theme="3"/>
      <name val="Franklin Gothic Medium"/>
      <family val="2"/>
      <scheme val="major"/>
    </font>
    <font>
      <sz val="9"/>
      <color theme="3"/>
      <name val="Franklin Gothic Medium"/>
      <family val="2"/>
      <scheme val="major"/>
    </font>
    <font>
      <sz val="14"/>
      <color theme="5" tint="-0.249977111117893"/>
      <name val="Franklin Gothic Medium"/>
      <family val="2"/>
      <scheme val="major"/>
    </font>
    <font>
      <sz val="9"/>
      <color theme="5" tint="-0.249977111117893"/>
      <name val="Cambria"/>
      <family val="2"/>
      <scheme val="minor"/>
    </font>
    <font>
      <b/>
      <sz val="14"/>
      <name val="Cambria"/>
      <family val="2"/>
      <scheme val="minor"/>
    </font>
    <font>
      <b/>
      <sz val="9"/>
      <color theme="3"/>
      <name val="Cambria"/>
      <family val="1"/>
      <scheme val="minor"/>
    </font>
    <font>
      <b/>
      <sz val="11"/>
      <color theme="5" tint="-0.249977111117893"/>
      <name val="Cambria"/>
      <family val="2"/>
      <scheme val="minor"/>
    </font>
    <font>
      <b/>
      <sz val="9"/>
      <color theme="0"/>
      <name val="Cambria"/>
      <family val="1"/>
      <scheme val="minor"/>
    </font>
    <font>
      <b/>
      <sz val="11"/>
      <color theme="0"/>
      <name val="Cambria"/>
      <family val="1"/>
      <scheme val="minor"/>
    </font>
    <font>
      <b/>
      <sz val="22"/>
      <color theme="3"/>
      <name val="Cambria"/>
      <family val="1"/>
      <scheme val="minor"/>
    </font>
    <font>
      <b/>
      <sz val="18"/>
      <color theme="3"/>
      <name val="Cambria"/>
      <family val="1"/>
      <scheme val="minor"/>
    </font>
    <font>
      <sz val="9"/>
      <color theme="3"/>
      <name val="Cambria"/>
      <family val="2"/>
      <scheme val="minor"/>
    </font>
    <font>
      <b/>
      <sz val="9"/>
      <color theme="0"/>
      <name val="Cambria"/>
      <family val="2"/>
      <scheme val="minor"/>
    </font>
    <font>
      <sz val="9"/>
      <color rgb="FF000000"/>
      <name val="Calibri"/>
      <family val="2"/>
    </font>
    <font>
      <sz val="9"/>
      <color theme="0"/>
      <name val="Cambria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theme="5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5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</fills>
  <borders count="33">
    <border>
      <left/>
      <right/>
      <top/>
      <bottom/>
      <diagonal/>
    </border>
    <border>
      <left style="thin">
        <color theme="0" tint="-0.1499679555650502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5"/>
      </top>
      <bottom/>
      <diagonal/>
    </border>
    <border>
      <left/>
      <right/>
      <top style="thin">
        <color indexed="64"/>
      </top>
      <bottom style="thin">
        <color rgb="FF00206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7" fillId="0" borderId="0" applyNumberFormat="0" applyFill="0" applyBorder="0" applyAlignment="0" applyProtection="0"/>
    <xf numFmtId="0" fontId="20" fillId="0" borderId="1" applyNumberFormat="0" applyFill="0" applyProtection="0">
      <alignment vertical="top"/>
    </xf>
    <xf numFmtId="0" fontId="19" fillId="0" borderId="0" applyNumberFormat="0" applyFill="0" applyAlignment="0" applyProtection="0"/>
    <xf numFmtId="0" fontId="18" fillId="0" borderId="0" applyNumberFormat="0" applyFill="0" applyAlignment="0" applyProtection="0"/>
    <xf numFmtId="0" fontId="21" fillId="0" borderId="0" applyNumberFormat="0" applyFill="0" applyBorder="0" applyAlignment="0" applyProtection="0"/>
    <xf numFmtId="43" fontId="44" fillId="0" borderId="0" applyFont="0" applyFill="0" applyBorder="0" applyAlignment="0" applyProtection="0"/>
    <xf numFmtId="44" fontId="44" fillId="0" borderId="0" applyFont="0" applyFill="0" applyBorder="0" applyAlignment="0" applyProtection="0"/>
  </cellStyleXfs>
  <cellXfs count="14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indent="1"/>
    </xf>
    <xf numFmtId="0" fontId="9" fillId="0" borderId="0" xfId="0" applyFont="1" applyAlignment="1">
      <alignment horizontal="left" indent="1"/>
    </xf>
    <xf numFmtId="0" fontId="16" fillId="0" borderId="0" xfId="0" applyFont="1" applyAlignment="1">
      <alignment horizontal="left" vertical="center" wrapText="1" indent="1"/>
    </xf>
    <xf numFmtId="0" fontId="17" fillId="0" borderId="0" xfId="1"/>
    <xf numFmtId="0" fontId="3" fillId="0" borderId="0" xfId="0" applyFont="1" applyAlignment="1">
      <alignment horizontal="left" vertical="center" wrapText="1" indent="1"/>
    </xf>
    <xf numFmtId="0" fontId="21" fillId="0" borderId="1" xfId="5" applyBorder="1" applyAlignment="1">
      <alignment horizontal="left" indent="1"/>
    </xf>
    <xf numFmtId="0" fontId="10" fillId="0" borderId="0" xfId="0" applyFont="1" applyAlignment="1">
      <alignment horizontal="left" indent="1"/>
    </xf>
    <xf numFmtId="14" fontId="20" fillId="0" borderId="1" xfId="2" applyNumberFormat="1" applyAlignment="1">
      <alignment horizontal="left" vertical="top" indent="1"/>
    </xf>
    <xf numFmtId="0" fontId="20" fillId="0" borderId="1" xfId="2" applyAlignment="1">
      <alignment horizontal="left" vertical="top" indent="1"/>
    </xf>
    <xf numFmtId="0" fontId="6" fillId="0" borderId="0" xfId="0" applyFont="1" applyAlignment="1">
      <alignment horizontal="left" indent="1"/>
    </xf>
    <xf numFmtId="0" fontId="23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indent="1"/>
    </xf>
    <xf numFmtId="0" fontId="11" fillId="0" borderId="0" xfId="0" applyFont="1" applyAlignment="1">
      <alignment horizontal="left" indent="1"/>
    </xf>
    <xf numFmtId="0" fontId="12" fillId="0" borderId="0" xfId="0" applyFont="1" applyAlignment="1">
      <alignment horizontal="left" indent="1"/>
    </xf>
    <xf numFmtId="0" fontId="13" fillId="0" borderId="0" xfId="0" applyFont="1" applyAlignment="1">
      <alignment horizontal="left" indent="1"/>
    </xf>
    <xf numFmtId="0" fontId="14" fillId="0" borderId="0" xfId="0" applyFont="1" applyAlignment="1">
      <alignment horizontal="left" indent="1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11" fillId="0" borderId="0" xfId="0" applyFont="1" applyAlignment="1">
      <alignment horizontal="center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left" vertical="center" wrapText="1" indent="1"/>
    </xf>
    <xf numFmtId="164" fontId="15" fillId="0" borderId="0" xfId="0" applyNumberFormat="1" applyFont="1" applyAlignment="1">
      <alignment horizontal="left" vertical="center" indent="1"/>
    </xf>
    <xf numFmtId="22" fontId="15" fillId="0" borderId="0" xfId="0" applyNumberFormat="1" applyFont="1" applyAlignment="1">
      <alignment horizontal="left" vertical="center" indent="1"/>
    </xf>
    <xf numFmtId="22" fontId="22" fillId="0" borderId="0" xfId="0" applyNumberFormat="1" applyFont="1" applyAlignment="1">
      <alignment horizontal="left" vertical="center" indent="1"/>
    </xf>
    <xf numFmtId="0" fontId="29" fillId="0" borderId="0" xfId="0" applyFont="1"/>
    <xf numFmtId="0" fontId="29" fillId="5" borderId="0" xfId="0" applyFont="1" applyFill="1"/>
    <xf numFmtId="9" fontId="29" fillId="0" borderId="0" xfId="0" applyNumberFormat="1" applyFont="1"/>
    <xf numFmtId="0" fontId="32" fillId="7" borderId="6" xfId="0" applyFont="1" applyFill="1" applyBorder="1" applyAlignment="1">
      <alignment horizontal="center" vertical="center"/>
    </xf>
    <xf numFmtId="0" fontId="32" fillId="7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8" borderId="7" xfId="0" applyFill="1" applyBorder="1" applyAlignment="1">
      <alignment horizontal="center"/>
    </xf>
    <xf numFmtId="0" fontId="32" fillId="7" borderId="0" xfId="0" applyFont="1" applyFill="1" applyAlignment="1">
      <alignment horizontal="center"/>
    </xf>
    <xf numFmtId="0" fontId="0" fillId="0" borderId="7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14" fontId="28" fillId="0" borderId="0" xfId="0" applyNumberFormat="1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29" fillId="9" borderId="0" xfId="0" applyFont="1" applyFill="1"/>
    <xf numFmtId="0" fontId="37" fillId="12" borderId="6" xfId="0" applyFont="1" applyFill="1" applyBorder="1" applyAlignment="1">
      <alignment horizontal="center" vertical="center"/>
    </xf>
    <xf numFmtId="0" fontId="37" fillId="12" borderId="6" xfId="0" applyFont="1" applyFill="1" applyBorder="1" applyAlignment="1">
      <alignment horizontal="center" vertical="center" wrapText="1"/>
    </xf>
    <xf numFmtId="0" fontId="37" fillId="12" borderId="0" xfId="0" applyFont="1" applyFill="1" applyAlignment="1">
      <alignment horizontal="center"/>
    </xf>
    <xf numFmtId="0" fontId="32" fillId="11" borderId="6" xfId="0" applyFont="1" applyFill="1" applyBorder="1" applyAlignment="1">
      <alignment horizontal="center" vertical="center"/>
    </xf>
    <xf numFmtId="0" fontId="32" fillId="11" borderId="6" xfId="0" applyFont="1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/>
    </xf>
    <xf numFmtId="20" fontId="0" fillId="8" borderId="7" xfId="0" applyNumberForma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20" fontId="0" fillId="0" borderId="7" xfId="0" applyNumberForma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20" fontId="0" fillId="2" borderId="7" xfId="0" applyNumberForma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 wrapText="1"/>
    </xf>
    <xf numFmtId="0" fontId="36" fillId="10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5" fillId="10" borderId="0" xfId="0" applyFont="1" applyFill="1" applyAlignment="1">
      <alignment horizontal="center"/>
    </xf>
    <xf numFmtId="0" fontId="35" fillId="10" borderId="10" xfId="0" applyFont="1" applyFill="1" applyBorder="1" applyAlignment="1">
      <alignment horizontal="center"/>
    </xf>
    <xf numFmtId="0" fontId="36" fillId="13" borderId="0" xfId="0" applyFont="1" applyFill="1" applyAlignment="1">
      <alignment horizontal="center" wrapText="1"/>
    </xf>
    <xf numFmtId="0" fontId="25" fillId="13" borderId="0" xfId="0" applyFont="1" applyFill="1" applyAlignment="1">
      <alignment horizontal="center" wrapText="1"/>
    </xf>
    <xf numFmtId="0" fontId="25" fillId="14" borderId="0" xfId="0" applyFont="1" applyFill="1" applyAlignment="1">
      <alignment horizontal="center" wrapText="1"/>
    </xf>
    <xf numFmtId="0" fontId="36" fillId="10" borderId="0" xfId="0" applyFont="1" applyFill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15" borderId="0" xfId="0" applyFont="1" applyFill="1" applyAlignment="1">
      <alignment horizontal="center" wrapText="1"/>
    </xf>
    <xf numFmtId="14" fontId="39" fillId="0" borderId="9" xfId="0" applyNumberFormat="1" applyFont="1" applyBorder="1" applyAlignment="1">
      <alignment horizontal="center"/>
    </xf>
    <xf numFmtId="0" fontId="36" fillId="2" borderId="0" xfId="0" applyFont="1" applyFill="1" applyAlignment="1">
      <alignment horizontal="center" wrapText="1"/>
    </xf>
    <xf numFmtId="165" fontId="45" fillId="17" borderId="6" xfId="6" applyNumberFormat="1" applyFont="1" applyFill="1" applyBorder="1" applyAlignment="1">
      <alignment horizontal="center" vertical="center" wrapText="1"/>
    </xf>
    <xf numFmtId="44" fontId="3" fillId="0" borderId="6" xfId="7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4" fontId="0" fillId="0" borderId="6" xfId="7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44" fontId="0" fillId="0" borderId="0" xfId="0" applyNumberFormat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9" fillId="0" borderId="6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/>
    <xf numFmtId="14" fontId="40" fillId="4" borderId="11" xfId="0" applyNumberFormat="1" applyFont="1" applyFill="1" applyBorder="1" applyAlignment="1">
      <alignment horizontal="center" vertical="center"/>
    </xf>
    <xf numFmtId="14" fontId="40" fillId="4" borderId="12" xfId="0" applyNumberFormat="1" applyFont="1" applyFill="1" applyBorder="1" applyAlignment="1">
      <alignment horizontal="center" vertical="center"/>
    </xf>
    <xf numFmtId="14" fontId="40" fillId="4" borderId="16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9" fillId="18" borderId="13" xfId="0" applyFont="1" applyFill="1" applyBorder="1" applyAlignment="1">
      <alignment horizontal="center" vertical="center"/>
    </xf>
    <xf numFmtId="0" fontId="29" fillId="18" borderId="0" xfId="0" applyFont="1" applyFill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/>
    </xf>
    <xf numFmtId="0" fontId="29" fillId="0" borderId="22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8" borderId="21" xfId="0" applyFont="1" applyFill="1" applyBorder="1" applyAlignment="1">
      <alignment horizontal="center" vertical="center"/>
    </xf>
    <xf numFmtId="0" fontId="29" fillId="0" borderId="23" xfId="0" applyFont="1" applyBorder="1" applyAlignment="1">
      <alignment horizontal="center"/>
    </xf>
    <xf numFmtId="0" fontId="47" fillId="19" borderId="0" xfId="0" applyFont="1" applyFill="1"/>
    <xf numFmtId="0" fontId="0" fillId="9" borderId="0" xfId="0" applyFill="1"/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/>
    </xf>
    <xf numFmtId="0" fontId="29" fillId="0" borderId="26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9" fillId="0" borderId="27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0" borderId="29" xfId="0" applyFont="1" applyBorder="1" applyAlignment="1">
      <alignment horizontal="center" vertical="center"/>
    </xf>
    <xf numFmtId="14" fontId="38" fillId="16" borderId="14" xfId="0" applyNumberFormat="1" applyFont="1" applyFill="1" applyBorder="1" applyAlignment="1">
      <alignment horizontal="center" vertical="center"/>
    </xf>
    <xf numFmtId="14" fontId="38" fillId="16" borderId="15" xfId="0" applyNumberFormat="1" applyFont="1" applyFill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/>
    </xf>
    <xf numFmtId="0" fontId="29" fillId="0" borderId="32" xfId="0" applyFont="1" applyBorder="1" applyAlignment="1">
      <alignment horizontal="center"/>
    </xf>
    <xf numFmtId="14" fontId="38" fillId="16" borderId="15" xfId="0" applyNumberFormat="1" applyFont="1" applyFill="1" applyBorder="1"/>
    <xf numFmtId="14" fontId="38" fillId="16" borderId="18" xfId="0" applyNumberFormat="1" applyFont="1" applyFill="1" applyBorder="1"/>
    <xf numFmtId="0" fontId="0" fillId="0" borderId="0" xfId="0" applyAlignment="1">
      <alignment horizont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1" fillId="4" borderId="11" xfId="0" applyFont="1" applyFill="1" applyBorder="1" applyAlignment="1">
      <alignment horizontal="center" vertical="center"/>
    </xf>
    <xf numFmtId="0" fontId="41" fillId="4" borderId="14" xfId="0" applyFont="1" applyFill="1" applyBorder="1" applyAlignment="1">
      <alignment horizontal="center" vertical="center"/>
    </xf>
    <xf numFmtId="0" fontId="41" fillId="4" borderId="12" xfId="0" applyFont="1" applyFill="1" applyBorder="1" applyAlignment="1">
      <alignment horizontal="center" vertical="center"/>
    </xf>
    <xf numFmtId="0" fontId="41" fillId="4" borderId="15" xfId="0" applyFont="1" applyFill="1" applyBorder="1" applyAlignment="1">
      <alignment horizontal="center" vertical="center"/>
    </xf>
    <xf numFmtId="0" fontId="17" fillId="0" borderId="0" xfId="1" applyAlignment="1">
      <alignment horizontal="center"/>
    </xf>
    <xf numFmtId="0" fontId="17" fillId="0" borderId="0" xfId="1" applyAlignment="1">
      <alignment horizontal="left"/>
    </xf>
    <xf numFmtId="0" fontId="26" fillId="0" borderId="0" xfId="0" applyFont="1" applyAlignment="1">
      <alignment horizontal="center"/>
    </xf>
    <xf numFmtId="0" fontId="30" fillId="4" borderId="3" xfId="0" applyFont="1" applyFill="1" applyBorder="1" applyAlignment="1">
      <alignment horizontal="center"/>
    </xf>
    <xf numFmtId="0" fontId="30" fillId="4" borderId="4" xfId="0" applyFont="1" applyFill="1" applyBorder="1" applyAlignment="1">
      <alignment horizontal="center"/>
    </xf>
    <xf numFmtId="0" fontId="30" fillId="4" borderId="2" xfId="0" applyFont="1" applyFill="1" applyBorder="1" applyAlignment="1">
      <alignment horizontal="center"/>
    </xf>
    <xf numFmtId="0" fontId="31" fillId="6" borderId="0" xfId="0" applyFont="1" applyFill="1" applyAlignment="1">
      <alignment horizontal="center" vertical="center"/>
    </xf>
    <xf numFmtId="0" fontId="31" fillId="6" borderId="5" xfId="0" applyFont="1" applyFill="1" applyBorder="1" applyAlignment="1">
      <alignment horizontal="center" vertical="center"/>
    </xf>
    <xf numFmtId="0" fontId="31" fillId="11" borderId="0" xfId="0" applyFont="1" applyFill="1" applyAlignment="1">
      <alignment horizontal="center" vertical="center"/>
    </xf>
    <xf numFmtId="0" fontId="31" fillId="11" borderId="5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 indent="1"/>
    </xf>
  </cellXfs>
  <cellStyles count="8">
    <cellStyle name="Moeda" xfId="7" builtinId="4"/>
    <cellStyle name="Normal" xfId="0" builtinId="0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Vírgula" xfId="6" builtinId="3"/>
  </cellStyles>
  <dxfs count="3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5" tint="-0.499984740745262"/>
      </font>
      <fill>
        <patternFill>
          <bgColor theme="5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5" tint="-0.499984740745262"/>
        </top>
        <bottom style="thin">
          <color theme="5" tint="-0.499984740745262"/>
        </bottom>
      </border>
    </dxf>
    <dxf>
      <font>
        <b/>
        <i val="0"/>
        <color theme="8"/>
      </font>
      <fill>
        <patternFill>
          <bgColor theme="8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i val="0"/>
        <color theme="9"/>
      </font>
      <fill>
        <patternFill>
          <bgColor theme="9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theme="6"/>
      </font>
      <fill>
        <patternFill>
          <bgColor theme="6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i val="0"/>
        <color theme="7"/>
      </font>
      <fill>
        <patternFill>
          <bgColor theme="7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i val="0"/>
        <color theme="5"/>
      </font>
      <fill>
        <patternFill>
          <bgColor theme="5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i val="0"/>
        <color theme="4"/>
      </font>
      <fill>
        <patternFill>
          <bgColor theme="4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10"/>
        <color theme="3"/>
        <name val="Cambria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/>
        <name val="Cambria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/>
        <outline/>
        <shadow/>
        <u val="none"/>
        <vertAlign val="baseline"/>
        <sz val="9"/>
        <color theme="3" tint="9.9978637043366805E-2"/>
        <name val="Cambria"/>
        <scheme val="minor"/>
      </font>
      <alignment horizontal="left" vertical="center" textRotation="0" indent="1" justifyLastLine="0" shrinkToFit="0" readingOrder="0"/>
    </dxf>
    <dxf>
      <font>
        <strike/>
        <outline/>
        <shadow/>
        <u val="none"/>
        <vertAlign val="baseline"/>
        <sz val="9"/>
        <color theme="3" tint="9.9978637043366805E-2"/>
        <name val="Cambria"/>
        <scheme val="minor"/>
      </font>
      <alignment horizontal="left" vertical="center" textRotation="0" indent="1" justifyLastLine="0" shrinkToFit="0" readingOrder="0"/>
    </dxf>
    <dxf>
      <font>
        <b/>
        <strike/>
        <outline/>
        <shadow/>
        <u val="none"/>
        <vertAlign val="baseline"/>
        <sz val="9"/>
        <color theme="3" tint="9.9978637043366805E-2"/>
        <name val="Cambria"/>
        <scheme val="minor"/>
      </font>
      <numFmt numFmtId="27" formatCode="dd/mm/yyyy\ hh:mm"/>
      <alignment horizontal="left" vertical="center" textRotation="0" wrapText="0" indent="1" justifyLastLine="0" shrinkToFit="0" readingOrder="0"/>
    </dxf>
    <dxf>
      <font>
        <strike/>
        <outline/>
        <shadow/>
        <u val="none"/>
        <vertAlign val="baseline"/>
        <sz val="9"/>
        <color theme="3" tint="9.9978637043366805E-2"/>
        <name val="Cambria"/>
        <scheme val="minor"/>
      </font>
      <alignment vertical="center" textRotation="0" indent="0" justifyLastLine="0" shrinkToFit="0" readingOrder="0"/>
    </dxf>
    <dxf>
      <font>
        <strike/>
        <outline/>
        <shadow/>
        <u val="none"/>
        <vertAlign val="baseline"/>
        <sz val="14"/>
        <color theme="1"/>
        <name val="Franklin Gothic Medium"/>
        <scheme val="major"/>
      </font>
      <alignment horizontal="left" vertical="bottom" textRotation="0" wrapText="0" indent="1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Cambria"/>
        <scheme val="minor"/>
      </font>
      <alignment horizontal="left" vertical="center" textRotation="0" wrapText="1" indent="1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Cambria"/>
        <scheme val="minor"/>
      </font>
      <alignment horizontal="left" vertical="center" textRotation="0" wrapText="1" indent="1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Cambria"/>
        <scheme val="minor"/>
      </font>
      <alignment horizontal="left" vertical="center" textRotation="0" wrapText="1" indent="1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Cambria"/>
        <scheme val="minor"/>
      </font>
      <alignment horizontal="left" vertical="center" textRotation="0" wrapText="1" indent="1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Cambria"/>
        <scheme val="minor"/>
      </font>
      <alignment horizontal="left" vertical="center" textRotation="0" wrapText="1" indent="1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Cambria"/>
        <scheme val="minor"/>
      </font>
      <alignment horizontal="left" vertical="center" textRotation="0" wrapText="1" indent="1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Cambria"/>
        <scheme val="minor"/>
      </font>
      <numFmt numFmtId="0" formatCode="General"/>
      <alignment horizontal="left" vertical="center" textRotation="0" wrapText="1" indent="1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9"/>
        <color theme="3" tint="9.9978637043366805E-2"/>
        <name val="Cambria"/>
        <scheme val="minor"/>
      </font>
      <numFmt numFmtId="164" formatCode="h:mm;@"/>
      <alignment horizontal="left" vertical="center" textRotation="0" wrapText="0" relativeIndent="1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8"/>
        <color theme="1"/>
        <name val="Cambria"/>
        <scheme val="minor"/>
      </font>
      <alignment horizontal="center" vertical="center" textRotation="0" wrapText="1" indent="0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11"/>
        <color theme="1"/>
        <name val="Cambria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</font>
    </dxf>
    <dxf>
      <font>
        <b/>
        <i val="0"/>
      </font>
      <fill>
        <patternFill patternType="solid">
          <fgColor theme="0" tint="-0.14996795556505021"/>
          <bgColor theme="2"/>
        </patternFill>
      </fill>
      <border>
        <horizontal/>
      </border>
    </dxf>
    <dxf>
      <font>
        <b/>
        <i val="0"/>
        <color theme="3" tint="9.9917600024414813E-2"/>
      </font>
      <border>
        <horizontal/>
      </border>
    </dxf>
    <dxf>
      <font>
        <b val="0"/>
        <i val="0"/>
        <color theme="3" tint="9.985656300546282E-2"/>
      </font>
      <border diagonalUp="0" diagonalDown="0">
        <left/>
        <right/>
        <top/>
        <bottom/>
        <vertical/>
        <horizontal/>
      </border>
    </dxf>
    <dxf>
      <font>
        <b/>
        <i val="0"/>
        <color theme="3" tint="9.9917600024414813E-2"/>
      </font>
      <border>
        <top style="thick">
          <color theme="0"/>
        </top>
        <bottom style="thick">
          <color theme="0"/>
        </bottom>
        <vertical style="thick">
          <color theme="0"/>
        </vertical>
      </border>
    </dxf>
  </dxfs>
  <tableStyles count="1" defaultTableStyle="Agenda Diária" defaultPivotStyle="PivotStyleLight16">
    <tableStyle name="Agenda Diária" pivot="0" count="6" xr9:uid="{00000000-0011-0000-FFFF-FFFF00000000}">
      <tableStyleElement type="wholeTable" dxfId="37"/>
      <tableStyleElement type="headerRow" dxfId="36"/>
      <tableStyleElement type="firstColumn" dxfId="35"/>
      <tableStyleElement type="firstRowStripe" dxfId="34"/>
      <tableStyleElement type="secondRowStripe" dxfId="33"/>
      <tableStyleElement type="firstColumnStripe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Entrada de dados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Agend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1104900</xdr:colOff>
      <xdr:row>1</xdr:row>
      <xdr:rowOff>76201</xdr:rowOff>
    </xdr:from>
    <xdr:to>
      <xdr:col>5</xdr:col>
      <xdr:colOff>1186815</xdr:colOff>
      <xdr:row>2</xdr:row>
      <xdr:rowOff>238126</xdr:rowOff>
    </xdr:to>
    <xdr:grpSp>
      <xdr:nvGrpSpPr>
        <xdr:cNvPr id="7" name="Entrada da Agenda" descr="Clique para ver ou editar as entradas diárias da agenda" title="Entrada da Agenda">
          <a:hlinkClick xmlns:r="http://schemas.openxmlformats.org/officeDocument/2006/relationships" r:id="rId1" tooltip="Clique para ver ou editar as entradas diárias da agenda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5676900" y="219076"/>
          <a:ext cx="1463040" cy="304800"/>
          <a:chOff x="4162426" y="209550"/>
          <a:chExt cx="1390650" cy="266700"/>
        </a:xfrm>
      </xdr:grpSpPr>
      <xdr:sp macro="" textlink="">
        <xdr:nvSpPr>
          <xdr:cNvPr id="2" name="Retângulo 1">
            <a:hlinkClick xmlns:r="http://schemas.openxmlformats.org/officeDocument/2006/relationships" r:id="rId1" tooltip="Clique para ver ou editar as entradas diárias da agenda"/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/>
        </xdr:nvSpPr>
        <xdr:spPr>
          <a:xfrm>
            <a:off x="4162426" y="209550"/>
            <a:ext cx="1390650" cy="26670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050" b="0">
                <a:solidFill>
                  <a:schemeClr val="bg1"/>
                </a:solidFill>
                <a:latin typeface="+mj-lt"/>
              </a:rPr>
              <a:t>Entrada da Agenda</a:t>
            </a:r>
          </a:p>
        </xdr:txBody>
      </xdr:sp>
      <xdr:sp macro="" textlink="">
        <xdr:nvSpPr>
          <xdr:cNvPr id="2054" name="Forma Livre 6">
            <a:extLst>
              <a:ext uri="{FF2B5EF4-FFF2-40B4-BE49-F238E27FC236}">
                <a16:creationId xmlns:a16="http://schemas.microsoft.com/office/drawing/2014/main" id="{00000000-0008-0000-0000-000006080000}"/>
              </a:ext>
            </a:extLst>
          </xdr:cNvPr>
          <xdr:cNvSpPr>
            <a:spLocks/>
          </xdr:cNvSpPr>
        </xdr:nvSpPr>
        <xdr:spPr bwMode="auto">
          <a:xfrm>
            <a:off x="5362575" y="295275"/>
            <a:ext cx="57150" cy="104775"/>
          </a:xfrm>
          <a:custGeom>
            <a:avLst/>
            <a:gdLst>
              <a:gd name="T0" fmla="*/ 478 w 1799"/>
              <a:gd name="T1" fmla="*/ 0 h 3208"/>
              <a:gd name="T2" fmla="*/ 1799 w 1799"/>
              <a:gd name="T3" fmla="*/ 1605 h 3208"/>
              <a:gd name="T4" fmla="*/ 478 w 1799"/>
              <a:gd name="T5" fmla="*/ 3208 h 3208"/>
              <a:gd name="T6" fmla="*/ 0 w 1799"/>
              <a:gd name="T7" fmla="*/ 2813 h 3208"/>
              <a:gd name="T8" fmla="*/ 995 w 1799"/>
              <a:gd name="T9" fmla="*/ 1605 h 3208"/>
              <a:gd name="T10" fmla="*/ 0 w 1799"/>
              <a:gd name="T11" fmla="*/ 396 h 3208"/>
              <a:gd name="T12" fmla="*/ 478 w 1799"/>
              <a:gd name="T13" fmla="*/ 0 h 3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799" h="3208">
                <a:moveTo>
                  <a:pt x="478" y="0"/>
                </a:moveTo>
                <a:lnTo>
                  <a:pt x="1799" y="1605"/>
                </a:lnTo>
                <a:lnTo>
                  <a:pt x="478" y="3208"/>
                </a:lnTo>
                <a:lnTo>
                  <a:pt x="0" y="2813"/>
                </a:lnTo>
                <a:lnTo>
                  <a:pt x="995" y="1605"/>
                </a:lnTo>
                <a:lnTo>
                  <a:pt x="0" y="396"/>
                </a:lnTo>
                <a:lnTo>
                  <a:pt x="478" y="0"/>
                </a:lnTo>
                <a:close/>
              </a:path>
            </a:pathLst>
          </a:custGeom>
          <a:solidFill>
            <a:schemeClr val="bg1"/>
          </a:solidFill>
          <a:ln w="0">
            <a:noFill/>
            <a:prstDash val="solid"/>
            <a:round/>
            <a:headEnd/>
            <a:tailEnd/>
          </a:ln>
        </xdr:spPr>
      </xdr:sp>
    </xdr:grpSp>
    <xdr:clientData fPrintsWithSheet="0"/>
  </xdr:twoCellAnchor>
  <xdr:twoCellAnchor>
    <xdr:from>
      <xdr:col>8</xdr:col>
      <xdr:colOff>28573</xdr:colOff>
      <xdr:row>1</xdr:row>
      <xdr:rowOff>38101</xdr:rowOff>
    </xdr:from>
    <xdr:to>
      <xdr:col>10</xdr:col>
      <xdr:colOff>266700</xdr:colOff>
      <xdr:row>3</xdr:row>
      <xdr:rowOff>219075</xdr:rowOff>
    </xdr:to>
    <xdr:sp macro="" textlink="">
      <xdr:nvSpPr>
        <xdr:cNvPr id="8" name="Dica" descr="DICA: altere a data e o nome para ver uma agenda semanal específica." title="Template Dica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0125073" y="180976"/>
          <a:ext cx="2228852" cy="581024"/>
        </a:xfrm>
        <a:prstGeom prst="wedgeRectCallout">
          <a:avLst>
            <a:gd name="adj1" fmla="val -54802"/>
            <a:gd name="adj2" fmla="val -22685"/>
          </a:avLst>
        </a:prstGeom>
        <a:noFill/>
        <a:ln w="12700"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</a:rPr>
            <a:t>DICA: altere a data e o nome para ver uma agenda semanal específica.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1028699</xdr:colOff>
      <xdr:row>0</xdr:row>
      <xdr:rowOff>200025</xdr:rowOff>
    </xdr:from>
    <xdr:to>
      <xdr:col>4</xdr:col>
      <xdr:colOff>5714</xdr:colOff>
      <xdr:row>0</xdr:row>
      <xdr:rowOff>504825</xdr:rowOff>
    </xdr:to>
    <xdr:grpSp>
      <xdr:nvGrpSpPr>
        <xdr:cNvPr id="16" name="Agenda Diária" descr="Clique para ver a agenda diária" title="Agenda Diária">
          <a:hlinkClick xmlns:r="http://schemas.openxmlformats.org/officeDocument/2006/relationships" r:id="rId1" tooltip="Clique para ver a agenda diária"/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pSpPr/>
      </xdr:nvGrpSpPr>
      <xdr:grpSpPr>
        <a:xfrm>
          <a:off x="4876799" y="200025"/>
          <a:ext cx="1463040" cy="304800"/>
          <a:chOff x="4162426" y="209549"/>
          <a:chExt cx="1390650" cy="266699"/>
        </a:xfrm>
      </xdr:grpSpPr>
      <xdr:sp macro="" textlink="">
        <xdr:nvSpPr>
          <xdr:cNvPr id="17" name="Retângulo 16">
            <a:hlinkClick xmlns:r="http://schemas.openxmlformats.org/officeDocument/2006/relationships" r:id="rId1" tooltip="Clique para ver a agenda diária"/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/>
        </xdr:nvSpPr>
        <xdr:spPr>
          <a:xfrm>
            <a:off x="4162426" y="209549"/>
            <a:ext cx="1390650" cy="266699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 w="12700" cap="flat" cmpd="sng" algn="ctr">
            <a:noFill/>
            <a:prstDash val="solid"/>
          </a:ln>
          <a:effectLst/>
        </xdr:spPr>
        <xdr:txBody>
          <a:bodyPr vertOverflow="clip" horzOverflow="clip" rtlCol="0" anchor="ctr"/>
          <a:lstStyle/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50" b="0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Franklin Gothic Medium"/>
                <a:ea typeface="+mn-ea"/>
                <a:cs typeface="+mn-cs"/>
              </a:rPr>
              <a:t>Agenda Diária</a:t>
            </a:r>
          </a:p>
        </xdr:txBody>
      </xdr:sp>
      <xdr:sp macro="" textlink="">
        <xdr:nvSpPr>
          <xdr:cNvPr id="21" name="Forma Livre 6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/>
          </xdr:cNvSpPr>
        </xdr:nvSpPr>
        <xdr:spPr bwMode="auto">
          <a:xfrm flipH="1">
            <a:off x="4276724" y="285750"/>
            <a:ext cx="57150" cy="104775"/>
          </a:xfrm>
          <a:custGeom>
            <a:avLst/>
            <a:gdLst>
              <a:gd name="T0" fmla="*/ 478 w 1799"/>
              <a:gd name="T1" fmla="*/ 0 h 3208"/>
              <a:gd name="T2" fmla="*/ 1799 w 1799"/>
              <a:gd name="T3" fmla="*/ 1605 h 3208"/>
              <a:gd name="T4" fmla="*/ 478 w 1799"/>
              <a:gd name="T5" fmla="*/ 3208 h 3208"/>
              <a:gd name="T6" fmla="*/ 0 w 1799"/>
              <a:gd name="T7" fmla="*/ 2813 h 3208"/>
              <a:gd name="T8" fmla="*/ 995 w 1799"/>
              <a:gd name="T9" fmla="*/ 1605 h 3208"/>
              <a:gd name="T10" fmla="*/ 0 w 1799"/>
              <a:gd name="T11" fmla="*/ 396 h 3208"/>
              <a:gd name="T12" fmla="*/ 478 w 1799"/>
              <a:gd name="T13" fmla="*/ 0 h 3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799" h="3208">
                <a:moveTo>
                  <a:pt x="478" y="0"/>
                </a:moveTo>
                <a:lnTo>
                  <a:pt x="1799" y="1605"/>
                </a:lnTo>
                <a:lnTo>
                  <a:pt x="478" y="3208"/>
                </a:lnTo>
                <a:lnTo>
                  <a:pt x="0" y="2813"/>
                </a:lnTo>
                <a:lnTo>
                  <a:pt x="995" y="1605"/>
                </a:lnTo>
                <a:lnTo>
                  <a:pt x="0" y="396"/>
                </a:lnTo>
                <a:lnTo>
                  <a:pt x="478" y="0"/>
                </a:ln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</xdr:grpSp>
    <xdr:clientData fPrint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Agenda" displayName="tblAgenda" ref="B6:I23" totalsRowShown="0" headerRowDxfId="31" dataDxfId="30">
  <tableColumns count="8">
    <tableColumn id="1" xr3:uid="{00000000-0010-0000-0000-000001000000}" name="HORA" dataDxfId="29"/>
    <tableColumn id="2" xr3:uid="{00000000-0010-0000-0000-000002000000}" name="SEGUNDA-FEIRA" dataDxfId="28">
      <calculatedColumnFormula array="1">IFERROR(INDEX(tblDados[],MATCH(C$5+$B7&amp;MostrarNome,tblDados[DATA E HORA]&amp;tblDados[QUEM],0),3),"")</calculatedColumnFormula>
    </tableColumn>
    <tableColumn id="3" xr3:uid="{00000000-0010-0000-0000-000003000000}" name="TERÇA-FEIRA" dataDxfId="27">
      <calculatedColumnFormula array="1">IFERROR(INDEX(tblDados[],MATCH(D$5+$B7&amp;MostrarNome,tblDados[DATA E HORA]&amp;tblDados[QUEM],0),3),"")</calculatedColumnFormula>
    </tableColumn>
    <tableColumn id="4" xr3:uid="{00000000-0010-0000-0000-000004000000}" name="QUARTA-FEIRA" dataDxfId="26">
      <calculatedColumnFormula array="1">IFERROR(INDEX(tblDados[],MATCH(E$5+$B7&amp;MostrarNome,tblDados[DATA E HORA]&amp;tblDados[QUEM],0),3),"")</calculatedColumnFormula>
    </tableColumn>
    <tableColumn id="5" xr3:uid="{00000000-0010-0000-0000-000005000000}" name="QUINTA-FEIRA" dataDxfId="25">
      <calculatedColumnFormula array="1">IFERROR(INDEX(tblDados[],MATCH(F$5+$B7&amp;MostrarNome,tblDados[DATA E HORA]&amp;tblDados[QUEM],0),3),"")</calculatedColumnFormula>
    </tableColumn>
    <tableColumn id="6" xr3:uid="{00000000-0010-0000-0000-000006000000}" name="SEXTA-FEIRA" dataDxfId="24">
      <calculatedColumnFormula array="1">IFERROR(INDEX(tblDados[],MATCH(G$5+$B7&amp;MostrarNome,tblDados[DATA E HORA]&amp;tblDados[QUEM],0),3),"")</calculatedColumnFormula>
    </tableColumn>
    <tableColumn id="7" xr3:uid="{00000000-0010-0000-0000-000007000000}" name="SÁBADO" dataDxfId="23">
      <calculatedColumnFormula array="1">IFERROR(INDEX(tblDados[],MATCH(H$5+$B7&amp;MostrarNome,tblDados[DATA E HORA]&amp;tblDados[QUEM],0),3),"")</calculatedColumnFormula>
    </tableColumn>
    <tableColumn id="8" xr3:uid="{00000000-0010-0000-0000-000008000000}" name="DOMINGO" dataDxfId="22">
      <calculatedColumnFormula array="1">IFERROR(INDEX(tblDados[],MATCH(I$5+$B7&amp;MostrarNome,tblDados[DATA E HORA]&amp;tblDados[QUEM],0),3),"")</calculatedColumnFormula>
    </tableColumn>
  </tableColumns>
  <tableStyleInfo name="Agenda Diária" showFirstColumn="1" showLastColumn="0" showRowStripes="1" showColumnStripes="0"/>
  <extLst>
    <ext xmlns:x14="http://schemas.microsoft.com/office/spreadsheetml/2009/9/main" uri="{504A1905-F514-4f6f-8877-14C23A59335A}">
      <x14:table altText="Tabela de agenda diária" altTextSummary="Com base em fórmulas, esta tabela mostra uma agenda para a pessoa identificada na parte superior. Insira uma data e a semana inteira será exibida, começando a partir de segunda-feira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Dados" displayName="tblDados" ref="B3:D14" totalsRowShown="0" headerRowDxfId="21" dataDxfId="20">
  <autoFilter ref="B3:D14" xr:uid="{00000000-0009-0000-0100-000001000000}"/>
  <tableColumns count="3">
    <tableColumn id="1" xr3:uid="{00000000-0010-0000-0100-000001000000}" name="DATA E HORA" dataDxfId="19"/>
    <tableColumn id="3" xr3:uid="{00000000-0010-0000-0100-000003000000}" name="QUEM" dataDxfId="18"/>
    <tableColumn id="4" xr3:uid="{00000000-0010-0000-0100-000004000000}" name="TAREFA" dataDxfId="17"/>
  </tableColumns>
  <tableStyleInfo name="Agenda Diária" showFirstColumn="1" showLastColumn="0" showRowStripes="1" showColumnStripes="0"/>
  <extLst>
    <ext xmlns:x14="http://schemas.microsoft.com/office/spreadsheetml/2009/9/main" uri="{504A1905-F514-4f6f-8877-14C23A59335A}">
      <x14:table altText="Tabela de entrada de dados" altTextSummary="Insira aqui os dados da sua agenda. A Data e a Hora ficam na mesma coluna; adicione a quem ela se destina e qual é a tarefa para que ela apareça na Agenda.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0F919A-1681-4C1B-A0BA-FB75B9E84EFB}" name="Tabela3" displayName="Tabela3" ref="A1:H4" totalsRowShown="0" headerRowDxfId="16">
  <autoFilter ref="A1:H4" xr:uid="{CB0F919A-1681-4C1B-A0BA-FB75B9E84EFB}"/>
  <tableColumns count="8">
    <tableColumn id="1" xr3:uid="{98B4606F-C8D1-4029-9925-E5A29ACF3901}" name="19/09/2025"/>
    <tableColumn id="2" xr3:uid="{8AFD391D-4F20-44FF-9C9F-0562F16766DB}" name="20/09/2025"/>
    <tableColumn id="3" xr3:uid="{85285078-7E2A-4A8B-B6F8-3107EB389793}" name="21/09/2025"/>
    <tableColumn id="4" xr3:uid="{0ED13C90-F3F7-46F7-9703-D456488990F6}" name="22/09/2025"/>
    <tableColumn id="5" xr3:uid="{A8601559-5206-478B-A084-6D7583DEFD52}" name="23/09/2025"/>
    <tableColumn id="6" xr3:uid="{773979FE-D43A-480F-BE60-C8610169B06B}" name="24/09/2025"/>
    <tableColumn id="7" xr3:uid="{4C6CF87D-10AE-4AE3-BBB2-A543F513BC9B}" name="25/09/2025"/>
    <tableColumn id="8" xr3:uid="{787C68C8-6FB5-4ED2-B274-17CA510B942A}" name="26/09/2025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484048-4C5C-4F8C-8B6D-573AFFEFDE2C}" name="Tabela35" displayName="Tabela35" ref="A7:H12" totalsRowShown="0" headerRowDxfId="15">
  <autoFilter ref="A7:H12" xr:uid="{D6484048-4C5C-4F8C-8B6D-573AFFEFDE2C}"/>
  <tableColumns count="8">
    <tableColumn id="1" xr3:uid="{33405B85-24CB-4EAD-A3E2-07AD2EA02B04}" name="01/10/2025"/>
    <tableColumn id="2" xr3:uid="{DC8B2499-AA17-488A-A0D4-286ED813F9E7}" name="02/10/2025"/>
    <tableColumn id="3" xr3:uid="{EB0F569E-9F0A-40B2-8BDC-E732864692D3}" name="03/10/2025"/>
    <tableColumn id="4" xr3:uid="{FE0CC0AF-1E4B-46F6-BAAD-86F4A80CE675}" name="04/10/2025"/>
    <tableColumn id="5" xr3:uid="{24B990BB-1BBC-49B4-8F7B-2BDF62941234}" name="05/10/2025"/>
    <tableColumn id="6" xr3:uid="{4DF393AC-F278-4104-A52D-6AA5AE447145}" name="06/10/2026"/>
    <tableColumn id="7" xr3:uid="{8C5E9BA8-0543-470C-834D-CEE43AA8DD32}" name="07/10/2027"/>
    <tableColumn id="8" xr3:uid="{E53C8920-5D0D-4EB8-BB9C-12B2FC6990B1}" name="05/10/2028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genda Diária">
      <a:dk1>
        <a:srgbClr val="000000"/>
      </a:dk1>
      <a:lt1>
        <a:srgbClr val="FFFFFF"/>
      </a:lt1>
      <a:dk2>
        <a:srgbClr val="383429"/>
      </a:dk2>
      <a:lt2>
        <a:srgbClr val="EDEDEC"/>
      </a:lt2>
      <a:accent1>
        <a:srgbClr val="F05133"/>
      </a:accent1>
      <a:accent2>
        <a:srgbClr val="199DDC"/>
      </a:accent2>
      <a:accent3>
        <a:srgbClr val="F7931E"/>
      </a:accent3>
      <a:accent4>
        <a:srgbClr val="3CACA1"/>
      </a:accent4>
      <a:accent5>
        <a:srgbClr val="DEB408"/>
      </a:accent5>
      <a:accent6>
        <a:srgbClr val="78A22F"/>
      </a:accent6>
      <a:hlink>
        <a:srgbClr val="009DDC"/>
      </a:hlink>
      <a:folHlink>
        <a:srgbClr val="866AA7"/>
      </a:folHlink>
    </a:clrScheme>
    <a:fontScheme name="Agenda Diária">
      <a:majorFont>
        <a:latin typeface="Franklin Gothic Medium"/>
        <a:ea typeface=""/>
        <a:cs typeface=""/>
      </a:majorFont>
      <a:minorFont>
        <a:latin typeface="Cambri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91D9-B89F-4312-BA1A-8117A5325160}">
  <dimension ref="A1:E14"/>
  <sheetViews>
    <sheetView workbookViewId="0">
      <selection activeCell="D20" sqref="D20:E21"/>
    </sheetView>
  </sheetViews>
  <sheetFormatPr defaultRowHeight="12" x14ac:dyDescent="0.2"/>
  <cols>
    <col min="1" max="1" width="52.140625" bestFit="1" customWidth="1"/>
    <col min="2" max="2" width="21.42578125" bestFit="1" customWidth="1"/>
    <col min="3" max="3" width="20.140625" bestFit="1" customWidth="1"/>
    <col min="4" max="4" width="26.7109375" bestFit="1" customWidth="1"/>
    <col min="5" max="5" width="22.42578125" bestFit="1" customWidth="1"/>
  </cols>
  <sheetData>
    <row r="1" spans="1:5" x14ac:dyDescent="0.2">
      <c r="A1" s="125" t="s">
        <v>20</v>
      </c>
      <c r="B1" s="125"/>
      <c r="C1" s="125"/>
      <c r="D1" s="125"/>
      <c r="E1" s="125"/>
    </row>
    <row r="2" spans="1:5" ht="34.5" x14ac:dyDescent="0.45">
      <c r="A2" s="132" t="s">
        <v>19</v>
      </c>
      <c r="B2" s="132"/>
      <c r="C2" s="132"/>
      <c r="D2" s="132"/>
      <c r="E2" s="132"/>
    </row>
    <row r="3" spans="1:5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</row>
    <row r="4" spans="1:5" x14ac:dyDescent="0.2">
      <c r="D4" t="s">
        <v>31</v>
      </c>
      <c r="E4" t="s">
        <v>35</v>
      </c>
    </row>
    <row r="5" spans="1:5" x14ac:dyDescent="0.2">
      <c r="D5" t="s">
        <v>32</v>
      </c>
      <c r="E5" t="s">
        <v>36</v>
      </c>
    </row>
    <row r="6" spans="1:5" x14ac:dyDescent="0.2">
      <c r="D6" t="s">
        <v>33</v>
      </c>
    </row>
    <row r="7" spans="1:5" x14ac:dyDescent="0.2">
      <c r="D7" t="s">
        <v>34</v>
      </c>
    </row>
    <row r="11" spans="1:5" x14ac:dyDescent="0.2">
      <c r="A11" t="s">
        <v>26</v>
      </c>
      <c r="B11" t="s">
        <v>27</v>
      </c>
      <c r="C11" t="s">
        <v>28</v>
      </c>
      <c r="D11" t="s">
        <v>29</v>
      </c>
      <c r="E11" t="s">
        <v>30</v>
      </c>
    </row>
    <row r="12" spans="1:5" x14ac:dyDescent="0.2">
      <c r="C12" t="s">
        <v>37</v>
      </c>
      <c r="D12" t="s">
        <v>40</v>
      </c>
      <c r="E12" t="s">
        <v>43</v>
      </c>
    </row>
    <row r="13" spans="1:5" x14ac:dyDescent="0.2">
      <c r="C13" t="s">
        <v>38</v>
      </c>
      <c r="D13" t="s">
        <v>41</v>
      </c>
      <c r="E13" t="s">
        <v>21</v>
      </c>
    </row>
    <row r="14" spans="1:5" x14ac:dyDescent="0.2">
      <c r="C14" t="s">
        <v>39</v>
      </c>
      <c r="D14" t="s">
        <v>42</v>
      </c>
    </row>
  </sheetData>
  <mergeCells count="2">
    <mergeCell ref="A2:E2"/>
    <mergeCell ref="A1:E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autoPageBreaks="0" fitToPage="1"/>
  </sheetPr>
  <dimension ref="A1:I23"/>
  <sheetViews>
    <sheetView showGridLines="0" zoomScaleNormal="100" workbookViewId="0">
      <selection activeCell="D9" sqref="D9"/>
    </sheetView>
  </sheetViews>
  <sheetFormatPr defaultRowHeight="26.25" customHeight="1" x14ac:dyDescent="0.2"/>
  <cols>
    <col min="1" max="1" width="1.7109375" customWidth="1"/>
    <col min="2" max="2" width="12.42578125" customWidth="1"/>
    <col min="3" max="3" width="26.140625" customWidth="1"/>
    <col min="4" max="4" width="28.28515625" customWidth="1"/>
    <col min="5" max="9" width="20.7109375" customWidth="1"/>
  </cols>
  <sheetData>
    <row r="1" spans="1:9" ht="11.25" customHeight="1" x14ac:dyDescent="0.2"/>
    <row r="2" spans="1:9" ht="11.25" customHeight="1" x14ac:dyDescent="0.2">
      <c r="A2" s="1"/>
      <c r="B2" s="133" t="s">
        <v>0</v>
      </c>
      <c r="C2" s="133"/>
      <c r="D2" s="133"/>
      <c r="G2" s="11" t="s">
        <v>8</v>
      </c>
      <c r="H2" s="11" t="s">
        <v>13</v>
      </c>
    </row>
    <row r="3" spans="1:9" ht="20.25" customHeight="1" x14ac:dyDescent="0.2">
      <c r="B3" s="133"/>
      <c r="C3" s="133"/>
      <c r="D3" s="133"/>
      <c r="F3" s="2">
        <f>WEEKDAY(SemanaDe,1)</f>
        <v>3</v>
      </c>
      <c r="G3" s="13">
        <v>41093</v>
      </c>
      <c r="H3" s="14" t="s">
        <v>15</v>
      </c>
    </row>
    <row r="4" spans="1:9" s="3" customFormat="1" ht="27" customHeight="1" x14ac:dyDescent="0.15">
      <c r="C4" s="4" t="b">
        <f>$F$3=COLUMN(A$1)</f>
        <v>0</v>
      </c>
      <c r="D4" s="4" t="b">
        <f t="shared" ref="D4:I4" si="0">$F$3=COLUMN(B$1)</f>
        <v>0</v>
      </c>
      <c r="E4" s="4" t="b">
        <f t="shared" si="0"/>
        <v>1</v>
      </c>
      <c r="F4" s="4" t="b">
        <f t="shared" si="0"/>
        <v>0</v>
      </c>
      <c r="G4" s="4" t="b">
        <f t="shared" si="0"/>
        <v>0</v>
      </c>
      <c r="H4" s="4" t="b">
        <f t="shared" si="0"/>
        <v>0</v>
      </c>
      <c r="I4" s="4" t="b">
        <f t="shared" si="0"/>
        <v>0</v>
      </c>
    </row>
    <row r="5" spans="1:9" s="3" customFormat="1" ht="10.5" customHeight="1" x14ac:dyDescent="0.15">
      <c r="C5" s="18">
        <f>COLUMN(A$1)-MATCH(TRUE,$C$4:$I$4,0)+SemanaDe+1</f>
        <v>41092</v>
      </c>
      <c r="D5" s="18">
        <f t="shared" ref="D5:I5" si="1">COLUMN(B$1)-MATCH(TRUE,$C$4:$I$4,0)+SemanaDe+1</f>
        <v>41093</v>
      </c>
      <c r="E5" s="18">
        <f t="shared" si="1"/>
        <v>41094</v>
      </c>
      <c r="F5" s="18">
        <f t="shared" si="1"/>
        <v>41095</v>
      </c>
      <c r="G5" s="18">
        <f t="shared" si="1"/>
        <v>41096</v>
      </c>
      <c r="H5" s="18">
        <f t="shared" si="1"/>
        <v>41097</v>
      </c>
      <c r="I5" s="18">
        <f t="shared" si="1"/>
        <v>41098</v>
      </c>
    </row>
    <row r="6" spans="1:9" ht="23.25" customHeight="1" x14ac:dyDescent="0.35">
      <c r="B6" s="15" t="s">
        <v>14</v>
      </c>
      <c r="C6" s="6" t="s">
        <v>2</v>
      </c>
      <c r="D6" s="7" t="s">
        <v>3</v>
      </c>
      <c r="E6" s="12" t="s">
        <v>4</v>
      </c>
      <c r="F6" s="19" t="s">
        <v>5</v>
      </c>
      <c r="G6" s="20" t="s">
        <v>6</v>
      </c>
      <c r="H6" s="21" t="s">
        <v>7</v>
      </c>
      <c r="I6" s="22" t="s">
        <v>1</v>
      </c>
    </row>
    <row r="7" spans="1:9" ht="26.25" customHeight="1" x14ac:dyDescent="0.2">
      <c r="B7" s="28">
        <v>0.25</v>
      </c>
      <c r="C7" s="10" t="str">
        <f t="array" ref="C7">IFERROR(INDEX(tblDados[],MATCH(C$5+$B7&amp;MostrarNome,tblDados[DATA E HORA]&amp;tblDados[QUEM],0),3),"")</f>
        <v/>
      </c>
      <c r="D7" s="10" t="str">
        <f t="array" ref="D7">IFERROR(INDEX(tblDados[],MATCH(D$5+$B7&amp;MostrarNome,tblDados[DATA E HORA]&amp;tblDados[QUEM],0),3),"")</f>
        <v/>
      </c>
      <c r="E7" s="10" t="str">
        <f t="array" ref="E7">IFERROR(INDEX(tblDados[],MATCH(E$5+$B7&amp;MostrarNome,tblDados[DATA E HORA]&amp;tblDados[QUEM],0),3),"")</f>
        <v/>
      </c>
      <c r="F7" s="10" t="str">
        <f t="array" ref="F7">IFERROR(INDEX(tblDados[],MATCH(F$5+$B7&amp;MostrarNome,tblDados[DATA E HORA]&amp;tblDados[QUEM],0),3),"")</f>
        <v/>
      </c>
      <c r="G7" s="10" t="str">
        <f t="array" ref="G7">IFERROR(INDEX(tblDados[],MATCH(G$5+$B7&amp;MostrarNome,tblDados[DATA E HORA]&amp;tblDados[QUEM],0),3),"")</f>
        <v/>
      </c>
      <c r="H7" s="10" t="str">
        <f t="array" ref="H7">IFERROR(INDEX(tblDados[],MATCH(H$5+$B7&amp;MostrarNome,tblDados[DATA E HORA]&amp;tblDados[QUEM],0),3),"")</f>
        <v/>
      </c>
      <c r="I7" s="10" t="str">
        <f t="array" ref="I7">IFERROR(INDEX(tblDados[],MATCH(I$5+$B7&amp;MostrarNome,tblDados[DATA E HORA]&amp;tblDados[QUEM],0),3),"")</f>
        <v/>
      </c>
    </row>
    <row r="8" spans="1:9" ht="26.25" customHeight="1" x14ac:dyDescent="0.2">
      <c r="B8" s="28">
        <v>0.29166666666666669</v>
      </c>
      <c r="C8" s="10" t="str">
        <f t="array" ref="C8">IFERROR(INDEX(tblDados[],MATCH(C$5+$B8&amp;MostrarNome,tblDados[DATA E HORA]&amp;tblDados[QUEM],0),3),"")</f>
        <v/>
      </c>
      <c r="D8" s="10" t="str">
        <f t="array" ref="D8">IFERROR(INDEX(tblDados[],MATCH(D$5+$B8&amp;MostrarNome,tblDados[DATA E HORA]&amp;tblDados[QUEM],0),3),"")</f>
        <v/>
      </c>
      <c r="E8" s="10" t="str">
        <f t="array" ref="E8">IFERROR(INDEX(tblDados[],MATCH(E$5+$B8&amp;MostrarNome,tblDados[DATA E HORA]&amp;tblDados[QUEM],0),3),"")</f>
        <v/>
      </c>
      <c r="F8" s="10" t="str">
        <f t="array" ref="F8">IFERROR(INDEX(tblDados[],MATCH(F$5+$B8&amp;MostrarNome,tblDados[DATA E HORA]&amp;tblDados[QUEM],0),3),"")</f>
        <v/>
      </c>
      <c r="G8" s="10" t="str">
        <f t="array" ref="G8">IFERROR(INDEX(tblDados[],MATCH(G$5+$B8&amp;MostrarNome,tblDados[DATA E HORA]&amp;tblDados[QUEM],0),3),"")</f>
        <v/>
      </c>
      <c r="H8" s="10" t="str">
        <f t="array" ref="H8">IFERROR(INDEX(tblDados[],MATCH(H$5+$B8&amp;MostrarNome,tblDados[DATA E HORA]&amp;tblDados[QUEM],0),3),"")</f>
        <v/>
      </c>
      <c r="I8" s="10" t="str">
        <f t="array" ref="I8">IFERROR(INDEX(tblDados[],MATCH(I$5+$B8&amp;MostrarNome,tblDados[DATA E HORA]&amp;tblDados[QUEM],0),3),"")</f>
        <v/>
      </c>
    </row>
    <row r="9" spans="1:9" ht="26.25" customHeight="1" x14ac:dyDescent="0.2">
      <c r="B9" s="28">
        <v>0.33333333333333298</v>
      </c>
      <c r="C9" s="10" t="str">
        <f t="array" ref="C9">IFERROR(INDEX(tblDados[],MATCH(C$5+$B9&amp;MostrarNome,tblDados[DATA E HORA]&amp;tblDados[QUEM],0),3),"")</f>
        <v/>
      </c>
      <c r="D9" s="10" t="str">
        <f t="array" ref="D9">IFERROR(INDEX(tblDados[],MATCH(D$5+$B9&amp;MostrarNome,tblDados[DATA E HORA]&amp;tblDados[QUEM],0),3),"")</f>
        <v/>
      </c>
      <c r="E9" s="10" t="str">
        <f t="array" ref="E9">IFERROR(INDEX(tblDados[],MATCH(E$5+$B9&amp;MostrarNome,tblDados[DATA E HORA]&amp;tblDados[QUEM],0),3),"")</f>
        <v/>
      </c>
      <c r="F9" s="10" t="str">
        <f t="array" ref="F9">IFERROR(INDEX(tblDados[],MATCH(F$5+$B9&amp;MostrarNome,tblDados[DATA E HORA]&amp;tblDados[QUEM],0),3),"")</f>
        <v/>
      </c>
      <c r="G9" s="10" t="str">
        <f t="array" ref="G9">IFERROR(INDEX(tblDados[],MATCH(G$5+$B9&amp;MostrarNome,tblDados[DATA E HORA]&amp;tblDados[QUEM],0),3),"")</f>
        <v/>
      </c>
      <c r="H9" s="10" t="str">
        <f t="array" ref="H9">IFERROR(INDEX(tblDados[],MATCH(H$5+$B9&amp;MostrarNome,tblDados[DATA E HORA]&amp;tblDados[QUEM],0),3),"")</f>
        <v/>
      </c>
      <c r="I9" s="10" t="str">
        <f t="array" ref="I9">IFERROR(INDEX(tblDados[],MATCH(I$5+$B9&amp;MostrarNome,tblDados[DATA E HORA]&amp;tblDados[QUEM],0),3),"")</f>
        <v/>
      </c>
    </row>
    <row r="10" spans="1:9" ht="26.25" customHeight="1" x14ac:dyDescent="0.2">
      <c r="B10" s="28">
        <v>0.375</v>
      </c>
      <c r="C10" s="10" t="str">
        <f t="array" ref="C10">IFERROR(INDEX(tblDados[],MATCH(C$5+$B10&amp;MostrarNome,tblDados[DATA E HORA]&amp;tblDados[QUEM],0),3),"")</f>
        <v/>
      </c>
      <c r="D10" s="10" t="str">
        <f t="array" ref="D10">IFERROR(INDEX(tblDados[],MATCH(D$5+$B10&amp;MostrarNome,tblDados[DATA E HORA]&amp;tblDados[QUEM],0),3),"")</f>
        <v/>
      </c>
      <c r="E10" s="10" t="str">
        <f t="array" ref="E10">IFERROR(INDEX(tblDados[],MATCH(E$5+$B10&amp;MostrarNome,tblDados[DATA E HORA]&amp;tblDados[QUEM],0),3),"")</f>
        <v/>
      </c>
      <c r="F10" s="10" t="str">
        <f t="array" ref="F10">IFERROR(INDEX(tblDados[],MATCH(F$5+$B10&amp;MostrarNome,tblDados[DATA E HORA]&amp;tblDados[QUEM],0),3),"")</f>
        <v/>
      </c>
      <c r="G10" s="10" t="str">
        <f t="array" ref="G10">IFERROR(INDEX(tblDados[],MATCH(G$5+$B10&amp;MostrarNome,tblDados[DATA E HORA]&amp;tblDados[QUEM],0),3),"")</f>
        <v/>
      </c>
      <c r="H10" s="10" t="str">
        <f t="array" ref="H10">IFERROR(INDEX(tblDados[],MATCH(H$5+$B10&amp;MostrarNome,tblDados[DATA E HORA]&amp;tblDados[QUEM],0),3),"")</f>
        <v/>
      </c>
      <c r="I10" s="10" t="str">
        <f t="array" ref="I10">IFERROR(INDEX(tblDados[],MATCH(I$5+$B10&amp;MostrarNome,tblDados[DATA E HORA]&amp;tblDados[QUEM],0),3),"")</f>
        <v/>
      </c>
    </row>
    <row r="11" spans="1:9" ht="26.25" customHeight="1" x14ac:dyDescent="0.2">
      <c r="B11" s="28">
        <v>0.41666666666666702</v>
      </c>
      <c r="C11" s="10" t="str">
        <f t="array" ref="C11">IFERROR(INDEX(tblDados[],MATCH(C$5+$B11&amp;MostrarNome,tblDados[DATA E HORA]&amp;tblDados[QUEM],0),3),"")</f>
        <v/>
      </c>
      <c r="D11" s="10" t="str">
        <f t="array" ref="D11">IFERROR(INDEX(tblDados[],MATCH(D$5+$B11&amp;MostrarNome,tblDados[DATA E HORA]&amp;tblDados[QUEM],0),3),"")</f>
        <v/>
      </c>
      <c r="E11" s="27" t="str">
        <f t="array" ref="E11">IFERROR(INDEX(tblDados[],MATCH(E$5+$B11&amp;MostrarNome,tblDados[DATA E HORA]&amp;tblDados[QUEM],0),3),"")</f>
        <v/>
      </c>
      <c r="F11" s="10" t="str">
        <f t="array" ref="F11">IFERROR(INDEX(tblDados[],MATCH(F$5+$B11&amp;MostrarNome,tblDados[DATA E HORA]&amp;tblDados[QUEM],0),3),"")</f>
        <v/>
      </c>
      <c r="G11" s="10" t="str">
        <f t="array" ref="G11">IFERROR(INDEX(tblDados[],MATCH(G$5+$B11&amp;MostrarNome,tblDados[DATA E HORA]&amp;tblDados[QUEM],0),3),"")</f>
        <v/>
      </c>
      <c r="H11" s="10" t="str">
        <f t="array" ref="H11">IFERROR(INDEX(tblDados[],MATCH(H$5+$B11&amp;MostrarNome,tblDados[DATA E HORA]&amp;tblDados[QUEM],0),3),"")</f>
        <v/>
      </c>
      <c r="I11" s="10" t="str">
        <f t="array" ref="I11">IFERROR(INDEX(tblDados[],MATCH(I$5+$B11&amp;MostrarNome,tblDados[DATA E HORA]&amp;tblDados[QUEM],0),3),"")</f>
        <v/>
      </c>
    </row>
    <row r="12" spans="1:9" ht="26.25" customHeight="1" x14ac:dyDescent="0.2">
      <c r="B12" s="28">
        <v>0.45833333333333298</v>
      </c>
      <c r="C12" s="10" t="str">
        <f t="array" ref="C12">IFERROR(INDEX(tblDados[],MATCH(C$5+$B12&amp;MostrarNome,tblDados[DATA E HORA]&amp;tblDados[QUEM],0),3),"")</f>
        <v/>
      </c>
      <c r="D12" s="10" t="str">
        <f t="array" ref="D12">IFERROR(INDEX(tblDados[],MATCH(D$5+$B12&amp;MostrarNome,tblDados[DATA E HORA]&amp;tblDados[QUEM],0),3),"")</f>
        <v/>
      </c>
      <c r="E12" s="10" t="str">
        <f t="array" ref="E12">IFERROR(INDEX(tblDados[],MATCH(E$5+$B12&amp;MostrarNome,tblDados[DATA E HORA]&amp;tblDados[QUEM],0),3),"")</f>
        <v/>
      </c>
      <c r="F12" s="10" t="str">
        <f t="array" ref="F12">IFERROR(INDEX(tblDados[],MATCH(F$5+$B12&amp;MostrarNome,tblDados[DATA E HORA]&amp;tblDados[QUEM],0),3),"")</f>
        <v/>
      </c>
      <c r="G12" s="10" t="str">
        <f t="array" ref="G12">IFERROR(INDEX(tblDados[],MATCH(G$5+$B12&amp;MostrarNome,tblDados[DATA E HORA]&amp;tblDados[QUEM],0),3),"")</f>
        <v/>
      </c>
      <c r="H12" s="10" t="str">
        <f t="array" ref="H12">IFERROR(INDEX(tblDados[],MATCH(H$5+$B12&amp;MostrarNome,tblDados[DATA E HORA]&amp;tblDados[QUEM],0),3),"")</f>
        <v/>
      </c>
      <c r="I12" s="10" t="str">
        <f t="array" ref="I12">IFERROR(INDEX(tblDados[],MATCH(I$5+$B12&amp;MostrarNome,tblDados[DATA E HORA]&amp;tblDados[QUEM],0),3),"")</f>
        <v/>
      </c>
    </row>
    <row r="13" spans="1:9" ht="26.25" customHeight="1" x14ac:dyDescent="0.2">
      <c r="B13" s="28">
        <v>0.5</v>
      </c>
      <c r="C13" s="10" t="str">
        <f t="array" ref="C13">IFERROR(INDEX(tblDados[],MATCH(C$5+$B13&amp;MostrarNome,tblDados[DATA E HORA]&amp;tblDados[QUEM],0),3),"")</f>
        <v/>
      </c>
      <c r="D13" s="10" t="str">
        <f t="array" ref="D13">IFERROR(INDEX(tblDados[],MATCH(D$5+$B13&amp;MostrarNome,tblDados[DATA E HORA]&amp;tblDados[QUEM],0),3),"")</f>
        <v/>
      </c>
      <c r="E13" s="10" t="str">
        <f t="array" ref="E13">IFERROR(INDEX(tblDados[],MATCH(E$5+$B13&amp;MostrarNome,tblDados[DATA E HORA]&amp;tblDados[QUEM],0),3),"")</f>
        <v/>
      </c>
      <c r="F13" s="10" t="str">
        <f t="array" ref="F13">IFERROR(INDEX(tblDados[],MATCH(F$5+$B13&amp;MostrarNome,tblDados[DATA E HORA]&amp;tblDados[QUEM],0),3),"")</f>
        <v/>
      </c>
      <c r="G13" s="10" t="str">
        <f t="array" ref="G13">IFERROR(INDEX(tblDados[],MATCH(G$5+$B13&amp;MostrarNome,tblDados[DATA E HORA]&amp;tblDados[QUEM],0),3),"")</f>
        <v/>
      </c>
      <c r="H13" s="10" t="str">
        <f t="array" ref="H13">IFERROR(INDEX(tblDados[],MATCH(H$5+$B13&amp;MostrarNome,tblDados[DATA E HORA]&amp;tblDados[QUEM],0),3),"")</f>
        <v/>
      </c>
      <c r="I13" s="10" t="str">
        <f t="array" ref="I13">IFERROR(INDEX(tblDados[],MATCH(I$5+$B13&amp;MostrarNome,tblDados[DATA E HORA]&amp;tblDados[QUEM],0),3),"")</f>
        <v/>
      </c>
    </row>
    <row r="14" spans="1:9" ht="26.25" customHeight="1" x14ac:dyDescent="0.2">
      <c r="B14" s="28">
        <v>0.54166666666666696</v>
      </c>
      <c r="C14" s="10" t="str">
        <f t="array" ref="C14">IFERROR(INDEX(tblDados[],MATCH(C$5+$B14&amp;MostrarNome,tblDados[DATA E HORA]&amp;tblDados[QUEM],0),3),"")</f>
        <v/>
      </c>
      <c r="D14" s="10" t="str">
        <f t="array" ref="D14">IFERROR(INDEX(tblDados[],MATCH(D$5+$B14&amp;MostrarNome,tblDados[DATA E HORA]&amp;tblDados[QUEM],0),3),"")</f>
        <v/>
      </c>
      <c r="E14" s="10" t="str">
        <f t="array" ref="E14">IFERROR(INDEX(tblDados[],MATCH(E$5+$B14&amp;MostrarNome,tblDados[DATA E HORA]&amp;tblDados[QUEM],0),3),"")</f>
        <v/>
      </c>
      <c r="F14" s="10" t="str">
        <f t="array" ref="F14">IFERROR(INDEX(tblDados[],MATCH(F$5+$B14&amp;MostrarNome,tblDados[DATA E HORA]&amp;tblDados[QUEM],0),3),"")</f>
        <v/>
      </c>
      <c r="G14" s="10" t="str">
        <f t="array" ref="G14">IFERROR(INDEX(tblDados[],MATCH(G$5+$B14&amp;MostrarNome,tblDados[DATA E HORA]&amp;tblDados[QUEM],0),3),"")</f>
        <v/>
      </c>
      <c r="H14" s="10" t="str">
        <f t="array" ref="H14">IFERROR(INDEX(tblDados[],MATCH(H$5+$B14&amp;MostrarNome,tblDados[DATA E HORA]&amp;tblDados[QUEM],0),3),"")</f>
        <v/>
      </c>
      <c r="I14" s="10" t="str">
        <f t="array" ref="I14">IFERROR(INDEX(tblDados[],MATCH(I$5+$B14&amp;MostrarNome,tblDados[DATA E HORA]&amp;tblDados[QUEM],0),3),"")</f>
        <v/>
      </c>
    </row>
    <row r="15" spans="1:9" ht="26.25" customHeight="1" x14ac:dyDescent="0.2">
      <c r="B15" s="28">
        <v>0.58333333333333304</v>
      </c>
      <c r="C15" s="10" t="str">
        <f t="array" ref="C15">IFERROR(INDEX(tblDados[],MATCH(C$5+$B15&amp;MostrarNome,tblDados[DATA E HORA]&amp;tblDados[QUEM],0),3),"")</f>
        <v/>
      </c>
      <c r="D15" s="10" t="str">
        <f t="array" ref="D15">IFERROR(INDEX(tblDados[],MATCH(D$5+$B15&amp;MostrarNome,tblDados[DATA E HORA]&amp;tblDados[QUEM],0),3),"")</f>
        <v/>
      </c>
      <c r="E15" s="10" t="str">
        <f t="array" ref="E15">IFERROR(INDEX(tblDados[],MATCH(E$5+$B15&amp;MostrarNome,tblDados[DATA E HORA]&amp;tblDados[QUEM],0),3),"")</f>
        <v/>
      </c>
      <c r="F15" s="10" t="str">
        <f t="array" ref="F15">IFERROR(INDEX(tblDados[],MATCH(F$5+$B15&amp;MostrarNome,tblDados[DATA E HORA]&amp;tblDados[QUEM],0),3),"")</f>
        <v/>
      </c>
      <c r="G15" s="10" t="str">
        <f t="array" ref="G15">IFERROR(INDEX(tblDados[],MATCH(G$5+$B15&amp;MostrarNome,tblDados[DATA E HORA]&amp;tblDados[QUEM],0),3),"")</f>
        <v/>
      </c>
      <c r="H15" s="10" t="str">
        <f t="array" ref="H15">IFERROR(INDEX(tblDados[],MATCH(H$5+$B15&amp;MostrarNome,tblDados[DATA E HORA]&amp;tblDados[QUEM],0),3),"")</f>
        <v/>
      </c>
      <c r="I15" s="10" t="str">
        <f t="array" ref="I15">IFERROR(INDEX(tblDados[],MATCH(I$5+$B15&amp;MostrarNome,tblDados[DATA E HORA]&amp;tblDados[QUEM],0),3),"")</f>
        <v/>
      </c>
    </row>
    <row r="16" spans="1:9" ht="26.25" customHeight="1" x14ac:dyDescent="0.2">
      <c r="B16" s="28">
        <v>0.625</v>
      </c>
      <c r="C16" s="10" t="str">
        <f t="array" ref="C16">IFERROR(INDEX(tblDados[],MATCH(C$5+$B16&amp;MostrarNome,tblDados[DATA E HORA]&amp;tblDados[QUEM],0),3),"")</f>
        <v/>
      </c>
      <c r="D16" s="10" t="str">
        <f t="array" ref="D16">IFERROR(INDEX(tblDados[],MATCH(D$5+$B16&amp;MostrarNome,tblDados[DATA E HORA]&amp;tblDados[QUEM],0),3),"")</f>
        <v/>
      </c>
      <c r="E16" s="10" t="str">
        <f t="array" ref="E16">IFERROR(INDEX(tblDados[],MATCH(E$5+$B16&amp;MostrarNome,tblDados[DATA E HORA]&amp;tblDados[QUEM],0),3),"")</f>
        <v/>
      </c>
      <c r="F16" s="10" t="str">
        <f t="array" ref="F16">IFERROR(INDEX(tblDados[],MATCH(F$5+$B16&amp;MostrarNome,tblDados[DATA E HORA]&amp;tblDados[QUEM],0),3),"")</f>
        <v/>
      </c>
      <c r="G16" s="10" t="str">
        <f t="array" ref="G16">IFERROR(INDEX(tblDados[],MATCH(G$5+$B16&amp;MostrarNome,tblDados[DATA E HORA]&amp;tblDados[QUEM],0),3),"")</f>
        <v/>
      </c>
      <c r="H16" s="10" t="str">
        <f t="array" ref="H16">IFERROR(INDEX(tblDados[],MATCH(H$5+$B16&amp;MostrarNome,tblDados[DATA E HORA]&amp;tblDados[QUEM],0),3),"")</f>
        <v/>
      </c>
      <c r="I16" s="10" t="str">
        <f t="array" ref="I16">IFERROR(INDEX(tblDados[],MATCH(I$5+$B16&amp;MostrarNome,tblDados[DATA E HORA]&amp;tblDados[QUEM],0),3),"")</f>
        <v/>
      </c>
    </row>
    <row r="17" spans="2:9" ht="26.25" customHeight="1" x14ac:dyDescent="0.2">
      <c r="B17" s="28">
        <v>0.66666666666666663</v>
      </c>
      <c r="C17" s="10" t="str">
        <f t="array" ref="C17">IFERROR(INDEX(tblDados[],MATCH(C$5+$B17&amp;MostrarNome,tblDados[DATA E HORA]&amp;tblDados[QUEM],0),3),"")</f>
        <v/>
      </c>
      <c r="D17" s="10" t="str">
        <f t="array" ref="D17">IFERROR(INDEX(tblDados[],MATCH(D$5+$B17&amp;MostrarNome,tblDados[DATA E HORA]&amp;tblDados[QUEM],0),3),"")</f>
        <v/>
      </c>
      <c r="E17" s="10" t="str">
        <f t="array" ref="E17">IFERROR(INDEX(tblDados[],MATCH(E$5+$B17&amp;MostrarNome,tblDados[DATA E HORA]&amp;tblDados[QUEM],0),3),"")</f>
        <v/>
      </c>
      <c r="F17" s="10" t="str">
        <f t="array" ref="F17">IFERROR(INDEX(tblDados[],MATCH(F$5+$B17&amp;MostrarNome,tblDados[DATA E HORA]&amp;tblDados[QUEM],0),3),"")</f>
        <v/>
      </c>
      <c r="G17" s="10" t="str">
        <f t="array" ref="G17">IFERROR(INDEX(tblDados[],MATCH(G$5+$B17&amp;MostrarNome,tblDados[DATA E HORA]&amp;tblDados[QUEM],0),3),"")</f>
        <v/>
      </c>
      <c r="H17" s="10" t="str">
        <f t="array" ref="H17">IFERROR(INDEX(tblDados[],MATCH(H$5+$B17&amp;MostrarNome,tblDados[DATA E HORA]&amp;tblDados[QUEM],0),3),"")</f>
        <v/>
      </c>
      <c r="I17" s="10" t="str">
        <f t="array" ref="I17">IFERROR(INDEX(tblDados[],MATCH(I$5+$B17&amp;MostrarNome,tblDados[DATA E HORA]&amp;tblDados[QUEM],0),3),"")</f>
        <v/>
      </c>
    </row>
    <row r="18" spans="2:9" ht="26.25" customHeight="1" x14ac:dyDescent="0.2">
      <c r="B18" s="28">
        <v>0.70833333333333404</v>
      </c>
      <c r="C18" s="10" t="str">
        <f t="array" ref="C18">IFERROR(INDEX(tblDados[],MATCH(C$5+$B18&amp;MostrarNome,tblDados[DATA E HORA]&amp;tblDados[QUEM],0),3),"")</f>
        <v/>
      </c>
      <c r="D18" s="10" t="str">
        <f t="array" ref="D18">IFERROR(INDEX(tblDados[],MATCH(D$5+$B18&amp;MostrarNome,tblDados[DATA E HORA]&amp;tblDados[QUEM],0),3),"")</f>
        <v/>
      </c>
      <c r="E18" s="10" t="str">
        <f t="array" ref="E18">IFERROR(INDEX(tblDados[],MATCH(E$5+$B18&amp;MostrarNome,tblDados[DATA E HORA]&amp;tblDados[QUEM],0),3),"")</f>
        <v/>
      </c>
      <c r="F18" s="10" t="str">
        <f t="array" ref="F18">IFERROR(INDEX(tblDados[],MATCH(F$5+$B18&amp;MostrarNome,tblDados[DATA E HORA]&amp;tblDados[QUEM],0),3),"")</f>
        <v/>
      </c>
      <c r="G18" s="10" t="str">
        <f t="array" ref="G18">IFERROR(INDEX(tblDados[],MATCH(G$5+$B18&amp;MostrarNome,tblDados[DATA E HORA]&amp;tblDados[QUEM],0),3),"")</f>
        <v/>
      </c>
      <c r="H18" s="10" t="str">
        <f t="array" ref="H18">IFERROR(INDEX(tblDados[],MATCH(H$5+$B18&amp;MostrarNome,tblDados[DATA E HORA]&amp;tblDados[QUEM],0),3),"")</f>
        <v/>
      </c>
      <c r="I18" s="10" t="str">
        <f t="array" ref="I18">IFERROR(INDEX(tblDados[],MATCH(I$5+$B18&amp;MostrarNome,tblDados[DATA E HORA]&amp;tblDados[QUEM],0),3),"")</f>
        <v/>
      </c>
    </row>
    <row r="19" spans="2:9" ht="26.25" customHeight="1" x14ac:dyDescent="0.2">
      <c r="B19" s="28">
        <v>0.75</v>
      </c>
      <c r="C19" s="10" t="str">
        <f t="array" ref="C19">IFERROR(INDEX(tblDados[],MATCH(C$5+$B19&amp;MostrarNome,tblDados[DATA E HORA]&amp;tblDados[QUEM],0),3),"")</f>
        <v/>
      </c>
      <c r="D19" s="10" t="str">
        <f t="array" ref="D19">IFERROR(INDEX(tblDados[],MATCH(D$5+$B19&amp;MostrarNome,tblDados[DATA E HORA]&amp;tblDados[QUEM],0),3),"")</f>
        <v/>
      </c>
      <c r="E19" s="10" t="str">
        <f t="array" ref="E19">IFERROR(INDEX(tblDados[],MATCH(E$5+$B19&amp;MostrarNome,tblDados[DATA E HORA]&amp;tblDados[QUEM],0),3),"")</f>
        <v/>
      </c>
      <c r="F19" s="10" t="str">
        <f t="array" ref="F19">IFERROR(INDEX(tblDados[],MATCH(F$5+$B19&amp;MostrarNome,tblDados[DATA E HORA]&amp;tblDados[QUEM],0),3),"")</f>
        <v/>
      </c>
      <c r="G19" s="10" t="str">
        <f t="array" ref="G19">IFERROR(INDEX(tblDados[],MATCH(G$5+$B19&amp;MostrarNome,tblDados[DATA E HORA]&amp;tblDados[QUEM],0),3),"")</f>
        <v/>
      </c>
      <c r="H19" s="10" t="str">
        <f t="array" ref="H19">IFERROR(INDEX(tblDados[],MATCH(H$5+$B19&amp;MostrarNome,tblDados[DATA E HORA]&amp;tblDados[QUEM],0),3),"")</f>
        <v/>
      </c>
      <c r="I19" s="10" t="str">
        <f t="array" ref="I19">IFERROR(INDEX(tblDados[],MATCH(I$5+$B19&amp;MostrarNome,tblDados[DATA E HORA]&amp;tblDados[QUEM],0),3),"")</f>
        <v/>
      </c>
    </row>
    <row r="20" spans="2:9" ht="26.25" customHeight="1" x14ac:dyDescent="0.2">
      <c r="B20" s="28">
        <v>0.79166666666666696</v>
      </c>
      <c r="C20" s="10" t="str">
        <f t="array" ref="C20">IFERROR(INDEX(tblDados[],MATCH(C$5+$B20&amp;MostrarNome,tblDados[DATA E HORA]&amp;tblDados[QUEM],0),3),"")</f>
        <v/>
      </c>
      <c r="D20" s="10" t="str">
        <f t="array" ref="D20">IFERROR(INDEX(tblDados[],MATCH(D$5+$B20&amp;MostrarNome,tblDados[DATA E HORA]&amp;tblDados[QUEM],0),3),"")</f>
        <v/>
      </c>
      <c r="E20" s="10" t="str">
        <f t="array" ref="E20">IFERROR(INDEX(tblDados[],MATCH(E$5+$B20&amp;MostrarNome,tblDados[DATA E HORA]&amp;tblDados[QUEM],0),3),"")</f>
        <v/>
      </c>
      <c r="F20" s="10" t="str">
        <f t="array" ref="F20">IFERROR(INDEX(tblDados[],MATCH(F$5+$B20&amp;MostrarNome,tblDados[DATA E HORA]&amp;tblDados[QUEM],0),3),"")</f>
        <v/>
      </c>
      <c r="G20" s="10" t="str">
        <f t="array" ref="G20">IFERROR(INDEX(tblDados[],MATCH(G$5+$B20&amp;MostrarNome,tblDados[DATA E HORA]&amp;tblDados[QUEM],0),3),"")</f>
        <v/>
      </c>
      <c r="H20" s="10" t="str">
        <f t="array" ref="H20">IFERROR(INDEX(tblDados[],MATCH(H$5+$B20&amp;MostrarNome,tblDados[DATA E HORA]&amp;tblDados[QUEM],0),3),"")</f>
        <v/>
      </c>
      <c r="I20" s="10" t="str">
        <f t="array" ref="I20">IFERROR(INDEX(tblDados[],MATCH(I$5+$B20&amp;MostrarNome,tblDados[DATA E HORA]&amp;tblDados[QUEM],0),3),"")</f>
        <v/>
      </c>
    </row>
    <row r="21" spans="2:9" ht="26.25" customHeight="1" x14ac:dyDescent="0.2">
      <c r="B21" s="28">
        <v>0.83333333333333404</v>
      </c>
      <c r="C21" s="10" t="str">
        <f t="array" ref="C21">IFERROR(INDEX(tblDados[],MATCH(C$5+$B21&amp;MostrarNome,tblDados[DATA E HORA]&amp;tblDados[QUEM],0),3),"")</f>
        <v/>
      </c>
      <c r="D21" s="10" t="str">
        <f t="array" ref="D21">IFERROR(INDEX(tblDados[],MATCH(D$5+$B21&amp;MostrarNome,tblDados[DATA E HORA]&amp;tblDados[QUEM],0),3),"")</f>
        <v/>
      </c>
      <c r="E21" s="10" t="str">
        <f t="array" ref="E21">IFERROR(INDEX(tblDados[],MATCH(E$5+$B21&amp;MostrarNome,tblDados[DATA E HORA]&amp;tblDados[QUEM],0),3),"")</f>
        <v/>
      </c>
      <c r="F21" s="10" t="str">
        <f t="array" ref="F21">IFERROR(INDEX(tblDados[],MATCH(F$5+$B21&amp;MostrarNome,tblDados[DATA E HORA]&amp;tblDados[QUEM],0),3),"")</f>
        <v/>
      </c>
      <c r="G21" s="10" t="str">
        <f t="array" ref="G21">IFERROR(INDEX(tblDados[],MATCH(G$5+$B21&amp;MostrarNome,tblDados[DATA E HORA]&amp;tblDados[QUEM],0),3),"")</f>
        <v/>
      </c>
      <c r="H21" s="10" t="str">
        <f t="array" ref="H21">IFERROR(INDEX(tblDados[],MATCH(H$5+$B21&amp;MostrarNome,tblDados[DATA E HORA]&amp;tblDados[QUEM],0),3),"")</f>
        <v/>
      </c>
      <c r="I21" s="10" t="str">
        <f t="array" ref="I21">IFERROR(INDEX(tblDados[],MATCH(I$5+$B21&amp;MostrarNome,tblDados[DATA E HORA]&amp;tblDados[QUEM],0),3),"")</f>
        <v/>
      </c>
    </row>
    <row r="22" spans="2:9" ht="26.25" customHeight="1" x14ac:dyDescent="0.2">
      <c r="B22" s="28">
        <v>0.875</v>
      </c>
      <c r="C22" s="10" t="str">
        <f t="array" ref="C22">IFERROR(INDEX(tblDados[],MATCH(C$5+$B22&amp;MostrarNome,tblDados[DATA E HORA]&amp;tblDados[QUEM],0),3),"")</f>
        <v/>
      </c>
      <c r="D22" s="10" t="str">
        <f t="array" ref="D22">IFERROR(INDEX(tblDados[],MATCH(D$5+$B22&amp;MostrarNome,tblDados[DATA E HORA]&amp;tblDados[QUEM],0),3),"")</f>
        <v/>
      </c>
      <c r="E22" s="10" t="str">
        <f t="array" ref="E22">IFERROR(INDEX(tblDados[],MATCH(E$5+$B22&amp;MostrarNome,tblDados[DATA E HORA]&amp;tblDados[QUEM],0),3),"")</f>
        <v/>
      </c>
      <c r="F22" s="10" t="str">
        <f t="array" ref="F22">IFERROR(INDEX(tblDados[],MATCH(F$5+$B22&amp;MostrarNome,tblDados[DATA E HORA]&amp;tblDados[QUEM],0),3),"")</f>
        <v/>
      </c>
      <c r="G22" s="10" t="str">
        <f t="array" ref="G22">IFERROR(INDEX(tblDados[],MATCH(G$5+$B22&amp;MostrarNome,tblDados[DATA E HORA]&amp;tblDados[QUEM],0),3),"")</f>
        <v/>
      </c>
      <c r="H22" s="10" t="str">
        <f t="array" ref="H22">IFERROR(INDEX(tblDados[],MATCH(H$5+$B22&amp;MostrarNome,tblDados[DATA E HORA]&amp;tblDados[QUEM],0),3),"")</f>
        <v/>
      </c>
      <c r="I22" s="10" t="str">
        <f t="array" ref="I22">IFERROR(INDEX(tblDados[],MATCH(I$5+$B22&amp;MostrarNome,tblDados[DATA E HORA]&amp;tblDados[QUEM],0),3),"")</f>
        <v/>
      </c>
    </row>
    <row r="23" spans="2:9" ht="26.25" customHeight="1" x14ac:dyDescent="0.2">
      <c r="B23" s="28">
        <v>0.91666666666666696</v>
      </c>
      <c r="C23" s="10" t="str">
        <f t="array" ref="C23">IFERROR(INDEX(tblDados[],MATCH(C$5+$B23&amp;MostrarNome,tblDados[DATA E HORA]&amp;tblDados[QUEM],0),3),"")</f>
        <v/>
      </c>
      <c r="D23" s="10" t="str">
        <f t="array" ref="D23">IFERROR(INDEX(tblDados[],MATCH(D$5+$B23&amp;MostrarNome,tblDados[DATA E HORA]&amp;tblDados[QUEM],0),3),"")</f>
        <v/>
      </c>
      <c r="E23" s="10" t="str">
        <f t="array" ref="E23">IFERROR(INDEX(tblDados[],MATCH(E$5+$B23&amp;MostrarNome,tblDados[DATA E HORA]&amp;tblDados[QUEM],0),3),"")</f>
        <v/>
      </c>
      <c r="F23" s="10" t="str">
        <f t="array" ref="F23">IFERROR(INDEX(tblDados[],MATCH(F$5+$B23&amp;MostrarNome,tblDados[DATA E HORA]&amp;tblDados[QUEM],0),3),"")</f>
        <v/>
      </c>
      <c r="G23" s="10" t="str">
        <f t="array" ref="G23">IFERROR(INDEX(tblDados[],MATCH(G$5+$B23&amp;MostrarNome,tblDados[DATA E HORA]&amp;tblDados[QUEM],0),3),"")</f>
        <v/>
      </c>
      <c r="H23" s="10" t="str">
        <f t="array" ref="H23">IFERROR(INDEX(tblDados[],MATCH(H$5+$B23&amp;MostrarNome,tblDados[DATA E HORA]&amp;tblDados[QUEM],0),3),"")</f>
        <v/>
      </c>
      <c r="I23" s="10" t="str">
        <f t="array" ref="I23">IFERROR(INDEX(tblDados[],MATCH(I$5+$B23&amp;MostrarNome,tblDados[DATA E HORA]&amp;tblDados[QUEM],0),3),"")</f>
        <v/>
      </c>
    </row>
  </sheetData>
  <mergeCells count="1">
    <mergeCell ref="B2:D3"/>
  </mergeCells>
  <conditionalFormatting sqref="C7:C23">
    <cfRule type="expression" dxfId="14" priority="7">
      <formula>LEN(C7)&gt;0</formula>
    </cfRule>
  </conditionalFormatting>
  <conditionalFormatting sqref="D7:D23">
    <cfRule type="expression" dxfId="13" priority="6">
      <formula>LEN(D7)&gt;0</formula>
    </cfRule>
  </conditionalFormatting>
  <conditionalFormatting sqref="E7:E23">
    <cfRule type="expression" dxfId="12" priority="5">
      <formula>LEN(E7)&gt;0</formula>
    </cfRule>
  </conditionalFormatting>
  <conditionalFormatting sqref="F7:F23">
    <cfRule type="expression" dxfId="11" priority="4">
      <formula>LEN(F7)&gt;0</formula>
    </cfRule>
  </conditionalFormatting>
  <conditionalFormatting sqref="G7:G23">
    <cfRule type="expression" dxfId="10" priority="3">
      <formula>LEN(G7)&gt;0</formula>
    </cfRule>
  </conditionalFormatting>
  <conditionalFormatting sqref="H7:H23">
    <cfRule type="expression" dxfId="9" priority="2">
      <formula>LEN(H7)&gt;0</formula>
    </cfRule>
  </conditionalFormatting>
  <conditionalFormatting sqref="I7:I23">
    <cfRule type="expression" dxfId="8" priority="1">
      <formula>LEN(I7)&gt;0</formula>
    </cfRule>
  </conditionalFormatting>
  <dataValidations count="1">
    <dataValidation type="list" allowBlank="1" showInputMessage="1" sqref="H3" xr:uid="{00000000-0002-0000-0000-000000000000}">
      <formula1>PesquisarQuem</formula1>
    </dataValidation>
  </dataValidations>
  <printOptions horizontalCentered="1" verticalCentered="1"/>
  <pageMargins left="0.25" right="0.25" top="0.75" bottom="0.75" header="0.3" footer="0.3"/>
  <pageSetup paperSize="9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B1:D14"/>
  <sheetViews>
    <sheetView showGridLines="0" workbookViewId="0">
      <selection activeCell="C4" sqref="B4:C13"/>
    </sheetView>
  </sheetViews>
  <sheetFormatPr defaultRowHeight="26.25" customHeight="1" x14ac:dyDescent="0.2"/>
  <cols>
    <col min="1" max="1" width="1.7109375" customWidth="1"/>
    <col min="2" max="2" width="23.5703125" customWidth="1"/>
    <col min="3" max="3" width="32.42578125" customWidth="1"/>
    <col min="4" max="4" width="37.28515625" customWidth="1"/>
  </cols>
  <sheetData>
    <row r="1" spans="2:4" ht="42.75" customHeight="1" x14ac:dyDescent="0.45">
      <c r="B1" s="9" t="s">
        <v>11</v>
      </c>
    </row>
    <row r="2" spans="2:4" ht="10.5" customHeight="1" x14ac:dyDescent="0.2"/>
    <row r="3" spans="2:4" ht="26.25" customHeight="1" x14ac:dyDescent="0.35">
      <c r="B3" s="6" t="s">
        <v>12</v>
      </c>
      <c r="C3" s="7" t="s">
        <v>10</v>
      </c>
      <c r="D3" s="12" t="s">
        <v>9</v>
      </c>
    </row>
    <row r="4" spans="2:4" s="5" customFormat="1" ht="26.25" customHeight="1" x14ac:dyDescent="0.2">
      <c r="B4" s="29"/>
      <c r="C4" s="8"/>
      <c r="D4" s="8"/>
    </row>
    <row r="5" spans="2:4" s="5" customFormat="1" ht="26.25" customHeight="1" x14ac:dyDescent="0.2">
      <c r="B5" s="29"/>
      <c r="C5" s="8"/>
      <c r="D5" s="8"/>
    </row>
    <row r="6" spans="2:4" s="5" customFormat="1" ht="26.25" customHeight="1" x14ac:dyDescent="0.2">
      <c r="B6" s="29"/>
      <c r="C6" s="8"/>
      <c r="D6" s="8"/>
    </row>
    <row r="7" spans="2:4" s="5" customFormat="1" ht="26.25" customHeight="1" x14ac:dyDescent="0.2">
      <c r="B7" s="29"/>
      <c r="C7" s="8"/>
      <c r="D7" s="8"/>
    </row>
    <row r="8" spans="2:4" s="5" customFormat="1" ht="26.25" customHeight="1" x14ac:dyDescent="0.2">
      <c r="B8" s="29"/>
      <c r="C8" s="8"/>
      <c r="D8" s="8"/>
    </row>
    <row r="9" spans="2:4" s="5" customFormat="1" ht="26.25" customHeight="1" x14ac:dyDescent="0.2">
      <c r="B9" s="29"/>
      <c r="C9" s="8"/>
      <c r="D9" s="8"/>
    </row>
    <row r="10" spans="2:4" s="5" customFormat="1" ht="26.25" customHeight="1" x14ac:dyDescent="0.2">
      <c r="B10" s="29"/>
      <c r="C10" s="8"/>
      <c r="D10" s="8"/>
    </row>
    <row r="11" spans="2:4" s="5" customFormat="1" ht="26.25" customHeight="1" x14ac:dyDescent="0.2">
      <c r="B11" s="29"/>
      <c r="C11" s="8"/>
      <c r="D11" s="8"/>
    </row>
    <row r="12" spans="2:4" s="5" customFormat="1" ht="26.25" customHeight="1" x14ac:dyDescent="0.2">
      <c r="B12" s="29"/>
      <c r="C12" s="8"/>
      <c r="D12" s="8"/>
    </row>
    <row r="13" spans="2:4" s="5" customFormat="1" ht="26.25" customHeight="1" x14ac:dyDescent="0.2">
      <c r="B13" s="29"/>
      <c r="C13" s="8"/>
      <c r="D13" s="8"/>
    </row>
    <row r="14" spans="2:4" ht="26.25" customHeight="1" x14ac:dyDescent="0.2">
      <c r="B14" s="30"/>
      <c r="C14" s="16"/>
      <c r="D14" s="17"/>
    </row>
  </sheetData>
  <printOptions horizontalCentered="1"/>
  <pageMargins left="0.7" right="0.7" top="0.75" bottom="0.75" header="0.3" footer="0.3"/>
  <pageSetup paperSize="9" fitToHeight="0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E8CC0-781C-4A15-BBB0-C50B6EEFFA17}">
  <dimension ref="A1:X30"/>
  <sheetViews>
    <sheetView showGridLines="0" zoomScale="60" zoomScaleNormal="60" workbookViewId="0">
      <selection activeCell="B5" sqref="B5:F5"/>
    </sheetView>
  </sheetViews>
  <sheetFormatPr defaultRowHeight="12" x14ac:dyDescent="0.2"/>
  <cols>
    <col min="1" max="1" width="18" bestFit="1" customWidth="1"/>
    <col min="12" max="12" width="4.7109375" customWidth="1"/>
    <col min="13" max="13" width="18.7109375" bestFit="1" customWidth="1"/>
    <col min="24" max="24" width="3.42578125" customWidth="1"/>
  </cols>
  <sheetData>
    <row r="1" spans="1:24" ht="27.75" thickBot="1" x14ac:dyDescent="0.4">
      <c r="A1" s="134" t="s">
        <v>59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</row>
    <row r="2" spans="1:24" ht="21" thickBot="1" x14ac:dyDescent="0.35">
      <c r="A2" s="135" t="s">
        <v>44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6"/>
      <c r="M2" s="137" t="s">
        <v>47</v>
      </c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</row>
    <row r="3" spans="1:24" ht="14.25" x14ac:dyDescent="0.2">
      <c r="A3" s="31"/>
      <c r="B3" s="32" t="s">
        <v>48</v>
      </c>
      <c r="C3" s="32" t="s">
        <v>49</v>
      </c>
      <c r="D3" s="32" t="s">
        <v>50</v>
      </c>
      <c r="E3" s="32" t="s">
        <v>51</v>
      </c>
      <c r="F3" s="32" t="s">
        <v>52</v>
      </c>
      <c r="G3" s="32" t="s">
        <v>53</v>
      </c>
      <c r="H3" s="32" t="s">
        <v>54</v>
      </c>
      <c r="I3" s="32" t="s">
        <v>55</v>
      </c>
      <c r="J3" s="32" t="s">
        <v>56</v>
      </c>
      <c r="K3" s="32" t="s">
        <v>111</v>
      </c>
      <c r="M3" s="31"/>
      <c r="N3" s="32" t="s">
        <v>48</v>
      </c>
      <c r="O3" s="32" t="s">
        <v>49</v>
      </c>
      <c r="P3" s="32" t="s">
        <v>50</v>
      </c>
      <c r="Q3" s="32" t="s">
        <v>51</v>
      </c>
      <c r="R3" s="32" t="s">
        <v>52</v>
      </c>
      <c r="S3" s="32" t="s">
        <v>53</v>
      </c>
      <c r="T3" s="32" t="s">
        <v>54</v>
      </c>
      <c r="U3" s="32" t="s">
        <v>55</v>
      </c>
      <c r="V3" s="32" t="s">
        <v>56</v>
      </c>
      <c r="W3" s="32" t="s">
        <v>167</v>
      </c>
    </row>
    <row r="4" spans="1:24" ht="14.25" x14ac:dyDescent="0.2">
      <c r="A4" s="31" t="s">
        <v>45</v>
      </c>
      <c r="B4" s="47"/>
      <c r="C4" s="47"/>
      <c r="D4" s="47"/>
      <c r="E4" s="47"/>
      <c r="F4" s="31"/>
      <c r="G4" s="31"/>
      <c r="H4" s="31"/>
      <c r="I4" s="31"/>
      <c r="J4" s="31"/>
      <c r="K4" s="31"/>
      <c r="M4" s="31" t="s">
        <v>58</v>
      </c>
      <c r="N4" s="47"/>
      <c r="O4" s="47"/>
      <c r="P4" s="47"/>
      <c r="Q4" s="47"/>
      <c r="R4" s="47"/>
      <c r="S4" s="47"/>
      <c r="T4" s="47"/>
      <c r="U4" s="31"/>
      <c r="V4" s="31"/>
      <c r="W4" s="31"/>
    </row>
    <row r="5" spans="1:24" ht="14.25" x14ac:dyDescent="0.2">
      <c r="A5" s="47" t="s">
        <v>57</v>
      </c>
      <c r="B5" s="47"/>
      <c r="C5" s="47"/>
      <c r="D5" s="47"/>
      <c r="E5" s="47"/>
      <c r="F5" s="47"/>
      <c r="G5" s="47"/>
      <c r="H5" s="31"/>
      <c r="I5" s="31"/>
      <c r="J5" s="31"/>
      <c r="K5" s="31"/>
      <c r="M5" s="31" t="s">
        <v>169</v>
      </c>
      <c r="N5" s="47"/>
      <c r="O5" s="31"/>
      <c r="P5" s="31"/>
      <c r="Q5" s="31"/>
      <c r="R5" s="31"/>
      <c r="S5" s="31"/>
      <c r="T5" s="31"/>
      <c r="U5" s="31"/>
      <c r="V5" s="31"/>
      <c r="W5" s="31"/>
    </row>
    <row r="6" spans="1:24" ht="14.25" x14ac:dyDescent="0.2">
      <c r="A6" s="47" t="s">
        <v>168</v>
      </c>
      <c r="B6" s="47"/>
      <c r="C6" s="47"/>
      <c r="D6" s="47"/>
      <c r="E6" s="31"/>
      <c r="F6" s="31"/>
      <c r="G6" s="31"/>
      <c r="H6" s="31"/>
      <c r="I6" s="31"/>
      <c r="J6" s="31"/>
      <c r="K6" s="31"/>
      <c r="M6" s="31" t="s">
        <v>170</v>
      </c>
      <c r="N6" s="47"/>
      <c r="O6" s="31"/>
      <c r="P6" s="31"/>
      <c r="Q6" s="31"/>
      <c r="R6" s="31"/>
      <c r="S6" s="31"/>
      <c r="T6" s="31"/>
      <c r="U6" s="31"/>
      <c r="V6" s="31"/>
      <c r="W6" s="31"/>
    </row>
    <row r="7" spans="1:24" ht="14.25" x14ac:dyDescent="0.2">
      <c r="A7" s="33"/>
      <c r="B7" s="31"/>
      <c r="C7" s="31"/>
      <c r="D7" s="31"/>
      <c r="E7" s="31"/>
      <c r="F7" s="31"/>
      <c r="G7" s="31"/>
      <c r="H7" s="31"/>
      <c r="I7" s="31"/>
      <c r="J7" s="31"/>
      <c r="K7" s="31"/>
      <c r="M7" s="31" t="s">
        <v>171</v>
      </c>
      <c r="N7" s="47"/>
      <c r="O7" s="47"/>
      <c r="P7" s="31"/>
      <c r="Q7" s="31"/>
      <c r="R7" s="31"/>
      <c r="S7" s="31"/>
      <c r="T7" s="31"/>
      <c r="U7" s="31"/>
      <c r="V7" s="31"/>
      <c r="W7" s="31"/>
    </row>
    <row r="8" spans="1:24" ht="14.25" x14ac:dyDescent="0.2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</row>
    <row r="9" spans="1:24" ht="14.25" x14ac:dyDescent="0.2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</row>
    <row r="10" spans="1:24" ht="14.25" x14ac:dyDescent="0.2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</row>
    <row r="11" spans="1:24" ht="14.25" x14ac:dyDescent="0.2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</row>
    <row r="12" spans="1:24" ht="14.25" x14ac:dyDescent="0.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</row>
    <row r="13" spans="1:24" ht="14.25" x14ac:dyDescent="0.2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</row>
    <row r="14" spans="1:24" ht="14.25" x14ac:dyDescent="0.2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</row>
    <row r="15" spans="1:24" ht="14.25" x14ac:dyDescent="0.2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</row>
    <row r="16" spans="1:24" ht="14.25" x14ac:dyDescent="0.2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</row>
    <row r="17" spans="1:23" ht="14.25" x14ac:dyDescent="0.2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</row>
    <row r="18" spans="1:23" ht="14.25" x14ac:dyDescent="0.2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</row>
    <row r="19" spans="1:23" ht="14.25" x14ac:dyDescent="0.2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</row>
    <row r="20" spans="1:23" ht="14.25" x14ac:dyDescent="0.2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</row>
    <row r="21" spans="1:23" ht="14.25" x14ac:dyDescent="0.2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</row>
    <row r="22" spans="1:23" ht="14.25" x14ac:dyDescent="0.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</row>
    <row r="23" spans="1:23" ht="14.25" x14ac:dyDescent="0.2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</row>
    <row r="24" spans="1:23" ht="14.25" x14ac:dyDescent="0.2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</row>
    <row r="25" spans="1:23" ht="14.25" x14ac:dyDescent="0.2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</row>
    <row r="26" spans="1:23" ht="14.25" x14ac:dyDescent="0.2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N26" s="31"/>
      <c r="O26" s="31"/>
      <c r="P26" s="31"/>
      <c r="Q26" s="31"/>
      <c r="R26" s="31"/>
      <c r="S26" s="31"/>
      <c r="T26" s="31"/>
      <c r="U26" s="31"/>
      <c r="V26" s="31"/>
      <c r="W26" s="31"/>
    </row>
    <row r="27" spans="1:23" ht="14.25" x14ac:dyDescent="0.2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P27" s="31"/>
      <c r="Q27" s="31"/>
      <c r="R27" s="31"/>
      <c r="S27" s="31"/>
      <c r="T27" s="31"/>
      <c r="U27" s="31"/>
      <c r="V27" s="31"/>
      <c r="W27" s="31"/>
    </row>
    <row r="28" spans="1:23" ht="14.25" x14ac:dyDescent="0.2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</row>
    <row r="29" spans="1:23" ht="14.25" x14ac:dyDescent="0.2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</row>
    <row r="30" spans="1:23" ht="14.25" x14ac:dyDescent="0.2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</row>
  </sheetData>
  <mergeCells count="3">
    <mergeCell ref="A1:X1"/>
    <mergeCell ref="A2:L2"/>
    <mergeCell ref="M2:X2"/>
  </mergeCells>
  <phoneticPr fontId="27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89C81-4DAC-4A3C-896B-E9A95FDA42C9}">
  <dimension ref="A1:N95"/>
  <sheetViews>
    <sheetView showGridLines="0" topLeftCell="A60" zoomScale="80" zoomScaleNormal="80" workbookViewId="0">
      <selection activeCell="C86" sqref="C86"/>
    </sheetView>
  </sheetViews>
  <sheetFormatPr defaultRowHeight="12" x14ac:dyDescent="0.2"/>
  <cols>
    <col min="1" max="1" width="40" style="23" customWidth="1"/>
    <col min="2" max="2" width="15.28515625" style="23" bestFit="1" customWidth="1"/>
    <col min="3" max="3" width="24.42578125" style="23" customWidth="1"/>
    <col min="4" max="4" width="27.85546875" style="23" bestFit="1" customWidth="1"/>
    <col min="5" max="5" width="21.140625" style="23" bestFit="1" customWidth="1"/>
    <col min="6" max="6" width="27.85546875" style="23" bestFit="1" customWidth="1"/>
    <col min="7" max="7" width="29" style="23" bestFit="1" customWidth="1"/>
    <col min="8" max="8" width="26.28515625" style="23" bestFit="1" customWidth="1"/>
    <col min="9" max="9" width="29" style="23" bestFit="1" customWidth="1"/>
    <col min="10" max="10" width="26.28515625" style="23" bestFit="1" customWidth="1"/>
    <col min="11" max="11" width="18.28515625" style="23" customWidth="1"/>
    <col min="12" max="12" width="10.7109375" style="23" bestFit="1" customWidth="1"/>
    <col min="13" max="13" width="11.140625" style="23" customWidth="1"/>
    <col min="14" max="14" width="9.140625" style="23"/>
  </cols>
  <sheetData>
    <row r="1" spans="1:14" x14ac:dyDescent="0.2">
      <c r="A1" s="138" t="s">
        <v>60</v>
      </c>
      <c r="B1" s="138"/>
      <c r="C1" s="138"/>
      <c r="D1" s="138"/>
      <c r="E1" s="138"/>
      <c r="F1" s="138"/>
      <c r="G1" s="138"/>
      <c r="H1" s="138"/>
      <c r="I1" s="138"/>
      <c r="J1" s="138"/>
    </row>
    <row r="2" spans="1:14" x14ac:dyDescent="0.2">
      <c r="A2" s="139"/>
      <c r="B2" s="139"/>
      <c r="C2" s="139"/>
      <c r="D2" s="139"/>
      <c r="E2" s="139"/>
      <c r="F2" s="139"/>
      <c r="G2" s="139"/>
      <c r="H2" s="139"/>
      <c r="I2" s="139"/>
      <c r="J2" s="139"/>
    </row>
    <row r="3" spans="1:14" ht="18" x14ac:dyDescent="0.2">
      <c r="A3" s="34" t="s">
        <v>61</v>
      </c>
      <c r="B3" s="34" t="s">
        <v>62</v>
      </c>
      <c r="C3" s="34" t="s">
        <v>63</v>
      </c>
      <c r="D3" s="34" t="s">
        <v>64</v>
      </c>
      <c r="E3" s="34" t="s">
        <v>65</v>
      </c>
      <c r="F3" s="34" t="s">
        <v>66</v>
      </c>
      <c r="G3" s="34" t="s">
        <v>67</v>
      </c>
      <c r="H3" s="34" t="s">
        <v>68</v>
      </c>
      <c r="I3" s="35" t="s">
        <v>69</v>
      </c>
      <c r="J3" s="35" t="s">
        <v>70</v>
      </c>
      <c r="K3" s="36"/>
      <c r="L3" s="36"/>
      <c r="M3" s="36"/>
      <c r="N3" s="36"/>
    </row>
    <row r="4" spans="1:14" x14ac:dyDescent="0.2">
      <c r="A4" s="37" t="s">
        <v>71</v>
      </c>
      <c r="B4" s="37" t="s">
        <v>72</v>
      </c>
      <c r="C4" s="37" t="s">
        <v>73</v>
      </c>
      <c r="D4" s="37">
        <v>9</v>
      </c>
      <c r="E4" s="37">
        <v>21</v>
      </c>
      <c r="F4" s="37">
        <v>5</v>
      </c>
      <c r="G4" s="37">
        <f>D4*F4</f>
        <v>45</v>
      </c>
      <c r="H4" s="37">
        <f>D4*E4</f>
        <v>189</v>
      </c>
      <c r="I4" s="37">
        <f>D4*E4-G4</f>
        <v>144</v>
      </c>
      <c r="J4" s="37">
        <v>72.239999999999995</v>
      </c>
    </row>
    <row r="5" spans="1:14" x14ac:dyDescent="0.2">
      <c r="A5" s="37" t="s">
        <v>74</v>
      </c>
      <c r="B5" s="37" t="s">
        <v>75</v>
      </c>
      <c r="C5" s="37" t="s">
        <v>73</v>
      </c>
      <c r="D5" s="37">
        <v>9</v>
      </c>
      <c r="E5" s="37">
        <v>21</v>
      </c>
      <c r="F5" s="37">
        <v>4</v>
      </c>
      <c r="G5" s="37">
        <f t="shared" ref="G5:G7" si="0">D5*F5</f>
        <v>36</v>
      </c>
      <c r="H5" s="37">
        <f t="shared" ref="H5:H7" si="1">D5*E5</f>
        <v>189</v>
      </c>
      <c r="I5" s="37">
        <f t="shared" ref="I5:I7" si="2">D5*E5-G5</f>
        <v>153</v>
      </c>
      <c r="J5" s="37">
        <v>77.7</v>
      </c>
    </row>
    <row r="6" spans="1:14" x14ac:dyDescent="0.2">
      <c r="A6" s="37" t="s">
        <v>76</v>
      </c>
      <c r="B6" s="37" t="s">
        <v>77</v>
      </c>
      <c r="C6" s="37" t="s">
        <v>73</v>
      </c>
      <c r="D6" s="37">
        <v>9</v>
      </c>
      <c r="E6" s="37">
        <v>21</v>
      </c>
      <c r="F6" s="37">
        <v>2</v>
      </c>
      <c r="G6" s="37">
        <f t="shared" si="0"/>
        <v>18</v>
      </c>
      <c r="H6" s="37">
        <f t="shared" si="1"/>
        <v>189</v>
      </c>
      <c r="I6" s="37">
        <f t="shared" si="2"/>
        <v>171</v>
      </c>
      <c r="J6" s="37">
        <v>170.74</v>
      </c>
    </row>
    <row r="7" spans="1:14" x14ac:dyDescent="0.2">
      <c r="A7" s="37" t="s">
        <v>78</v>
      </c>
      <c r="B7" s="37" t="s">
        <v>79</v>
      </c>
      <c r="C7" s="37" t="s">
        <v>73</v>
      </c>
      <c r="D7" s="37">
        <v>9</v>
      </c>
      <c r="E7" s="37">
        <v>21</v>
      </c>
      <c r="F7" s="37">
        <v>3</v>
      </c>
      <c r="G7" s="37">
        <f t="shared" si="0"/>
        <v>27</v>
      </c>
      <c r="H7" s="37">
        <f t="shared" si="1"/>
        <v>189</v>
      </c>
      <c r="I7" s="37">
        <f t="shared" si="2"/>
        <v>162</v>
      </c>
      <c r="J7" s="37">
        <v>150.66999999999999</v>
      </c>
    </row>
    <row r="8" spans="1:14" x14ac:dyDescent="0.2">
      <c r="A8" s="37" t="s">
        <v>80</v>
      </c>
      <c r="B8" s="37" t="s">
        <v>81</v>
      </c>
      <c r="C8" s="37" t="s">
        <v>73</v>
      </c>
      <c r="D8" s="37">
        <v>9</v>
      </c>
      <c r="E8" s="37">
        <v>21</v>
      </c>
      <c r="F8" s="37">
        <v>4</v>
      </c>
      <c r="G8" s="37">
        <f>D8*F8</f>
        <v>36</v>
      </c>
      <c r="H8" s="37">
        <f>D8*E8</f>
        <v>189</v>
      </c>
      <c r="I8" s="37">
        <f>D8*E8-G8</f>
        <v>153</v>
      </c>
      <c r="J8" s="37">
        <v>150.37</v>
      </c>
    </row>
    <row r="9" spans="1:14" x14ac:dyDescent="0.2">
      <c r="A9" s="37" t="s">
        <v>82</v>
      </c>
      <c r="B9" s="37" t="s">
        <v>83</v>
      </c>
      <c r="C9" s="37" t="s">
        <v>73</v>
      </c>
      <c r="D9" s="37">
        <v>9</v>
      </c>
      <c r="E9" s="37">
        <v>21</v>
      </c>
      <c r="F9" s="37">
        <v>5</v>
      </c>
      <c r="G9" s="37">
        <f t="shared" ref="G9:G22" si="3">D9*F9</f>
        <v>45</v>
      </c>
      <c r="H9" s="37">
        <f t="shared" ref="H9:H22" si="4">D9*E9</f>
        <v>189</v>
      </c>
      <c r="I9" s="37">
        <f t="shared" ref="I9" si="5">D9*E9-G9</f>
        <v>144</v>
      </c>
      <c r="J9" s="37">
        <v>93.75</v>
      </c>
    </row>
    <row r="10" spans="1:14" x14ac:dyDescent="0.2">
      <c r="A10" s="37" t="s">
        <v>84</v>
      </c>
      <c r="B10" s="37" t="s">
        <v>85</v>
      </c>
      <c r="C10" s="37" t="s">
        <v>73</v>
      </c>
      <c r="D10" s="37">
        <v>9</v>
      </c>
      <c r="E10" s="37">
        <v>21</v>
      </c>
      <c r="F10" s="37">
        <v>2</v>
      </c>
      <c r="G10" s="37">
        <f t="shared" si="3"/>
        <v>18</v>
      </c>
      <c r="H10" s="37">
        <f t="shared" si="4"/>
        <v>189</v>
      </c>
      <c r="I10" s="37">
        <f>D10*E10-G10</f>
        <v>171</v>
      </c>
      <c r="J10" s="37">
        <v>97.22</v>
      </c>
    </row>
    <row r="11" spans="1:14" x14ac:dyDescent="0.2">
      <c r="A11" s="37" t="s">
        <v>86</v>
      </c>
      <c r="B11" s="37" t="s">
        <v>87</v>
      </c>
      <c r="C11" s="37" t="s">
        <v>88</v>
      </c>
      <c r="D11" s="37">
        <v>11</v>
      </c>
      <c r="E11" s="37">
        <v>15</v>
      </c>
      <c r="F11" s="37"/>
      <c r="G11" s="37">
        <f t="shared" si="3"/>
        <v>0</v>
      </c>
      <c r="H11" s="37">
        <f t="shared" si="4"/>
        <v>165</v>
      </c>
      <c r="I11" s="37">
        <f t="shared" ref="I11:I22" si="6">D11*E11-G11</f>
        <v>165</v>
      </c>
      <c r="J11" s="37">
        <v>145.59</v>
      </c>
    </row>
    <row r="12" spans="1:14" x14ac:dyDescent="0.2">
      <c r="A12" s="37" t="s">
        <v>89</v>
      </c>
      <c r="B12" s="37" t="s">
        <v>90</v>
      </c>
      <c r="C12" s="37" t="s">
        <v>88</v>
      </c>
      <c r="D12" s="37">
        <v>11</v>
      </c>
      <c r="E12" s="37">
        <v>15</v>
      </c>
      <c r="F12" s="37"/>
      <c r="G12" s="37">
        <f t="shared" si="3"/>
        <v>0</v>
      </c>
      <c r="H12" s="37">
        <f t="shared" si="4"/>
        <v>165</v>
      </c>
      <c r="I12" s="37">
        <f t="shared" si="6"/>
        <v>165</v>
      </c>
      <c r="J12" s="37">
        <v>130.09</v>
      </c>
    </row>
    <row r="13" spans="1:14" x14ac:dyDescent="0.2">
      <c r="A13" s="37" t="s">
        <v>91</v>
      </c>
      <c r="B13" s="37" t="s">
        <v>92</v>
      </c>
      <c r="C13" s="37" t="s">
        <v>88</v>
      </c>
      <c r="D13" s="37">
        <v>11</v>
      </c>
      <c r="E13" s="37">
        <v>15</v>
      </c>
      <c r="F13" s="37"/>
      <c r="G13" s="37">
        <f t="shared" si="3"/>
        <v>0</v>
      </c>
      <c r="H13" s="37">
        <f t="shared" si="4"/>
        <v>165</v>
      </c>
      <c r="I13" s="37">
        <f t="shared" si="6"/>
        <v>165</v>
      </c>
      <c r="J13" s="37">
        <v>105.92</v>
      </c>
    </row>
    <row r="14" spans="1:14" x14ac:dyDescent="0.2">
      <c r="A14" s="37" t="s">
        <v>93</v>
      </c>
      <c r="B14" s="37" t="s">
        <v>94</v>
      </c>
      <c r="C14" s="37" t="s">
        <v>88</v>
      </c>
      <c r="D14" s="37">
        <v>11</v>
      </c>
      <c r="E14" s="37">
        <v>15</v>
      </c>
      <c r="F14" s="37">
        <v>11</v>
      </c>
      <c r="G14" s="37">
        <f t="shared" si="3"/>
        <v>121</v>
      </c>
      <c r="H14" s="37">
        <f t="shared" si="4"/>
        <v>165</v>
      </c>
      <c r="I14" s="37">
        <f t="shared" si="6"/>
        <v>44</v>
      </c>
      <c r="J14" s="37">
        <v>42.98</v>
      </c>
    </row>
    <row r="15" spans="1:14" x14ac:dyDescent="0.2">
      <c r="A15" s="37" t="s">
        <v>95</v>
      </c>
      <c r="B15" s="37" t="s">
        <v>96</v>
      </c>
      <c r="C15" s="37" t="s">
        <v>88</v>
      </c>
      <c r="D15" s="37">
        <v>11</v>
      </c>
      <c r="E15" s="37">
        <v>15</v>
      </c>
      <c r="F15" s="37">
        <v>2</v>
      </c>
      <c r="G15" s="37">
        <f t="shared" si="3"/>
        <v>22</v>
      </c>
      <c r="H15" s="37">
        <f t="shared" si="4"/>
        <v>165</v>
      </c>
      <c r="I15" s="37">
        <f t="shared" si="6"/>
        <v>143</v>
      </c>
      <c r="J15" s="37">
        <v>140.37</v>
      </c>
    </row>
    <row r="16" spans="1:14" x14ac:dyDescent="0.2">
      <c r="A16" s="37" t="s">
        <v>97</v>
      </c>
      <c r="B16" s="37" t="s">
        <v>98</v>
      </c>
      <c r="C16" s="37" t="s">
        <v>88</v>
      </c>
      <c r="D16" s="37">
        <v>11</v>
      </c>
      <c r="E16" s="37">
        <v>15</v>
      </c>
      <c r="F16" s="37">
        <v>2</v>
      </c>
      <c r="G16" s="37">
        <f t="shared" si="3"/>
        <v>22</v>
      </c>
      <c r="H16" s="37">
        <f t="shared" si="4"/>
        <v>165</v>
      </c>
      <c r="I16" s="37">
        <f t="shared" si="6"/>
        <v>143</v>
      </c>
      <c r="J16" s="37">
        <v>109.43</v>
      </c>
    </row>
    <row r="17" spans="1:14" x14ac:dyDescent="0.2">
      <c r="A17" s="37" t="s">
        <v>99</v>
      </c>
      <c r="B17" s="37" t="s">
        <v>100</v>
      </c>
      <c r="C17" s="37" t="s">
        <v>88</v>
      </c>
      <c r="D17" s="37">
        <v>11</v>
      </c>
      <c r="E17" s="37">
        <v>15</v>
      </c>
      <c r="F17" s="37">
        <v>1</v>
      </c>
      <c r="G17" s="37">
        <f t="shared" si="3"/>
        <v>11</v>
      </c>
      <c r="H17" s="37">
        <f t="shared" si="4"/>
        <v>165</v>
      </c>
      <c r="I17" s="37">
        <f t="shared" si="6"/>
        <v>154</v>
      </c>
      <c r="J17" s="37">
        <v>125.37</v>
      </c>
    </row>
    <row r="18" spans="1:14" x14ac:dyDescent="0.2">
      <c r="A18" s="37" t="s">
        <v>101</v>
      </c>
      <c r="B18" s="37" t="s">
        <v>102</v>
      </c>
      <c r="C18" s="37" t="s">
        <v>88</v>
      </c>
      <c r="D18" s="37">
        <v>11</v>
      </c>
      <c r="E18" s="37">
        <v>15</v>
      </c>
      <c r="F18" s="37"/>
      <c r="G18" s="37">
        <f t="shared" si="3"/>
        <v>0</v>
      </c>
      <c r="H18" s="37">
        <f t="shared" si="4"/>
        <v>165</v>
      </c>
      <c r="I18" s="37">
        <f t="shared" si="6"/>
        <v>165</v>
      </c>
      <c r="J18" s="37">
        <v>161.47999999999999</v>
      </c>
    </row>
    <row r="19" spans="1:14" x14ac:dyDescent="0.2">
      <c r="A19" s="37" t="s">
        <v>103</v>
      </c>
      <c r="B19" s="37" t="s">
        <v>104</v>
      </c>
      <c r="C19" s="37" t="s">
        <v>88</v>
      </c>
      <c r="D19" s="37">
        <v>11</v>
      </c>
      <c r="E19" s="37">
        <v>15</v>
      </c>
      <c r="F19" s="37">
        <v>3</v>
      </c>
      <c r="G19" s="37">
        <f t="shared" si="3"/>
        <v>33</v>
      </c>
      <c r="H19" s="37">
        <f t="shared" si="4"/>
        <v>165</v>
      </c>
      <c r="I19" s="37">
        <f t="shared" si="6"/>
        <v>132</v>
      </c>
      <c r="J19" s="37">
        <v>129.97999999999999</v>
      </c>
    </row>
    <row r="20" spans="1:14" x14ac:dyDescent="0.2">
      <c r="A20" s="37" t="s">
        <v>105</v>
      </c>
      <c r="B20" s="37" t="s">
        <v>106</v>
      </c>
      <c r="C20" s="37" t="s">
        <v>88</v>
      </c>
      <c r="D20" s="37">
        <v>11</v>
      </c>
      <c r="E20" s="37">
        <v>15</v>
      </c>
      <c r="F20" s="37"/>
      <c r="G20" s="37">
        <f t="shared" si="3"/>
        <v>0</v>
      </c>
      <c r="H20" s="37">
        <f t="shared" si="4"/>
        <v>165</v>
      </c>
      <c r="I20" s="37">
        <f t="shared" si="6"/>
        <v>165</v>
      </c>
      <c r="J20" s="37">
        <v>98.61</v>
      </c>
    </row>
    <row r="21" spans="1:14" x14ac:dyDescent="0.2">
      <c r="A21" s="37" t="s">
        <v>107</v>
      </c>
      <c r="B21" s="37" t="s">
        <v>108</v>
      </c>
      <c r="C21" s="37" t="s">
        <v>88</v>
      </c>
      <c r="D21" s="37">
        <v>11</v>
      </c>
      <c r="E21" s="37">
        <v>15</v>
      </c>
      <c r="F21" s="37"/>
      <c r="G21" s="37">
        <f t="shared" si="3"/>
        <v>0</v>
      </c>
      <c r="H21" s="37">
        <f t="shared" si="4"/>
        <v>165</v>
      </c>
      <c r="I21" s="37">
        <f t="shared" si="6"/>
        <v>165</v>
      </c>
      <c r="J21" s="37">
        <v>98.61</v>
      </c>
    </row>
    <row r="22" spans="1:14" x14ac:dyDescent="0.2">
      <c r="A22" s="37" t="s">
        <v>109</v>
      </c>
      <c r="B22" s="37" t="s">
        <v>110</v>
      </c>
      <c r="C22" s="37" t="s">
        <v>88</v>
      </c>
      <c r="D22" s="37">
        <v>11</v>
      </c>
      <c r="E22" s="37">
        <v>15</v>
      </c>
      <c r="F22" s="37">
        <v>1</v>
      </c>
      <c r="G22" s="37">
        <f t="shared" si="3"/>
        <v>11</v>
      </c>
      <c r="H22" s="37">
        <f t="shared" si="4"/>
        <v>165</v>
      </c>
      <c r="I22" s="37">
        <f t="shared" si="6"/>
        <v>154</v>
      </c>
      <c r="J22" s="37">
        <v>151.76</v>
      </c>
    </row>
    <row r="23" spans="1:14" ht="18" x14ac:dyDescent="0.25">
      <c r="A23" s="38" t="s">
        <v>111</v>
      </c>
      <c r="B23" s="38"/>
      <c r="C23" s="38"/>
      <c r="D23" s="38">
        <f>SUM(D4:D22)</f>
        <v>195</v>
      </c>
      <c r="E23" s="38">
        <f t="shared" ref="E23:J23" si="7">SUM(E4:E22)</f>
        <v>327</v>
      </c>
      <c r="F23" s="38">
        <f t="shared" si="7"/>
        <v>45</v>
      </c>
      <c r="G23" s="38">
        <f t="shared" si="7"/>
        <v>445</v>
      </c>
      <c r="H23" s="38">
        <f t="shared" si="7"/>
        <v>3303</v>
      </c>
      <c r="I23" s="38">
        <f t="shared" si="7"/>
        <v>2858</v>
      </c>
      <c r="J23" s="38">
        <f t="shared" si="7"/>
        <v>2252.88</v>
      </c>
    </row>
    <row r="25" spans="1:14" x14ac:dyDescent="0.2">
      <c r="A25" s="138" t="s">
        <v>112</v>
      </c>
      <c r="B25" s="138"/>
      <c r="C25" s="138"/>
      <c r="D25" s="138"/>
      <c r="E25" s="138"/>
      <c r="F25" s="138"/>
      <c r="G25" s="138"/>
      <c r="H25" s="138"/>
      <c r="I25" s="138"/>
      <c r="J25" s="138"/>
    </row>
    <row r="26" spans="1:14" x14ac:dyDescent="0.2">
      <c r="A26" s="139"/>
      <c r="B26" s="139"/>
      <c r="C26" s="139"/>
      <c r="D26" s="139"/>
      <c r="E26" s="139"/>
      <c r="F26" s="139"/>
      <c r="G26" s="139"/>
      <c r="H26" s="139"/>
      <c r="I26" s="139"/>
      <c r="J26" s="139"/>
    </row>
    <row r="27" spans="1:14" ht="18" x14ac:dyDescent="0.2">
      <c r="A27" s="34" t="s">
        <v>61</v>
      </c>
      <c r="B27" s="34" t="s">
        <v>62</v>
      </c>
      <c r="C27" s="34" t="s">
        <v>63</v>
      </c>
      <c r="D27" s="34" t="s">
        <v>64</v>
      </c>
      <c r="E27" s="34" t="s">
        <v>65</v>
      </c>
      <c r="F27" s="34" t="s">
        <v>66</v>
      </c>
      <c r="G27" s="34" t="s">
        <v>67</v>
      </c>
      <c r="H27" s="34" t="s">
        <v>68</v>
      </c>
      <c r="I27" s="35" t="s">
        <v>69</v>
      </c>
      <c r="J27" s="35" t="s">
        <v>70</v>
      </c>
      <c r="K27" s="36"/>
      <c r="L27" s="36"/>
      <c r="M27" s="36"/>
      <c r="N27" s="36"/>
    </row>
    <row r="28" spans="1:14" x14ac:dyDescent="0.2">
      <c r="A28" s="37" t="s">
        <v>113</v>
      </c>
      <c r="B28" s="37" t="s">
        <v>114</v>
      </c>
      <c r="C28" s="37" t="s">
        <v>88</v>
      </c>
      <c r="D28" s="37">
        <v>11</v>
      </c>
      <c r="E28" s="37">
        <v>15</v>
      </c>
      <c r="F28" s="37"/>
      <c r="G28" s="37">
        <f>D28*F28</f>
        <v>0</v>
      </c>
      <c r="H28" s="37">
        <f>D28*E28</f>
        <v>165</v>
      </c>
      <c r="I28" s="37">
        <f>D28*E28-G28</f>
        <v>165</v>
      </c>
      <c r="J28" s="37">
        <v>136.06</v>
      </c>
    </row>
    <row r="29" spans="1:14" x14ac:dyDescent="0.2">
      <c r="A29" s="37" t="s">
        <v>78</v>
      </c>
      <c r="B29" s="37" t="s">
        <v>79</v>
      </c>
      <c r="C29" s="37" t="s">
        <v>88</v>
      </c>
      <c r="D29" s="37">
        <v>11</v>
      </c>
      <c r="E29" s="37">
        <v>15</v>
      </c>
      <c r="F29" s="37"/>
      <c r="G29" s="37">
        <f t="shared" ref="G29:G42" si="8">D29*F29</f>
        <v>0</v>
      </c>
      <c r="H29" s="37">
        <f t="shared" ref="H29:H42" si="9">D29*E29</f>
        <v>165</v>
      </c>
      <c r="I29" s="37">
        <f t="shared" ref="I29:I42" si="10">D29*E29-G29</f>
        <v>165</v>
      </c>
      <c r="J29" s="37">
        <v>182.72</v>
      </c>
    </row>
    <row r="30" spans="1:14" x14ac:dyDescent="0.2">
      <c r="A30" s="37" t="s">
        <v>115</v>
      </c>
      <c r="B30" s="37" t="s">
        <v>100</v>
      </c>
      <c r="C30" s="37" t="s">
        <v>88</v>
      </c>
      <c r="D30" s="37">
        <v>11</v>
      </c>
      <c r="E30" s="37">
        <v>15</v>
      </c>
      <c r="F30" s="37"/>
      <c r="G30" s="37">
        <f t="shared" si="8"/>
        <v>0</v>
      </c>
      <c r="H30" s="37">
        <f t="shared" si="9"/>
        <v>165</v>
      </c>
      <c r="I30" s="37">
        <f t="shared" si="10"/>
        <v>165</v>
      </c>
      <c r="J30" s="37">
        <v>132.87</v>
      </c>
    </row>
    <row r="31" spans="1:14" x14ac:dyDescent="0.2">
      <c r="A31" s="37" t="s">
        <v>116</v>
      </c>
      <c r="B31" s="37" t="s">
        <v>106</v>
      </c>
      <c r="C31" s="37" t="s">
        <v>88</v>
      </c>
      <c r="D31" s="37">
        <v>11</v>
      </c>
      <c r="E31" s="37">
        <v>15</v>
      </c>
      <c r="F31" s="37">
        <v>1</v>
      </c>
      <c r="G31" s="37">
        <f t="shared" si="8"/>
        <v>11</v>
      </c>
      <c r="H31" s="37">
        <f t="shared" si="9"/>
        <v>165</v>
      </c>
      <c r="I31" s="37">
        <f t="shared" si="10"/>
        <v>154</v>
      </c>
      <c r="J31" s="37">
        <v>111.28</v>
      </c>
    </row>
    <row r="32" spans="1:14" x14ac:dyDescent="0.2">
      <c r="A32" s="37" t="s">
        <v>117</v>
      </c>
      <c r="B32" s="37" t="s">
        <v>87</v>
      </c>
      <c r="C32" s="37" t="s">
        <v>88</v>
      </c>
      <c r="D32" s="37">
        <v>11</v>
      </c>
      <c r="E32" s="37">
        <v>15</v>
      </c>
      <c r="F32" s="37"/>
      <c r="G32" s="37">
        <f t="shared" si="8"/>
        <v>0</v>
      </c>
      <c r="H32" s="37">
        <f t="shared" si="9"/>
        <v>165</v>
      </c>
      <c r="I32" s="37">
        <f t="shared" si="10"/>
        <v>165</v>
      </c>
      <c r="J32" s="37">
        <v>169.07</v>
      </c>
    </row>
    <row r="33" spans="1:10" x14ac:dyDescent="0.2">
      <c r="A33" s="37" t="s">
        <v>89</v>
      </c>
      <c r="B33" s="37" t="s">
        <v>90</v>
      </c>
      <c r="C33" s="37" t="s">
        <v>88</v>
      </c>
      <c r="D33" s="37">
        <v>11</v>
      </c>
      <c r="E33" s="37">
        <v>15</v>
      </c>
      <c r="F33" s="37">
        <v>2</v>
      </c>
      <c r="G33" s="37">
        <f>D33*F33</f>
        <v>22</v>
      </c>
      <c r="H33" s="37">
        <f>D33*E33</f>
        <v>165</v>
      </c>
      <c r="I33" s="37">
        <f>D33*E33-G33</f>
        <v>143</v>
      </c>
      <c r="J33" s="37">
        <v>135.4</v>
      </c>
    </row>
    <row r="34" spans="1:10" x14ac:dyDescent="0.2">
      <c r="A34" s="37" t="s">
        <v>118</v>
      </c>
      <c r="B34" s="37" t="s">
        <v>119</v>
      </c>
      <c r="C34" s="37" t="s">
        <v>73</v>
      </c>
      <c r="D34" s="37">
        <v>9</v>
      </c>
      <c r="E34" s="37">
        <v>23</v>
      </c>
      <c r="F34" s="37"/>
      <c r="G34" s="37">
        <f t="shared" si="8"/>
        <v>0</v>
      </c>
      <c r="H34" s="37">
        <f t="shared" si="9"/>
        <v>207</v>
      </c>
      <c r="I34" s="37">
        <f t="shared" si="10"/>
        <v>207</v>
      </c>
      <c r="J34" s="37"/>
    </row>
    <row r="35" spans="1:10" x14ac:dyDescent="0.2">
      <c r="A35" s="37" t="s">
        <v>91</v>
      </c>
      <c r="B35" s="37" t="s">
        <v>92</v>
      </c>
      <c r="C35" s="37" t="s">
        <v>88</v>
      </c>
      <c r="D35" s="37">
        <v>11</v>
      </c>
      <c r="E35" s="37">
        <v>15</v>
      </c>
      <c r="F35" s="37"/>
      <c r="G35" s="37">
        <f t="shared" si="8"/>
        <v>0</v>
      </c>
      <c r="H35" s="37">
        <f t="shared" si="9"/>
        <v>165</v>
      </c>
      <c r="I35" s="37">
        <f t="shared" si="10"/>
        <v>165</v>
      </c>
      <c r="J35" s="37">
        <v>103.83</v>
      </c>
    </row>
    <row r="36" spans="1:10" x14ac:dyDescent="0.2">
      <c r="A36" s="37" t="s">
        <v>71</v>
      </c>
      <c r="B36" s="37" t="s">
        <v>72</v>
      </c>
      <c r="C36" s="37" t="s">
        <v>73</v>
      </c>
      <c r="D36" s="37">
        <v>9</v>
      </c>
      <c r="E36" s="37">
        <v>23</v>
      </c>
      <c r="F36" s="37">
        <v>2</v>
      </c>
      <c r="G36" s="37">
        <f t="shared" si="8"/>
        <v>18</v>
      </c>
      <c r="H36" s="37">
        <f t="shared" si="9"/>
        <v>207</v>
      </c>
      <c r="I36" s="37">
        <f>D36*E36-G36</f>
        <v>189</v>
      </c>
      <c r="J36" s="37">
        <v>166.86</v>
      </c>
    </row>
    <row r="37" spans="1:10" x14ac:dyDescent="0.2">
      <c r="A37" s="37" t="s">
        <v>120</v>
      </c>
      <c r="B37" s="37" t="s">
        <v>98</v>
      </c>
      <c r="C37" s="37" t="s">
        <v>88</v>
      </c>
      <c r="D37" s="37">
        <v>11</v>
      </c>
      <c r="E37" s="37">
        <v>15</v>
      </c>
      <c r="F37" s="37"/>
      <c r="G37" s="37">
        <f t="shared" si="8"/>
        <v>0</v>
      </c>
      <c r="H37" s="37">
        <f t="shared" si="9"/>
        <v>165</v>
      </c>
      <c r="I37" s="37">
        <f t="shared" si="10"/>
        <v>165</v>
      </c>
      <c r="J37" s="37">
        <v>130.62</v>
      </c>
    </row>
    <row r="38" spans="1:10" x14ac:dyDescent="0.2">
      <c r="A38" s="37" t="s">
        <v>121</v>
      </c>
      <c r="B38" s="37" t="s">
        <v>122</v>
      </c>
      <c r="C38" s="37" t="s">
        <v>88</v>
      </c>
      <c r="D38" s="37">
        <v>11</v>
      </c>
      <c r="E38" s="37">
        <v>15</v>
      </c>
      <c r="F38" s="37">
        <v>2</v>
      </c>
      <c r="G38" s="37">
        <f t="shared" si="8"/>
        <v>22</v>
      </c>
      <c r="H38" s="37">
        <f t="shared" si="9"/>
        <v>165</v>
      </c>
      <c r="I38" s="37">
        <f t="shared" si="10"/>
        <v>143</v>
      </c>
      <c r="J38" s="37">
        <v>105.5</v>
      </c>
    </row>
    <row r="39" spans="1:10" x14ac:dyDescent="0.2">
      <c r="A39" s="37" t="s">
        <v>76</v>
      </c>
      <c r="B39" s="37" t="s">
        <v>77</v>
      </c>
      <c r="C39" s="37" t="s">
        <v>88</v>
      </c>
      <c r="D39" s="37">
        <v>11</v>
      </c>
      <c r="E39" s="37">
        <v>15</v>
      </c>
      <c r="F39" s="37"/>
      <c r="G39" s="37">
        <f t="shared" si="8"/>
        <v>0</v>
      </c>
      <c r="H39" s="37">
        <f t="shared" si="9"/>
        <v>165</v>
      </c>
      <c r="I39" s="37">
        <f t="shared" si="10"/>
        <v>165</v>
      </c>
      <c r="J39" s="37">
        <v>156.54</v>
      </c>
    </row>
    <row r="40" spans="1:10" x14ac:dyDescent="0.2">
      <c r="A40" s="37" t="s">
        <v>82</v>
      </c>
      <c r="B40" s="37" t="s">
        <v>83</v>
      </c>
      <c r="C40" s="37" t="s">
        <v>73</v>
      </c>
      <c r="D40" s="37">
        <v>9</v>
      </c>
      <c r="E40" s="37">
        <v>23</v>
      </c>
      <c r="F40" s="37"/>
      <c r="G40" s="37">
        <f t="shared" si="8"/>
        <v>0</v>
      </c>
      <c r="H40" s="37">
        <f t="shared" si="9"/>
        <v>207</v>
      </c>
      <c r="I40" s="37">
        <f t="shared" si="10"/>
        <v>207</v>
      </c>
      <c r="J40" s="37">
        <v>113</v>
      </c>
    </row>
    <row r="41" spans="1:10" x14ac:dyDescent="0.2">
      <c r="A41" s="37" t="s">
        <v>103</v>
      </c>
      <c r="B41" s="37" t="s">
        <v>104</v>
      </c>
      <c r="C41" s="37" t="s">
        <v>88</v>
      </c>
      <c r="D41" s="37">
        <v>11</v>
      </c>
      <c r="E41" s="37">
        <v>15</v>
      </c>
      <c r="F41" s="37"/>
      <c r="G41" s="37">
        <f t="shared" si="8"/>
        <v>0</v>
      </c>
      <c r="H41" s="37">
        <f t="shared" si="9"/>
        <v>165</v>
      </c>
      <c r="I41" s="37">
        <f t="shared" si="10"/>
        <v>165</v>
      </c>
      <c r="J41" s="37">
        <v>132.44</v>
      </c>
    </row>
    <row r="42" spans="1:10" x14ac:dyDescent="0.2">
      <c r="A42" s="37" t="s">
        <v>109</v>
      </c>
      <c r="B42" s="37" t="s">
        <v>110</v>
      </c>
      <c r="C42" s="37" t="s">
        <v>73</v>
      </c>
      <c r="D42" s="37">
        <v>9</v>
      </c>
      <c r="E42" s="37">
        <v>23</v>
      </c>
      <c r="F42" s="37">
        <v>2</v>
      </c>
      <c r="G42" s="37">
        <f t="shared" si="8"/>
        <v>18</v>
      </c>
      <c r="H42" s="37">
        <f t="shared" si="9"/>
        <v>207</v>
      </c>
      <c r="I42" s="37">
        <f t="shared" si="10"/>
        <v>189</v>
      </c>
      <c r="J42" s="37">
        <v>148</v>
      </c>
    </row>
    <row r="43" spans="1:10" ht="18" x14ac:dyDescent="0.25">
      <c r="A43" s="38" t="s">
        <v>111</v>
      </c>
      <c r="B43" s="38"/>
      <c r="C43" s="38"/>
      <c r="D43" s="38">
        <f>SUM(D28:D42)</f>
        <v>157</v>
      </c>
      <c r="E43" s="38">
        <f t="shared" ref="E43:J43" si="11">SUM(E28:E42)</f>
        <v>257</v>
      </c>
      <c r="F43" s="38">
        <f t="shared" si="11"/>
        <v>9</v>
      </c>
      <c r="G43" s="38">
        <f t="shared" si="11"/>
        <v>91</v>
      </c>
      <c r="H43" s="38">
        <f t="shared" si="11"/>
        <v>2643</v>
      </c>
      <c r="I43" s="38">
        <f t="shared" si="11"/>
        <v>2552</v>
      </c>
      <c r="J43" s="38">
        <f t="shared" si="11"/>
        <v>1924.19</v>
      </c>
    </row>
    <row r="45" spans="1:10" x14ac:dyDescent="0.2">
      <c r="A45" s="138" t="s">
        <v>46</v>
      </c>
      <c r="B45" s="138"/>
      <c r="C45" s="138"/>
      <c r="D45" s="138"/>
      <c r="E45" s="138"/>
      <c r="F45" s="138"/>
      <c r="G45" s="138"/>
      <c r="H45" s="138"/>
      <c r="I45" s="138"/>
      <c r="J45" s="138"/>
    </row>
    <row r="46" spans="1:10" x14ac:dyDescent="0.2">
      <c r="A46" s="139"/>
      <c r="B46" s="139"/>
      <c r="C46" s="139"/>
      <c r="D46" s="139"/>
      <c r="E46" s="139"/>
      <c r="F46" s="139"/>
      <c r="G46" s="139"/>
      <c r="H46" s="139"/>
      <c r="I46" s="139"/>
      <c r="J46" s="139"/>
    </row>
    <row r="47" spans="1:10" ht="18" x14ac:dyDescent="0.2">
      <c r="A47" s="34" t="s">
        <v>61</v>
      </c>
      <c r="B47" s="34" t="s">
        <v>62</v>
      </c>
      <c r="C47" s="34" t="s">
        <v>63</v>
      </c>
      <c r="D47" s="34" t="s">
        <v>64</v>
      </c>
      <c r="E47" s="34" t="s">
        <v>65</v>
      </c>
      <c r="F47" s="34" t="s">
        <v>66</v>
      </c>
      <c r="G47" s="34" t="s">
        <v>67</v>
      </c>
      <c r="H47" s="34" t="s">
        <v>68</v>
      </c>
      <c r="I47" s="35" t="s">
        <v>123</v>
      </c>
      <c r="J47" s="35" t="s">
        <v>70</v>
      </c>
    </row>
    <row r="48" spans="1:10" x14ac:dyDescent="0.2">
      <c r="A48" s="37" t="s">
        <v>113</v>
      </c>
      <c r="B48" s="37" t="s">
        <v>114</v>
      </c>
      <c r="C48" s="37" t="s">
        <v>88</v>
      </c>
      <c r="D48" s="37">
        <v>11</v>
      </c>
      <c r="E48" s="37">
        <v>15</v>
      </c>
      <c r="F48" s="37"/>
      <c r="G48" s="37">
        <f t="shared" ref="G48:G65" si="12">D48*F48</f>
        <v>0</v>
      </c>
      <c r="H48" s="37">
        <f t="shared" ref="H48:H56" si="13">D48*E48</f>
        <v>165</v>
      </c>
      <c r="I48" s="37">
        <f t="shared" ref="I48:I56" si="14">H48-G48</f>
        <v>165</v>
      </c>
      <c r="J48" s="37">
        <v>138.84</v>
      </c>
    </row>
    <row r="49" spans="1:10" x14ac:dyDescent="0.2">
      <c r="A49" s="37" t="s">
        <v>78</v>
      </c>
      <c r="B49" s="37" t="s">
        <v>79</v>
      </c>
      <c r="C49" s="37" t="s">
        <v>88</v>
      </c>
      <c r="D49" s="37">
        <v>11</v>
      </c>
      <c r="E49" s="37">
        <v>15</v>
      </c>
      <c r="F49" s="37"/>
      <c r="G49" s="37">
        <f t="shared" si="12"/>
        <v>0</v>
      </c>
      <c r="H49" s="37">
        <f t="shared" si="13"/>
        <v>165</v>
      </c>
      <c r="I49" s="37">
        <f t="shared" si="14"/>
        <v>165</v>
      </c>
      <c r="J49" s="37">
        <v>141.22</v>
      </c>
    </row>
    <row r="50" spans="1:10" x14ac:dyDescent="0.2">
      <c r="A50" s="37" t="s">
        <v>115</v>
      </c>
      <c r="B50" s="37" t="s">
        <v>100</v>
      </c>
      <c r="C50" s="37" t="s">
        <v>88</v>
      </c>
      <c r="D50" s="37">
        <v>11</v>
      </c>
      <c r="E50" s="37">
        <v>15</v>
      </c>
      <c r="F50" s="37">
        <v>1</v>
      </c>
      <c r="G50" s="37">
        <f t="shared" si="12"/>
        <v>11</v>
      </c>
      <c r="H50" s="37">
        <f t="shared" si="13"/>
        <v>165</v>
      </c>
      <c r="I50" s="37">
        <f t="shared" si="14"/>
        <v>154</v>
      </c>
      <c r="J50" s="37">
        <v>67.62</v>
      </c>
    </row>
    <row r="51" spans="1:10" x14ac:dyDescent="0.2">
      <c r="A51" s="37" t="s">
        <v>116</v>
      </c>
      <c r="B51" s="37" t="s">
        <v>106</v>
      </c>
      <c r="C51" s="37" t="s">
        <v>88</v>
      </c>
      <c r="D51" s="37">
        <v>11</v>
      </c>
      <c r="E51" s="37">
        <v>15</v>
      </c>
      <c r="F51" s="37"/>
      <c r="G51" s="37">
        <f t="shared" si="12"/>
        <v>0</v>
      </c>
      <c r="H51" s="37">
        <f t="shared" si="13"/>
        <v>165</v>
      </c>
      <c r="I51" s="37">
        <f t="shared" si="14"/>
        <v>165</v>
      </c>
      <c r="J51" s="37">
        <v>123.45</v>
      </c>
    </row>
    <row r="52" spans="1:10" x14ac:dyDescent="0.2">
      <c r="A52" s="37" t="s">
        <v>117</v>
      </c>
      <c r="B52" s="37" t="s">
        <v>87</v>
      </c>
      <c r="C52" s="37" t="s">
        <v>88</v>
      </c>
      <c r="D52" s="37">
        <v>11</v>
      </c>
      <c r="E52" s="37">
        <v>15</v>
      </c>
      <c r="F52" s="37"/>
      <c r="G52" s="37">
        <f t="shared" si="12"/>
        <v>0</v>
      </c>
      <c r="H52" s="37">
        <f t="shared" si="13"/>
        <v>165</v>
      </c>
      <c r="I52" s="37">
        <f t="shared" si="14"/>
        <v>165</v>
      </c>
      <c r="J52" s="37">
        <v>173.67</v>
      </c>
    </row>
    <row r="53" spans="1:10" x14ac:dyDescent="0.2">
      <c r="A53" s="37" t="s">
        <v>124</v>
      </c>
      <c r="B53" s="39" t="s">
        <v>125</v>
      </c>
      <c r="C53" s="37" t="s">
        <v>88</v>
      </c>
      <c r="D53" s="37">
        <v>11</v>
      </c>
      <c r="E53" s="37">
        <v>15</v>
      </c>
      <c r="F53" s="37">
        <v>2</v>
      </c>
      <c r="G53" s="37">
        <f t="shared" si="12"/>
        <v>22</v>
      </c>
      <c r="H53" s="37">
        <f t="shared" si="13"/>
        <v>165</v>
      </c>
      <c r="I53" s="37">
        <f t="shared" si="14"/>
        <v>143</v>
      </c>
      <c r="J53" s="37"/>
    </row>
    <row r="54" spans="1:10" x14ac:dyDescent="0.2">
      <c r="A54" s="37" t="s">
        <v>84</v>
      </c>
      <c r="B54" s="37" t="s">
        <v>85</v>
      </c>
      <c r="C54" s="37" t="s">
        <v>73</v>
      </c>
      <c r="D54" s="37">
        <v>9</v>
      </c>
      <c r="E54" s="37">
        <v>23</v>
      </c>
      <c r="F54" s="37"/>
      <c r="G54" s="37">
        <f t="shared" si="12"/>
        <v>0</v>
      </c>
      <c r="H54" s="37">
        <f t="shared" si="13"/>
        <v>207</v>
      </c>
      <c r="I54" s="37">
        <f t="shared" si="14"/>
        <v>207</v>
      </c>
      <c r="J54" s="37">
        <v>91.4</v>
      </c>
    </row>
    <row r="55" spans="1:10" x14ac:dyDescent="0.2">
      <c r="A55" s="37" t="s">
        <v>95</v>
      </c>
      <c r="B55" s="39" t="s">
        <v>96</v>
      </c>
      <c r="C55" s="37" t="s">
        <v>88</v>
      </c>
      <c r="D55" s="37">
        <v>11</v>
      </c>
      <c r="E55" s="37">
        <v>15</v>
      </c>
      <c r="F55" s="37"/>
      <c r="G55" s="37">
        <f t="shared" si="12"/>
        <v>0</v>
      </c>
      <c r="H55" s="37">
        <f t="shared" si="13"/>
        <v>165</v>
      </c>
      <c r="I55" s="37">
        <f t="shared" si="14"/>
        <v>165</v>
      </c>
      <c r="J55" s="37">
        <v>172.47</v>
      </c>
    </row>
    <row r="56" spans="1:10" x14ac:dyDescent="0.2">
      <c r="A56" s="37" t="s">
        <v>101</v>
      </c>
      <c r="B56" s="37" t="s">
        <v>102</v>
      </c>
      <c r="C56" s="37" t="s">
        <v>88</v>
      </c>
      <c r="D56" s="37">
        <v>11</v>
      </c>
      <c r="E56" s="37">
        <v>15</v>
      </c>
      <c r="F56" s="37">
        <v>3</v>
      </c>
      <c r="G56" s="37">
        <f t="shared" si="12"/>
        <v>33</v>
      </c>
      <c r="H56" s="37">
        <f t="shared" si="13"/>
        <v>165</v>
      </c>
      <c r="I56" s="37">
        <f t="shared" si="14"/>
        <v>132</v>
      </c>
      <c r="J56" s="37">
        <v>133.01</v>
      </c>
    </row>
    <row r="57" spans="1:10" x14ac:dyDescent="0.2">
      <c r="A57" s="40" t="s">
        <v>82</v>
      </c>
      <c r="B57" s="37" t="s">
        <v>83</v>
      </c>
      <c r="C57" s="37" t="s">
        <v>73</v>
      </c>
      <c r="D57" s="37">
        <v>9</v>
      </c>
      <c r="E57" s="37">
        <v>23</v>
      </c>
      <c r="F57" s="37"/>
      <c r="G57" s="37">
        <f t="shared" si="12"/>
        <v>0</v>
      </c>
      <c r="H57" s="37"/>
      <c r="I57" s="37"/>
      <c r="J57" s="37"/>
    </row>
    <row r="58" spans="1:10" x14ac:dyDescent="0.2">
      <c r="A58" s="37" t="s">
        <v>118</v>
      </c>
      <c r="B58" s="37" t="s">
        <v>119</v>
      </c>
      <c r="C58" s="37" t="s">
        <v>73</v>
      </c>
      <c r="D58" s="37">
        <v>9</v>
      </c>
      <c r="E58" s="37">
        <v>23</v>
      </c>
      <c r="F58" s="37"/>
      <c r="G58" s="37">
        <f t="shared" si="12"/>
        <v>0</v>
      </c>
      <c r="H58" s="37">
        <f t="shared" ref="H58:H65" si="15">D58*E58</f>
        <v>207</v>
      </c>
      <c r="I58" s="37">
        <f t="shared" ref="I58:I65" si="16">H58-G58</f>
        <v>207</v>
      </c>
      <c r="J58" s="37">
        <v>36.880000000000003</v>
      </c>
    </row>
    <row r="59" spans="1:10" x14ac:dyDescent="0.2">
      <c r="A59" s="37" t="s">
        <v>71</v>
      </c>
      <c r="B59" s="37" t="s">
        <v>72</v>
      </c>
      <c r="C59" s="37" t="s">
        <v>73</v>
      </c>
      <c r="D59" s="37">
        <v>9</v>
      </c>
      <c r="E59" s="37">
        <v>23</v>
      </c>
      <c r="F59" s="37">
        <v>3</v>
      </c>
      <c r="G59" s="37">
        <f t="shared" si="12"/>
        <v>27</v>
      </c>
      <c r="H59" s="37">
        <f t="shared" si="15"/>
        <v>207</v>
      </c>
      <c r="I59" s="37">
        <f t="shared" si="16"/>
        <v>180</v>
      </c>
      <c r="J59" s="37">
        <v>145.58000000000001</v>
      </c>
    </row>
    <row r="60" spans="1:10" x14ac:dyDescent="0.2">
      <c r="A60" s="37" t="s">
        <v>91</v>
      </c>
      <c r="B60" s="37" t="s">
        <v>92</v>
      </c>
      <c r="C60" s="37" t="s">
        <v>88</v>
      </c>
      <c r="D60" s="37">
        <v>11</v>
      </c>
      <c r="E60" s="37">
        <v>15</v>
      </c>
      <c r="F60" s="37"/>
      <c r="G60" s="37">
        <f t="shared" si="12"/>
        <v>0</v>
      </c>
      <c r="H60" s="37">
        <f t="shared" si="15"/>
        <v>165</v>
      </c>
      <c r="I60" s="37">
        <f t="shared" si="16"/>
        <v>165</v>
      </c>
      <c r="J60" s="37">
        <v>123.82</v>
      </c>
    </row>
    <row r="61" spans="1:10" x14ac:dyDescent="0.2">
      <c r="A61" s="37" t="s">
        <v>120</v>
      </c>
      <c r="B61" s="37" t="s">
        <v>98</v>
      </c>
      <c r="C61" s="37" t="s">
        <v>88</v>
      </c>
      <c r="D61" s="37">
        <v>11</v>
      </c>
      <c r="E61" s="37">
        <v>15</v>
      </c>
      <c r="F61" s="37"/>
      <c r="G61" s="37">
        <f t="shared" si="12"/>
        <v>0</v>
      </c>
      <c r="H61" s="37">
        <f t="shared" si="15"/>
        <v>165</v>
      </c>
      <c r="I61" s="37">
        <f t="shared" si="16"/>
        <v>165</v>
      </c>
      <c r="J61" s="37">
        <v>99.35</v>
      </c>
    </row>
    <row r="62" spans="1:10" x14ac:dyDescent="0.2">
      <c r="A62" s="37" t="s">
        <v>121</v>
      </c>
      <c r="B62" s="37" t="s">
        <v>122</v>
      </c>
      <c r="C62" s="37" t="s">
        <v>88</v>
      </c>
      <c r="D62" s="37">
        <v>11</v>
      </c>
      <c r="E62" s="37">
        <v>15</v>
      </c>
      <c r="F62" s="37">
        <v>2</v>
      </c>
      <c r="G62" s="37">
        <f t="shared" si="12"/>
        <v>22</v>
      </c>
      <c r="H62" s="37">
        <f t="shared" si="15"/>
        <v>165</v>
      </c>
      <c r="I62" s="37">
        <f t="shared" si="16"/>
        <v>143</v>
      </c>
      <c r="J62" s="37">
        <v>107.69</v>
      </c>
    </row>
    <row r="63" spans="1:10" x14ac:dyDescent="0.2">
      <c r="A63" s="37" t="s">
        <v>103</v>
      </c>
      <c r="B63" s="37" t="s">
        <v>104</v>
      </c>
      <c r="C63" s="37" t="s">
        <v>88</v>
      </c>
      <c r="D63" s="37">
        <v>11</v>
      </c>
      <c r="E63" s="37">
        <v>15</v>
      </c>
      <c r="F63" s="37"/>
      <c r="G63" s="37">
        <f t="shared" si="12"/>
        <v>0</v>
      </c>
      <c r="H63" s="37">
        <f t="shared" si="15"/>
        <v>165</v>
      </c>
      <c r="I63" s="37">
        <f t="shared" si="16"/>
        <v>165</v>
      </c>
      <c r="J63" s="37">
        <v>175.21</v>
      </c>
    </row>
    <row r="64" spans="1:10" x14ac:dyDescent="0.2">
      <c r="A64" s="37" t="s">
        <v>76</v>
      </c>
      <c r="B64" s="41" t="s">
        <v>77</v>
      </c>
      <c r="C64" s="37" t="s">
        <v>88</v>
      </c>
      <c r="D64" s="37">
        <v>11</v>
      </c>
      <c r="E64" s="37">
        <v>15</v>
      </c>
      <c r="F64" s="37"/>
      <c r="G64" s="37">
        <f t="shared" si="12"/>
        <v>0</v>
      </c>
      <c r="H64" s="37">
        <f t="shared" si="15"/>
        <v>165</v>
      </c>
      <c r="I64" s="37">
        <f t="shared" si="16"/>
        <v>165</v>
      </c>
      <c r="J64" s="37">
        <v>194.39</v>
      </c>
    </row>
    <row r="65" spans="1:13" x14ac:dyDescent="0.2">
      <c r="A65" s="40" t="s">
        <v>109</v>
      </c>
      <c r="B65" s="41" t="s">
        <v>110</v>
      </c>
      <c r="C65" s="37" t="s">
        <v>73</v>
      </c>
      <c r="D65" s="37">
        <v>9</v>
      </c>
      <c r="E65" s="37">
        <v>23</v>
      </c>
      <c r="F65" s="37"/>
      <c r="G65" s="37">
        <f t="shared" si="12"/>
        <v>0</v>
      </c>
      <c r="H65" s="37">
        <f t="shared" si="15"/>
        <v>207</v>
      </c>
      <c r="I65" s="37">
        <f t="shared" si="16"/>
        <v>207</v>
      </c>
      <c r="J65" s="37"/>
    </row>
    <row r="66" spans="1:13" ht="18" x14ac:dyDescent="0.25">
      <c r="A66" s="38" t="s">
        <v>111</v>
      </c>
      <c r="B66" s="38"/>
      <c r="C66" s="38"/>
      <c r="D66" s="38">
        <f t="shared" ref="D66:I66" si="17">SUM(D48:D61)</f>
        <v>146</v>
      </c>
      <c r="E66" s="38">
        <f t="shared" si="17"/>
        <v>242</v>
      </c>
      <c r="F66" s="38">
        <f t="shared" si="17"/>
        <v>9</v>
      </c>
      <c r="G66" s="38">
        <f t="shared" si="17"/>
        <v>93</v>
      </c>
      <c r="H66" s="38">
        <f t="shared" si="17"/>
        <v>2271</v>
      </c>
      <c r="I66" s="38">
        <f t="shared" si="17"/>
        <v>2178</v>
      </c>
      <c r="J66" s="38">
        <f>SUM(J48:J65)</f>
        <v>1924.6</v>
      </c>
    </row>
    <row r="68" spans="1:13" ht="7.5" customHeight="1" x14ac:dyDescent="0.2"/>
    <row r="69" spans="1:13" ht="12" customHeight="1" x14ac:dyDescent="0.2">
      <c r="A69" s="140" t="s">
        <v>126</v>
      </c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</row>
    <row r="70" spans="1:13" ht="12" customHeight="1" x14ac:dyDescent="0.2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</row>
    <row r="71" spans="1:13" ht="36" x14ac:dyDescent="0.2">
      <c r="A71" s="48" t="s">
        <v>61</v>
      </c>
      <c r="B71" s="48" t="s">
        <v>62</v>
      </c>
      <c r="C71" s="51" t="s">
        <v>127</v>
      </c>
      <c r="D71" s="51" t="s">
        <v>173</v>
      </c>
      <c r="E71" s="48" t="s">
        <v>63</v>
      </c>
      <c r="F71" s="48" t="s">
        <v>64</v>
      </c>
      <c r="G71" s="48" t="s">
        <v>65</v>
      </c>
      <c r="H71" s="48" t="s">
        <v>66</v>
      </c>
      <c r="I71" s="48" t="s">
        <v>67</v>
      </c>
      <c r="J71" s="48" t="s">
        <v>68</v>
      </c>
      <c r="K71" s="49" t="s">
        <v>123</v>
      </c>
      <c r="L71" s="49" t="s">
        <v>70</v>
      </c>
      <c r="M71" s="52" t="s">
        <v>174</v>
      </c>
    </row>
    <row r="72" spans="1:13" ht="24" x14ac:dyDescent="0.2">
      <c r="A72" s="53" t="s">
        <v>113</v>
      </c>
      <c r="B72" s="53" t="s">
        <v>114</v>
      </c>
      <c r="C72" s="54">
        <v>0.7895833333333333</v>
      </c>
      <c r="D72" s="55" t="s">
        <v>176</v>
      </c>
      <c r="E72" s="53" t="s">
        <v>88</v>
      </c>
      <c r="F72" s="53">
        <v>11</v>
      </c>
      <c r="G72" s="53">
        <v>15</v>
      </c>
      <c r="H72" s="53">
        <v>0</v>
      </c>
      <c r="I72" s="53">
        <f t="shared" ref="I72:I94" si="18">F72*H72</f>
        <v>0</v>
      </c>
      <c r="J72" s="53">
        <f>F72*G72</f>
        <v>165</v>
      </c>
      <c r="K72" s="53">
        <f t="shared" ref="K72:K81" si="19">J72-I72</f>
        <v>165</v>
      </c>
      <c r="L72" s="36">
        <v>0</v>
      </c>
      <c r="M72" s="36" t="s">
        <v>172</v>
      </c>
    </row>
    <row r="73" spans="1:13" ht="24" x14ac:dyDescent="0.2">
      <c r="A73" s="53" t="s">
        <v>78</v>
      </c>
      <c r="B73" s="53" t="s">
        <v>79</v>
      </c>
      <c r="C73" s="54">
        <v>0.21597222222222223</v>
      </c>
      <c r="D73" s="55" t="s">
        <v>176</v>
      </c>
      <c r="E73" s="53" t="s">
        <v>88</v>
      </c>
      <c r="F73" s="53">
        <v>11</v>
      </c>
      <c r="G73" s="53">
        <v>15</v>
      </c>
      <c r="H73" s="53">
        <v>3</v>
      </c>
      <c r="I73" s="53">
        <f t="shared" si="18"/>
        <v>33</v>
      </c>
      <c r="J73" s="53">
        <f t="shared" ref="J73:J94" si="20">F73*G73</f>
        <v>165</v>
      </c>
      <c r="K73" s="53">
        <f t="shared" si="19"/>
        <v>132</v>
      </c>
      <c r="L73" s="53">
        <v>124.1</v>
      </c>
      <c r="M73" s="53"/>
    </row>
    <row r="74" spans="1:13" ht="24" x14ac:dyDescent="0.2">
      <c r="A74" s="53" t="s">
        <v>115</v>
      </c>
      <c r="B74" s="53" t="s">
        <v>100</v>
      </c>
      <c r="C74" s="54">
        <v>0.56805555555555554</v>
      </c>
      <c r="D74" s="55" t="s">
        <v>176</v>
      </c>
      <c r="E74" s="53" t="s">
        <v>88</v>
      </c>
      <c r="F74" s="53">
        <v>11</v>
      </c>
      <c r="G74" s="53">
        <v>15</v>
      </c>
      <c r="H74" s="53">
        <v>3</v>
      </c>
      <c r="I74" s="53">
        <f t="shared" si="18"/>
        <v>33</v>
      </c>
      <c r="J74" s="53">
        <f t="shared" si="20"/>
        <v>165</v>
      </c>
      <c r="K74" s="53">
        <f t="shared" si="19"/>
        <v>132</v>
      </c>
      <c r="L74" s="53">
        <v>109.71</v>
      </c>
      <c r="M74" s="53"/>
    </row>
    <row r="75" spans="1:13" ht="24" x14ac:dyDescent="0.2">
      <c r="A75" s="53" t="s">
        <v>116</v>
      </c>
      <c r="B75" s="53" t="s">
        <v>106</v>
      </c>
      <c r="C75" s="54">
        <v>0.47708333333333336</v>
      </c>
      <c r="D75" s="55" t="s">
        <v>176</v>
      </c>
      <c r="E75" s="53" t="s">
        <v>88</v>
      </c>
      <c r="F75" s="53">
        <v>11</v>
      </c>
      <c r="G75" s="53">
        <v>15</v>
      </c>
      <c r="H75" s="53">
        <v>0</v>
      </c>
      <c r="I75" s="53">
        <f t="shared" si="18"/>
        <v>0</v>
      </c>
      <c r="J75" s="53">
        <f t="shared" si="20"/>
        <v>165</v>
      </c>
      <c r="K75" s="53">
        <f t="shared" si="19"/>
        <v>165</v>
      </c>
      <c r="L75" s="53">
        <v>124.33</v>
      </c>
      <c r="M75" s="53"/>
    </row>
    <row r="76" spans="1:13" ht="42" customHeight="1" x14ac:dyDescent="0.2">
      <c r="A76" s="58" t="s">
        <v>117</v>
      </c>
      <c r="B76" s="58" t="s">
        <v>87</v>
      </c>
      <c r="C76" s="59">
        <v>0.6430555555555556</v>
      </c>
      <c r="D76" s="60" t="s">
        <v>177</v>
      </c>
      <c r="E76" s="53" t="s">
        <v>88</v>
      </c>
      <c r="F76" s="53">
        <v>11</v>
      </c>
      <c r="G76" s="53">
        <v>15</v>
      </c>
      <c r="H76" s="53">
        <v>0</v>
      </c>
      <c r="I76" s="53">
        <f t="shared" si="18"/>
        <v>0</v>
      </c>
      <c r="J76" s="53">
        <f t="shared" si="20"/>
        <v>165</v>
      </c>
      <c r="K76" s="53">
        <f t="shared" si="19"/>
        <v>165</v>
      </c>
      <c r="L76" s="53">
        <v>155.82</v>
      </c>
      <c r="M76" s="53"/>
    </row>
    <row r="77" spans="1:13" ht="24" x14ac:dyDescent="0.2">
      <c r="A77" s="53" t="s">
        <v>124</v>
      </c>
      <c r="B77" s="56" t="s">
        <v>125</v>
      </c>
      <c r="C77" s="57">
        <v>0.78125</v>
      </c>
      <c r="D77" s="55" t="s">
        <v>176</v>
      </c>
      <c r="E77" s="53" t="s">
        <v>88</v>
      </c>
      <c r="F77" s="53">
        <v>11</v>
      </c>
      <c r="G77" s="53">
        <v>15</v>
      </c>
      <c r="H77" s="53">
        <v>0</v>
      </c>
      <c r="I77" s="53">
        <f t="shared" si="18"/>
        <v>0</v>
      </c>
      <c r="J77" s="53">
        <f t="shared" si="20"/>
        <v>165</v>
      </c>
      <c r="K77" s="53">
        <f t="shared" si="19"/>
        <v>165</v>
      </c>
      <c r="L77" s="53">
        <v>33.590000000000003</v>
      </c>
      <c r="M77" s="53"/>
    </row>
    <row r="78" spans="1:13" ht="24" x14ac:dyDescent="0.2">
      <c r="A78" s="53" t="s">
        <v>84</v>
      </c>
      <c r="B78" s="53" t="s">
        <v>85</v>
      </c>
      <c r="C78" s="54">
        <v>0.61736111111111114</v>
      </c>
      <c r="D78" s="55" t="s">
        <v>176</v>
      </c>
      <c r="E78" s="53" t="s">
        <v>73</v>
      </c>
      <c r="F78" s="53">
        <v>9</v>
      </c>
      <c r="G78" s="53">
        <v>22</v>
      </c>
      <c r="H78" s="53">
        <v>1</v>
      </c>
      <c r="I78" s="53">
        <f t="shared" si="18"/>
        <v>9</v>
      </c>
      <c r="J78" s="53">
        <f t="shared" si="20"/>
        <v>198</v>
      </c>
      <c r="K78" s="53">
        <f t="shared" si="19"/>
        <v>189</v>
      </c>
      <c r="L78" s="53">
        <v>160.74</v>
      </c>
      <c r="M78" s="53"/>
    </row>
    <row r="79" spans="1:13" ht="24" x14ac:dyDescent="0.2">
      <c r="A79" s="53" t="s">
        <v>95</v>
      </c>
      <c r="B79" s="56" t="s">
        <v>96</v>
      </c>
      <c r="C79" s="56" t="s">
        <v>175</v>
      </c>
      <c r="D79" s="55" t="s">
        <v>176</v>
      </c>
      <c r="E79" s="53" t="s">
        <v>73</v>
      </c>
      <c r="F79" s="53">
        <v>9</v>
      </c>
      <c r="G79" s="53">
        <v>22</v>
      </c>
      <c r="H79" s="53">
        <v>0</v>
      </c>
      <c r="I79" s="53">
        <f t="shared" si="18"/>
        <v>0</v>
      </c>
      <c r="J79" s="53">
        <f t="shared" si="20"/>
        <v>198</v>
      </c>
      <c r="K79" s="53">
        <f t="shared" si="19"/>
        <v>198</v>
      </c>
      <c r="L79" s="53">
        <v>161.94</v>
      </c>
      <c r="M79" s="53"/>
    </row>
    <row r="80" spans="1:13" ht="29.25" customHeight="1" x14ac:dyDescent="0.2">
      <c r="A80" s="58" t="s">
        <v>101</v>
      </c>
      <c r="B80" s="58" t="s">
        <v>102</v>
      </c>
      <c r="C80" s="59">
        <v>7.9861111111111105E-2</v>
      </c>
      <c r="D80" s="60" t="s">
        <v>178</v>
      </c>
      <c r="E80" s="53" t="s">
        <v>88</v>
      </c>
      <c r="F80" s="53">
        <v>11</v>
      </c>
      <c r="G80" s="53">
        <v>15</v>
      </c>
      <c r="H80" s="53">
        <v>4</v>
      </c>
      <c r="I80" s="53">
        <f t="shared" si="18"/>
        <v>44</v>
      </c>
      <c r="J80" s="53">
        <f t="shared" si="20"/>
        <v>165</v>
      </c>
      <c r="K80" s="53">
        <f t="shared" si="19"/>
        <v>121</v>
      </c>
      <c r="L80" s="53">
        <v>139.01</v>
      </c>
      <c r="M80" s="53"/>
    </row>
    <row r="81" spans="1:13" ht="24" x14ac:dyDescent="0.2">
      <c r="A81" s="53" t="s">
        <v>82</v>
      </c>
      <c r="B81" s="53" t="s">
        <v>83</v>
      </c>
      <c r="C81" s="54">
        <v>0.72222222222222221</v>
      </c>
      <c r="D81" s="55" t="s">
        <v>176</v>
      </c>
      <c r="E81" s="53" t="s">
        <v>73</v>
      </c>
      <c r="F81" s="53">
        <v>9</v>
      </c>
      <c r="G81" s="53">
        <v>22</v>
      </c>
      <c r="H81" s="53">
        <v>0</v>
      </c>
      <c r="I81" s="53">
        <f t="shared" si="18"/>
        <v>0</v>
      </c>
      <c r="J81" s="53">
        <f t="shared" si="20"/>
        <v>198</v>
      </c>
      <c r="K81" s="53">
        <f t="shared" si="19"/>
        <v>198</v>
      </c>
      <c r="L81" s="53">
        <v>99.73</v>
      </c>
      <c r="M81" s="53" t="s">
        <v>172</v>
      </c>
    </row>
    <row r="82" spans="1:13" ht="24" x14ac:dyDescent="0.2">
      <c r="A82" s="53" t="s">
        <v>118</v>
      </c>
      <c r="B82" s="53" t="s">
        <v>119</v>
      </c>
      <c r="C82" s="53" t="s">
        <v>175</v>
      </c>
      <c r="D82" s="55" t="s">
        <v>176</v>
      </c>
      <c r="E82" s="53" t="s">
        <v>73</v>
      </c>
      <c r="F82" s="53">
        <v>9</v>
      </c>
      <c r="G82" s="53">
        <v>22</v>
      </c>
      <c r="H82" s="53">
        <v>1</v>
      </c>
      <c r="I82" s="53">
        <f t="shared" si="18"/>
        <v>9</v>
      </c>
      <c r="J82" s="53">
        <f t="shared" si="20"/>
        <v>198</v>
      </c>
      <c r="K82" s="53">
        <f t="shared" ref="K82:K94" si="21">J82-I82</f>
        <v>189</v>
      </c>
      <c r="L82" s="53">
        <v>149.30000000000001</v>
      </c>
      <c r="M82" s="53"/>
    </row>
    <row r="83" spans="1:13" ht="42" customHeight="1" x14ac:dyDescent="0.2">
      <c r="A83" s="58" t="s">
        <v>71</v>
      </c>
      <c r="B83" s="58" t="s">
        <v>72</v>
      </c>
      <c r="C83" s="59">
        <v>0.35555555555555557</v>
      </c>
      <c r="D83" s="60" t="s">
        <v>177</v>
      </c>
      <c r="E83" s="53" t="s">
        <v>73</v>
      </c>
      <c r="F83" s="53">
        <v>9</v>
      </c>
      <c r="G83" s="53">
        <v>22</v>
      </c>
      <c r="H83" s="53">
        <v>4</v>
      </c>
      <c r="I83" s="53">
        <f t="shared" si="18"/>
        <v>36</v>
      </c>
      <c r="J83" s="53">
        <f t="shared" si="20"/>
        <v>198</v>
      </c>
      <c r="K83" s="53">
        <f t="shared" si="21"/>
        <v>162</v>
      </c>
      <c r="L83" s="53">
        <v>158.69</v>
      </c>
      <c r="M83" s="53"/>
    </row>
    <row r="84" spans="1:13" ht="24" x14ac:dyDescent="0.2">
      <c r="A84" s="53" t="s">
        <v>91</v>
      </c>
      <c r="B84" s="53" t="s">
        <v>92</v>
      </c>
      <c r="C84" s="54">
        <v>0.97569444444444442</v>
      </c>
      <c r="D84" s="55" t="s">
        <v>176</v>
      </c>
      <c r="E84" s="53" t="s">
        <v>88</v>
      </c>
      <c r="F84" s="53">
        <v>11</v>
      </c>
      <c r="G84" s="53">
        <v>15</v>
      </c>
      <c r="H84" s="53">
        <v>3</v>
      </c>
      <c r="I84" s="53">
        <f t="shared" si="18"/>
        <v>33</v>
      </c>
      <c r="J84" s="53">
        <f t="shared" si="20"/>
        <v>165</v>
      </c>
      <c r="K84" s="53">
        <f t="shared" si="21"/>
        <v>132</v>
      </c>
      <c r="L84" s="53">
        <v>92.72</v>
      </c>
      <c r="M84" s="53"/>
    </row>
    <row r="85" spans="1:13" ht="24" x14ac:dyDescent="0.2">
      <c r="A85" s="53" t="s">
        <v>120</v>
      </c>
      <c r="B85" s="53" t="s">
        <v>98</v>
      </c>
      <c r="C85" s="54">
        <v>0.91736111111111107</v>
      </c>
      <c r="D85" s="55" t="s">
        <v>176</v>
      </c>
      <c r="E85" s="53" t="s">
        <v>88</v>
      </c>
      <c r="F85" s="53">
        <v>11</v>
      </c>
      <c r="G85" s="53">
        <v>15</v>
      </c>
      <c r="H85" s="53">
        <v>0</v>
      </c>
      <c r="I85" s="53">
        <f t="shared" si="18"/>
        <v>0</v>
      </c>
      <c r="J85" s="53">
        <f t="shared" si="20"/>
        <v>165</v>
      </c>
      <c r="K85" s="53">
        <f t="shared" si="21"/>
        <v>165</v>
      </c>
      <c r="L85" s="53">
        <v>160.08000000000001</v>
      </c>
      <c r="M85" s="53"/>
    </row>
    <row r="86" spans="1:13" ht="43.5" customHeight="1" x14ac:dyDescent="0.2">
      <c r="A86" s="58" t="s">
        <v>121</v>
      </c>
      <c r="B86" s="58" t="s">
        <v>122</v>
      </c>
      <c r="C86" s="59">
        <v>0.68611111111111112</v>
      </c>
      <c r="D86" s="60" t="s">
        <v>178</v>
      </c>
      <c r="E86" s="53" t="s">
        <v>88</v>
      </c>
      <c r="F86" s="53">
        <v>11</v>
      </c>
      <c r="G86" s="53">
        <v>15</v>
      </c>
      <c r="H86" s="53">
        <v>0</v>
      </c>
      <c r="I86" s="53">
        <f t="shared" si="18"/>
        <v>0</v>
      </c>
      <c r="J86" s="53">
        <f t="shared" si="20"/>
        <v>165</v>
      </c>
      <c r="K86" s="53">
        <f t="shared" si="21"/>
        <v>165</v>
      </c>
      <c r="L86" s="53">
        <v>161.65</v>
      </c>
      <c r="M86" s="53"/>
    </row>
    <row r="87" spans="1:13" ht="24" x14ac:dyDescent="0.2">
      <c r="A87" s="53" t="s">
        <v>103</v>
      </c>
      <c r="B87" s="53" t="s">
        <v>104</v>
      </c>
      <c r="C87" s="54">
        <v>0.13125000000000001</v>
      </c>
      <c r="D87" s="55" t="s">
        <v>176</v>
      </c>
      <c r="E87" s="53" t="s">
        <v>88</v>
      </c>
      <c r="F87" s="53">
        <v>11</v>
      </c>
      <c r="G87" s="53">
        <v>15</v>
      </c>
      <c r="H87" s="53">
        <v>0</v>
      </c>
      <c r="I87" s="53">
        <f t="shared" si="18"/>
        <v>0</v>
      </c>
      <c r="J87" s="53">
        <f t="shared" si="20"/>
        <v>165</v>
      </c>
      <c r="K87" s="53">
        <f t="shared" si="21"/>
        <v>165</v>
      </c>
      <c r="L87" s="53">
        <v>139.18</v>
      </c>
      <c r="M87" s="53"/>
    </row>
    <row r="88" spans="1:13" ht="24" x14ac:dyDescent="0.2">
      <c r="A88" s="53" t="s">
        <v>76</v>
      </c>
      <c r="B88" s="53" t="s">
        <v>77</v>
      </c>
      <c r="C88" s="54">
        <v>0.96111111111111114</v>
      </c>
      <c r="D88" s="55" t="s">
        <v>176</v>
      </c>
      <c r="E88" s="53" t="s">
        <v>88</v>
      </c>
      <c r="F88" s="53">
        <v>11</v>
      </c>
      <c r="G88" s="53">
        <v>15</v>
      </c>
      <c r="H88" s="53">
        <v>5</v>
      </c>
      <c r="I88" s="53">
        <f t="shared" si="18"/>
        <v>55</v>
      </c>
      <c r="J88" s="53">
        <f t="shared" si="20"/>
        <v>165</v>
      </c>
      <c r="K88" s="53">
        <f t="shared" si="21"/>
        <v>110</v>
      </c>
      <c r="L88" s="53">
        <v>150.94999999999999</v>
      </c>
      <c r="M88" s="53"/>
    </row>
    <row r="89" spans="1:13" ht="24" x14ac:dyDescent="0.2">
      <c r="A89" s="53" t="s">
        <v>109</v>
      </c>
      <c r="B89" s="53" t="s">
        <v>110</v>
      </c>
      <c r="C89" s="53" t="s">
        <v>175</v>
      </c>
      <c r="D89" s="55" t="s">
        <v>176</v>
      </c>
      <c r="E89" s="53" t="s">
        <v>73</v>
      </c>
      <c r="F89" s="53">
        <v>9</v>
      </c>
      <c r="G89" s="53">
        <v>22</v>
      </c>
      <c r="H89" s="53">
        <v>2</v>
      </c>
      <c r="I89" s="53">
        <f t="shared" si="18"/>
        <v>18</v>
      </c>
      <c r="J89" s="53">
        <f t="shared" si="20"/>
        <v>198</v>
      </c>
      <c r="K89" s="53">
        <f t="shared" si="21"/>
        <v>180</v>
      </c>
      <c r="L89" s="53">
        <v>142.63</v>
      </c>
      <c r="M89" s="53"/>
    </row>
    <row r="90" spans="1:13" ht="24" x14ac:dyDescent="0.2">
      <c r="A90" s="53" t="s">
        <v>128</v>
      </c>
      <c r="B90" s="53" t="s">
        <v>129</v>
      </c>
      <c r="C90" s="54">
        <v>7.7083333333333337E-2</v>
      </c>
      <c r="D90" s="55" t="s">
        <v>176</v>
      </c>
      <c r="E90" s="53" t="s">
        <v>73</v>
      </c>
      <c r="F90" s="53">
        <v>9</v>
      </c>
      <c r="G90" s="53">
        <v>22</v>
      </c>
      <c r="H90" s="53">
        <v>0</v>
      </c>
      <c r="I90" s="53">
        <f t="shared" si="18"/>
        <v>0</v>
      </c>
      <c r="J90" s="53">
        <f t="shared" si="20"/>
        <v>198</v>
      </c>
      <c r="K90" s="53">
        <f t="shared" si="21"/>
        <v>198</v>
      </c>
      <c r="L90" s="53">
        <v>180.39</v>
      </c>
      <c r="M90" s="53"/>
    </row>
    <row r="91" spans="1:13" ht="24" x14ac:dyDescent="0.2">
      <c r="A91" s="53" t="s">
        <v>130</v>
      </c>
      <c r="B91" s="53" t="s">
        <v>131</v>
      </c>
      <c r="C91" s="54">
        <v>0.69444444444444442</v>
      </c>
      <c r="D91" s="55" t="s">
        <v>176</v>
      </c>
      <c r="E91" s="53" t="s">
        <v>73</v>
      </c>
      <c r="F91" s="53">
        <v>9</v>
      </c>
      <c r="G91" s="53">
        <v>22</v>
      </c>
      <c r="H91" s="53">
        <v>0</v>
      </c>
      <c r="I91" s="53">
        <f t="shared" si="18"/>
        <v>0</v>
      </c>
      <c r="J91" s="53">
        <f t="shared" si="20"/>
        <v>198</v>
      </c>
      <c r="K91" s="53">
        <f t="shared" si="21"/>
        <v>198</v>
      </c>
      <c r="L91" s="53">
        <v>170.43</v>
      </c>
      <c r="M91" s="53"/>
    </row>
    <row r="92" spans="1:13" ht="24" x14ac:dyDescent="0.2">
      <c r="A92" s="53" t="s">
        <v>132</v>
      </c>
      <c r="B92" s="53" t="s">
        <v>133</v>
      </c>
      <c r="C92" s="54">
        <v>0.59861111111111109</v>
      </c>
      <c r="D92" s="55" t="s">
        <v>176</v>
      </c>
      <c r="E92" s="53" t="s">
        <v>88</v>
      </c>
      <c r="F92" s="53">
        <v>11</v>
      </c>
      <c r="G92" s="53">
        <v>15</v>
      </c>
      <c r="H92" s="53">
        <v>0</v>
      </c>
      <c r="I92" s="53">
        <f t="shared" si="18"/>
        <v>0</v>
      </c>
      <c r="J92" s="53">
        <f t="shared" si="20"/>
        <v>165</v>
      </c>
      <c r="K92" s="53">
        <f t="shared" si="21"/>
        <v>165</v>
      </c>
      <c r="L92" s="53">
        <v>146.94</v>
      </c>
      <c r="M92" s="53"/>
    </row>
    <row r="93" spans="1:13" ht="24" x14ac:dyDescent="0.2">
      <c r="A93" s="53" t="s">
        <v>134</v>
      </c>
      <c r="B93" s="53" t="s">
        <v>135</v>
      </c>
      <c r="C93" s="54">
        <v>0.13194444444444445</v>
      </c>
      <c r="D93" s="55" t="s">
        <v>176</v>
      </c>
      <c r="E93" s="53" t="s">
        <v>88</v>
      </c>
      <c r="F93" s="53">
        <v>11</v>
      </c>
      <c r="G93" s="53">
        <v>15</v>
      </c>
      <c r="H93" s="53">
        <v>0</v>
      </c>
      <c r="I93" s="53">
        <f t="shared" si="18"/>
        <v>0</v>
      </c>
      <c r="J93" s="53">
        <f t="shared" si="20"/>
        <v>165</v>
      </c>
      <c r="K93" s="53">
        <f t="shared" si="21"/>
        <v>165</v>
      </c>
      <c r="L93" s="53">
        <v>115.44</v>
      </c>
      <c r="M93" s="53"/>
    </row>
    <row r="94" spans="1:13" ht="24" x14ac:dyDescent="0.2">
      <c r="A94" s="53" t="s">
        <v>136</v>
      </c>
      <c r="B94" s="53" t="s">
        <v>137</v>
      </c>
      <c r="C94" s="53" t="s">
        <v>175</v>
      </c>
      <c r="D94" s="55" t="s">
        <v>176</v>
      </c>
      <c r="E94" s="53" t="s">
        <v>73</v>
      </c>
      <c r="F94" s="53">
        <v>9</v>
      </c>
      <c r="G94" s="53">
        <v>22</v>
      </c>
      <c r="H94" s="53">
        <v>0</v>
      </c>
      <c r="I94" s="53">
        <f t="shared" si="18"/>
        <v>0</v>
      </c>
      <c r="J94" s="53">
        <f t="shared" si="20"/>
        <v>198</v>
      </c>
      <c r="K94" s="53">
        <f t="shared" si="21"/>
        <v>198</v>
      </c>
      <c r="L94" s="53">
        <v>168.73</v>
      </c>
      <c r="M94" s="53"/>
    </row>
    <row r="95" spans="1:13" ht="18" x14ac:dyDescent="0.25">
      <c r="A95" s="50" t="s">
        <v>111</v>
      </c>
      <c r="B95" s="50"/>
      <c r="C95" s="50"/>
      <c r="D95" s="50"/>
      <c r="E95" s="50"/>
      <c r="F95" s="50">
        <f>SUM(F72:F85)</f>
        <v>144</v>
      </c>
      <c r="G95" s="50">
        <f>SUM(G72:G85)</f>
        <v>245</v>
      </c>
      <c r="H95" s="50">
        <f>SUM(H72:H94)</f>
        <v>26</v>
      </c>
      <c r="I95" s="50">
        <f>SUM(I72:I85)</f>
        <v>197</v>
      </c>
      <c r="J95" s="50">
        <f>SUM(J72:J85)</f>
        <v>2475</v>
      </c>
      <c r="K95" s="50">
        <f>SUM(K72:K85)</f>
        <v>2278</v>
      </c>
      <c r="L95" s="50">
        <f>SUM(L72:L94)</f>
        <v>3046.1</v>
      </c>
      <c r="M95" s="50"/>
    </row>
  </sheetData>
  <mergeCells count="4">
    <mergeCell ref="A1:J2"/>
    <mergeCell ref="A25:J26"/>
    <mergeCell ref="A45:J46"/>
    <mergeCell ref="A69:M70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4F6E-F285-4E7D-AB9B-0171F34605B8}">
  <dimension ref="A1:H40"/>
  <sheetViews>
    <sheetView topLeftCell="A12" zoomScale="90" zoomScaleNormal="90" workbookViewId="0">
      <selection activeCell="A15" sqref="A15:G22"/>
    </sheetView>
  </sheetViews>
  <sheetFormatPr defaultRowHeight="12" x14ac:dyDescent="0.2"/>
  <cols>
    <col min="1" max="1" width="25.140625" style="23" bestFit="1" customWidth="1"/>
    <col min="2" max="2" width="26.42578125" style="23" bestFit="1" customWidth="1"/>
    <col min="3" max="3" width="17.5703125" style="23" bestFit="1" customWidth="1"/>
    <col min="4" max="4" width="29" style="23" customWidth="1"/>
    <col min="5" max="5" width="22.85546875" style="23" bestFit="1" customWidth="1"/>
    <col min="6" max="6" width="18.5703125" style="23" bestFit="1" customWidth="1"/>
    <col min="7" max="7" width="17.7109375" style="23" bestFit="1" customWidth="1"/>
    <col min="8" max="8" width="16.7109375" style="23" bestFit="1" customWidth="1"/>
  </cols>
  <sheetData>
    <row r="1" spans="1:8" ht="12.75" x14ac:dyDescent="0.2">
      <c r="A1" s="42" t="s">
        <v>138</v>
      </c>
      <c r="B1" s="42" t="s">
        <v>139</v>
      </c>
      <c r="C1" s="42" t="s">
        <v>140</v>
      </c>
      <c r="D1" s="42" t="s">
        <v>141</v>
      </c>
      <c r="E1" s="42" t="s">
        <v>142</v>
      </c>
      <c r="F1" s="42" t="s">
        <v>143</v>
      </c>
      <c r="G1" s="42" t="s">
        <v>144</v>
      </c>
      <c r="H1" s="42" t="s">
        <v>145</v>
      </c>
    </row>
    <row r="2" spans="1:8" ht="19.5" x14ac:dyDescent="0.35">
      <c r="A2" s="43" t="s">
        <v>6</v>
      </c>
      <c r="B2" s="43" t="s">
        <v>7</v>
      </c>
      <c r="C2" s="43" t="s">
        <v>1</v>
      </c>
      <c r="D2" s="43" t="s">
        <v>2</v>
      </c>
      <c r="E2" s="43" t="s">
        <v>3</v>
      </c>
      <c r="F2" s="43" t="s">
        <v>4</v>
      </c>
      <c r="G2" s="43" t="s">
        <v>5</v>
      </c>
      <c r="H2" s="43" t="s">
        <v>6</v>
      </c>
    </row>
    <row r="3" spans="1:8" ht="12.75" x14ac:dyDescent="0.25">
      <c r="A3" s="44" t="s">
        <v>146</v>
      </c>
      <c r="B3" s="44" t="s">
        <v>146</v>
      </c>
      <c r="C3" s="44" t="s">
        <v>147</v>
      </c>
      <c r="D3" s="44" t="s">
        <v>147</v>
      </c>
      <c r="E3" s="44" t="s">
        <v>146</v>
      </c>
      <c r="F3" s="44" t="s">
        <v>146</v>
      </c>
      <c r="G3" s="44" t="s">
        <v>147</v>
      </c>
      <c r="H3" s="44" t="s">
        <v>147</v>
      </c>
    </row>
    <row r="4" spans="1:8" ht="48" x14ac:dyDescent="0.2">
      <c r="A4" s="45" t="s">
        <v>148</v>
      </c>
      <c r="B4" s="45" t="s">
        <v>149</v>
      </c>
      <c r="C4" s="45"/>
      <c r="D4" s="45" t="s">
        <v>150</v>
      </c>
      <c r="E4" s="45" t="s">
        <v>151</v>
      </c>
      <c r="F4" s="45" t="s">
        <v>152</v>
      </c>
      <c r="G4" s="45" t="s">
        <v>152</v>
      </c>
      <c r="H4" s="45" t="s">
        <v>152</v>
      </c>
    </row>
    <row r="5" spans="1:8" x14ac:dyDescent="0.2">
      <c r="D5" s="46" t="s">
        <v>152</v>
      </c>
      <c r="E5" s="46" t="s">
        <v>152</v>
      </c>
      <c r="F5" s="46" t="s">
        <v>152</v>
      </c>
      <c r="G5" s="46" t="s">
        <v>152</v>
      </c>
      <c r="H5" s="46" t="s">
        <v>152</v>
      </c>
    </row>
    <row r="6" spans="1:8" x14ac:dyDescent="0.2">
      <c r="D6" s="46" t="s">
        <v>152</v>
      </c>
      <c r="E6" s="46" t="s">
        <v>152</v>
      </c>
      <c r="F6"/>
      <c r="G6"/>
      <c r="H6"/>
    </row>
    <row r="7" spans="1:8" ht="12.75" x14ac:dyDescent="0.2">
      <c r="A7" s="42" t="s">
        <v>153</v>
      </c>
      <c r="B7" s="42" t="s">
        <v>154</v>
      </c>
      <c r="C7" s="42" t="s">
        <v>155</v>
      </c>
      <c r="D7" s="42" t="s">
        <v>156</v>
      </c>
      <c r="E7" s="42" t="s">
        <v>157</v>
      </c>
      <c r="F7" s="42" t="s">
        <v>180</v>
      </c>
      <c r="G7" s="42" t="s">
        <v>181</v>
      </c>
      <c r="H7" s="42" t="s">
        <v>179</v>
      </c>
    </row>
    <row r="8" spans="1:8" ht="19.5" x14ac:dyDescent="0.35">
      <c r="A8" s="43" t="s">
        <v>158</v>
      </c>
      <c r="B8" s="43" t="s">
        <v>159</v>
      </c>
      <c r="C8" s="43" t="s">
        <v>160</v>
      </c>
      <c r="D8" s="43" t="s">
        <v>7</v>
      </c>
      <c r="E8" s="43" t="s">
        <v>1</v>
      </c>
      <c r="F8"/>
      <c r="G8"/>
      <c r="H8"/>
    </row>
    <row r="9" spans="1:8" ht="12.75" x14ac:dyDescent="0.25">
      <c r="A9" s="44" t="s">
        <v>146</v>
      </c>
      <c r="B9" s="44" t="s">
        <v>146</v>
      </c>
      <c r="C9" s="44" t="s">
        <v>147</v>
      </c>
      <c r="D9" s="44" t="s">
        <v>147</v>
      </c>
      <c r="E9" s="44" t="s">
        <v>146</v>
      </c>
      <c r="F9"/>
      <c r="G9"/>
      <c r="H9"/>
    </row>
    <row r="10" spans="1:8" ht="36" x14ac:dyDescent="0.2">
      <c r="A10" s="45"/>
      <c r="B10" s="45" t="s">
        <v>161</v>
      </c>
      <c r="C10" s="45" t="s">
        <v>162</v>
      </c>
      <c r="D10" s="45" t="s">
        <v>163</v>
      </c>
      <c r="E10" s="45"/>
      <c r="F10"/>
      <c r="G10"/>
      <c r="H10"/>
    </row>
    <row r="11" spans="1:8" ht="24" x14ac:dyDescent="0.2">
      <c r="B11" s="46" t="s">
        <v>164</v>
      </c>
      <c r="C11" s="46" t="s">
        <v>165</v>
      </c>
      <c r="D11" s="46"/>
      <c r="E11" s="46"/>
      <c r="F11" s="46"/>
      <c r="G11" s="46"/>
      <c r="H11" s="46"/>
    </row>
    <row r="12" spans="1:8" ht="36" x14ac:dyDescent="0.2">
      <c r="B12" s="46" t="s">
        <v>166</v>
      </c>
      <c r="D12" s="46"/>
      <c r="E12" s="46"/>
      <c r="F12" s="46"/>
      <c r="G12" s="46"/>
      <c r="H12" s="46"/>
    </row>
    <row r="13" spans="1:8" x14ac:dyDescent="0.2">
      <c r="D13" s="46"/>
      <c r="E13" s="46"/>
      <c r="F13" s="46"/>
      <c r="G13" s="46"/>
      <c r="H13" s="46"/>
    </row>
    <row r="14" spans="1:8" x14ac:dyDescent="0.2">
      <c r="D14" s="46"/>
      <c r="E14" s="46"/>
      <c r="F14" s="46"/>
      <c r="G14" s="46"/>
      <c r="H14" s="46"/>
    </row>
    <row r="15" spans="1:8" ht="14.25" x14ac:dyDescent="0.2">
      <c r="A15" s="71" t="s">
        <v>180</v>
      </c>
      <c r="B15" s="71" t="s">
        <v>181</v>
      </c>
      <c r="C15" s="71">
        <v>47034</v>
      </c>
      <c r="D15" s="71">
        <v>46304</v>
      </c>
      <c r="E15" s="71">
        <v>46670</v>
      </c>
      <c r="F15" s="71">
        <v>47037</v>
      </c>
      <c r="G15" s="71">
        <v>47038</v>
      </c>
      <c r="H15" s="46"/>
    </row>
    <row r="16" spans="1:8" ht="19.5" x14ac:dyDescent="0.35">
      <c r="A16" s="64" t="s">
        <v>185</v>
      </c>
      <c r="B16" s="64" t="s">
        <v>186</v>
      </c>
      <c r="C16" s="64" t="s">
        <v>158</v>
      </c>
      <c r="D16" s="64" t="s">
        <v>159</v>
      </c>
      <c r="E16" s="64" t="s">
        <v>160</v>
      </c>
      <c r="F16" s="64" t="s">
        <v>187</v>
      </c>
      <c r="G16" s="64" t="s">
        <v>1</v>
      </c>
      <c r="H16" s="46"/>
    </row>
    <row r="17" spans="1:8" ht="60" x14ac:dyDescent="0.35">
      <c r="A17" s="65" t="s">
        <v>188</v>
      </c>
      <c r="B17" s="68" t="s">
        <v>191</v>
      </c>
      <c r="C17" s="68" t="s">
        <v>189</v>
      </c>
      <c r="D17" s="63"/>
      <c r="E17" s="63"/>
      <c r="F17" s="63"/>
      <c r="G17" s="63"/>
      <c r="H17" s="46"/>
    </row>
    <row r="18" spans="1:8" ht="48" x14ac:dyDescent="0.2">
      <c r="A18" s="72" t="s">
        <v>189</v>
      </c>
      <c r="B18" s="69" t="s">
        <v>190</v>
      </c>
      <c r="C18" s="62"/>
      <c r="D18" s="62"/>
      <c r="E18" s="62"/>
      <c r="F18" s="62"/>
      <c r="G18" s="62"/>
      <c r="H18" s="46"/>
    </row>
    <row r="19" spans="1:8" ht="26.25" x14ac:dyDescent="0.35">
      <c r="A19" s="70" t="s">
        <v>190</v>
      </c>
      <c r="B19" s="63"/>
      <c r="C19" s="63"/>
      <c r="D19" s="63"/>
      <c r="E19" s="63"/>
      <c r="F19" s="63"/>
      <c r="G19" s="63"/>
      <c r="H19" s="46"/>
    </row>
    <row r="20" spans="1:8" ht="24" x14ac:dyDescent="0.2">
      <c r="A20" s="66" t="s">
        <v>182</v>
      </c>
      <c r="B20" s="62"/>
      <c r="C20" s="62"/>
      <c r="D20" s="62"/>
      <c r="E20" s="62"/>
      <c r="F20" s="62"/>
      <c r="G20" s="62"/>
      <c r="H20" s="46"/>
    </row>
    <row r="21" spans="1:8" ht="24" x14ac:dyDescent="0.2">
      <c r="A21" s="66" t="s">
        <v>183</v>
      </c>
      <c r="B21" s="61"/>
      <c r="C21" s="61"/>
      <c r="D21" s="61"/>
      <c r="E21" s="61"/>
      <c r="F21" s="61"/>
      <c r="G21" s="61"/>
      <c r="H21" s="46"/>
    </row>
    <row r="22" spans="1:8" ht="24" x14ac:dyDescent="0.2">
      <c r="A22" s="67" t="s">
        <v>184</v>
      </c>
      <c r="B22" s="62"/>
      <c r="C22" s="62"/>
      <c r="D22" s="62"/>
      <c r="E22" s="62"/>
      <c r="F22" s="62"/>
      <c r="G22" s="62"/>
      <c r="H22" s="46"/>
    </row>
    <row r="23" spans="1:8" x14ac:dyDescent="0.2">
      <c r="D23" s="46"/>
      <c r="E23" s="46"/>
      <c r="F23" s="46"/>
      <c r="G23" s="46"/>
      <c r="H23" s="46"/>
    </row>
    <row r="24" spans="1:8" x14ac:dyDescent="0.2">
      <c r="D24" s="46"/>
      <c r="E24" s="46"/>
      <c r="F24" s="46"/>
      <c r="G24" s="46"/>
      <c r="H24" s="46"/>
    </row>
    <row r="25" spans="1:8" x14ac:dyDescent="0.2">
      <c r="D25" s="46"/>
      <c r="E25" s="46"/>
      <c r="F25" s="46"/>
      <c r="G25" s="46"/>
      <c r="H25" s="46"/>
    </row>
    <row r="26" spans="1:8" x14ac:dyDescent="0.2">
      <c r="D26" s="46"/>
      <c r="E26" s="46"/>
      <c r="F26" s="46"/>
      <c r="G26" s="46"/>
      <c r="H26" s="46"/>
    </row>
    <row r="27" spans="1:8" x14ac:dyDescent="0.2">
      <c r="D27" s="46"/>
      <c r="E27" s="46"/>
      <c r="F27" s="46"/>
      <c r="G27" s="46"/>
      <c r="H27" s="46"/>
    </row>
    <row r="28" spans="1:8" x14ac:dyDescent="0.2">
      <c r="D28" s="46"/>
      <c r="E28" s="46"/>
      <c r="F28" s="46"/>
      <c r="G28" s="46"/>
      <c r="H28" s="46"/>
    </row>
    <row r="29" spans="1:8" x14ac:dyDescent="0.2">
      <c r="D29" s="46"/>
      <c r="E29" s="46"/>
      <c r="F29" s="46"/>
      <c r="G29" s="46"/>
      <c r="H29" s="46"/>
    </row>
    <row r="30" spans="1:8" x14ac:dyDescent="0.2">
      <c r="D30" s="46"/>
      <c r="E30" s="46"/>
      <c r="F30" s="46"/>
      <c r="G30" s="46"/>
      <c r="H30" s="46"/>
    </row>
    <row r="31" spans="1:8" x14ac:dyDescent="0.2">
      <c r="D31" s="46"/>
      <c r="E31" s="46"/>
      <c r="F31" s="46"/>
      <c r="G31" s="46"/>
      <c r="H31" s="46"/>
    </row>
    <row r="32" spans="1:8" x14ac:dyDescent="0.2">
      <c r="D32" s="46"/>
      <c r="E32" s="46"/>
      <c r="F32" s="46"/>
      <c r="G32" s="46"/>
      <c r="H32" s="46"/>
    </row>
    <row r="33" spans="4:8" x14ac:dyDescent="0.2">
      <c r="D33" s="46"/>
      <c r="E33" s="46"/>
      <c r="F33" s="46"/>
      <c r="G33" s="46"/>
      <c r="H33" s="46"/>
    </row>
    <row r="34" spans="4:8" x14ac:dyDescent="0.2">
      <c r="D34" s="46"/>
      <c r="E34" s="46"/>
      <c r="F34" s="46"/>
      <c r="G34" s="46"/>
      <c r="H34" s="46"/>
    </row>
    <row r="35" spans="4:8" x14ac:dyDescent="0.2">
      <c r="D35" s="46"/>
      <c r="E35" s="46"/>
      <c r="F35" s="46"/>
      <c r="G35" s="46"/>
      <c r="H35" s="46"/>
    </row>
    <row r="36" spans="4:8" x14ac:dyDescent="0.2">
      <c r="D36" s="46"/>
      <c r="E36" s="46"/>
      <c r="F36" s="46"/>
      <c r="G36" s="46"/>
      <c r="H36" s="46"/>
    </row>
    <row r="37" spans="4:8" x14ac:dyDescent="0.2">
      <c r="D37" s="46"/>
      <c r="E37" s="46"/>
      <c r="F37" s="46"/>
      <c r="G37" s="46"/>
      <c r="H37" s="46"/>
    </row>
    <row r="38" spans="4:8" x14ac:dyDescent="0.2">
      <c r="D38" s="46"/>
      <c r="E38" s="46"/>
      <c r="F38" s="46"/>
      <c r="G38" s="46"/>
      <c r="H38" s="46"/>
    </row>
    <row r="39" spans="4:8" x14ac:dyDescent="0.2">
      <c r="D39" s="46"/>
      <c r="E39" s="46"/>
      <c r="F39" s="46"/>
      <c r="G39" s="46"/>
      <c r="H39" s="46"/>
    </row>
    <row r="40" spans="4:8" x14ac:dyDescent="0.2">
      <c r="D40" s="46"/>
      <c r="E40" s="46"/>
      <c r="F40" s="46"/>
      <c r="G40" s="46"/>
      <c r="H40" s="46"/>
    </row>
  </sheetData>
  <phoneticPr fontId="27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7B390-0586-49B9-9002-AAE304A3E71A}">
  <dimension ref="A1:AE27"/>
  <sheetViews>
    <sheetView showGridLines="0" tabSelected="1" zoomScale="85" zoomScaleNormal="85" workbookViewId="0">
      <pane xSplit="7" ySplit="5" topLeftCell="H7" activePane="bottomRight" state="frozen"/>
      <selection pane="topRight" activeCell="G1" sqref="G1"/>
      <selection pane="bottomLeft" activeCell="A8" sqref="A8"/>
      <selection pane="bottomRight" activeCell="G14" sqref="G14"/>
    </sheetView>
  </sheetViews>
  <sheetFormatPr defaultRowHeight="12" x14ac:dyDescent="0.2"/>
  <cols>
    <col min="1" max="1" width="12.85546875" customWidth="1"/>
    <col min="2" max="2" width="15.28515625" bestFit="1" customWidth="1"/>
    <col min="3" max="3" width="42.28515625" customWidth="1"/>
    <col min="4" max="4" width="16.28515625" bestFit="1" customWidth="1"/>
    <col min="5" max="5" width="36.28515625" bestFit="1" customWidth="1"/>
    <col min="6" max="6" width="30.28515625" bestFit="1" customWidth="1"/>
    <col min="7" max="7" width="16.85546875" customWidth="1"/>
    <col min="8" max="16" width="12.28515625" bestFit="1" customWidth="1"/>
    <col min="17" max="18" width="11.85546875" bestFit="1" customWidth="1"/>
    <col min="19" max="25" width="12.28515625" hidden="1" customWidth="1"/>
    <col min="26" max="26" width="11.85546875" hidden="1" customWidth="1"/>
    <col min="27" max="27" width="11.5703125" hidden="1" customWidth="1"/>
    <col min="28" max="30" width="11.85546875" hidden="1" customWidth="1"/>
    <col min="31" max="31" width="9.140625" hidden="1" customWidth="1"/>
    <col min="32" max="32" width="9.140625" customWidth="1"/>
  </cols>
  <sheetData>
    <row r="1" spans="1:30" x14ac:dyDescent="0.2">
      <c r="A1" s="127" t="s">
        <v>285</v>
      </c>
      <c r="B1" s="127"/>
      <c r="C1" s="127"/>
      <c r="D1" s="127"/>
      <c r="E1" s="127"/>
      <c r="F1" s="127"/>
      <c r="G1" s="127"/>
      <c r="H1" s="126" t="s">
        <v>200</v>
      </c>
      <c r="I1" s="126"/>
      <c r="J1" s="126"/>
      <c r="K1" s="126"/>
      <c r="L1" s="126"/>
    </row>
    <row r="2" spans="1:30" x14ac:dyDescent="0.2">
      <c r="A2" s="127"/>
      <c r="B2" s="127"/>
      <c r="C2" s="127"/>
      <c r="D2" s="127"/>
      <c r="E2" s="127"/>
      <c r="F2" s="127"/>
      <c r="G2" s="127"/>
      <c r="H2" s="126"/>
      <c r="I2" s="126"/>
      <c r="J2" s="126"/>
      <c r="K2" s="126"/>
      <c r="L2" s="126"/>
    </row>
    <row r="3" spans="1:30" ht="12.75" thickBot="1" x14ac:dyDescent="0.25">
      <c r="A3" s="127"/>
      <c r="B3" s="127"/>
      <c r="C3" s="127"/>
      <c r="D3" s="127"/>
      <c r="E3" s="127"/>
      <c r="F3" s="127"/>
      <c r="G3" s="127"/>
      <c r="H3" s="126"/>
      <c r="I3" s="126"/>
      <c r="J3" s="126"/>
      <c r="K3" s="126"/>
      <c r="L3" s="126"/>
    </row>
    <row r="4" spans="1:30" x14ac:dyDescent="0.2">
      <c r="A4" s="128" t="s">
        <v>288</v>
      </c>
      <c r="B4" s="130" t="s">
        <v>220</v>
      </c>
      <c r="C4" s="130" t="s">
        <v>194</v>
      </c>
      <c r="D4" s="130" t="s">
        <v>193</v>
      </c>
      <c r="E4" s="130" t="s">
        <v>205</v>
      </c>
      <c r="F4" s="130" t="s">
        <v>192</v>
      </c>
      <c r="G4" s="130" t="s">
        <v>63</v>
      </c>
      <c r="H4" s="87" t="str">
        <f>UPPER(TEXT(H5,"DDD"))</f>
        <v>QUI</v>
      </c>
      <c r="I4" s="88" t="str">
        <f t="shared" ref="I4:AD4" si="0">UPPER(TEXT(I5,"DDD"))</f>
        <v>SEX</v>
      </c>
      <c r="J4" s="88" t="str">
        <f t="shared" si="0"/>
        <v>SÁB</v>
      </c>
      <c r="K4" s="88" t="str">
        <f t="shared" si="0"/>
        <v>DOM</v>
      </c>
      <c r="L4" s="88" t="str">
        <f t="shared" si="0"/>
        <v>SEG</v>
      </c>
      <c r="M4" s="88" t="str">
        <f t="shared" si="0"/>
        <v>TER</v>
      </c>
      <c r="N4" s="88" t="str">
        <f t="shared" si="0"/>
        <v>QUA</v>
      </c>
      <c r="O4" s="88" t="str">
        <f t="shared" si="0"/>
        <v>QUI</v>
      </c>
      <c r="P4" s="88" t="str">
        <f t="shared" si="0"/>
        <v>SEX</v>
      </c>
      <c r="Q4" s="88" t="str">
        <f t="shared" si="0"/>
        <v>SÁB</v>
      </c>
      <c r="R4" s="88" t="str">
        <f t="shared" si="0"/>
        <v>DOM</v>
      </c>
      <c r="S4" s="88" t="str">
        <f t="shared" si="0"/>
        <v>SEG</v>
      </c>
      <c r="T4" s="88" t="str">
        <f t="shared" si="0"/>
        <v>TER</v>
      </c>
      <c r="U4" s="88" t="str">
        <f t="shared" si="0"/>
        <v>QUA</v>
      </c>
      <c r="V4" s="88" t="str">
        <f t="shared" si="0"/>
        <v>QUI</v>
      </c>
      <c r="W4" s="88" t="str">
        <f t="shared" si="0"/>
        <v>SEX</v>
      </c>
      <c r="X4" s="88" t="str">
        <f t="shared" si="0"/>
        <v>SÁB</v>
      </c>
      <c r="Y4" s="88" t="str">
        <f t="shared" si="0"/>
        <v>DOM</v>
      </c>
      <c r="Z4" s="88" t="str">
        <f t="shared" si="0"/>
        <v>SEG</v>
      </c>
      <c r="AA4" s="88" t="str">
        <f t="shared" si="0"/>
        <v>TER</v>
      </c>
      <c r="AB4" s="88" t="str">
        <f t="shared" si="0"/>
        <v>QUA</v>
      </c>
      <c r="AC4" s="88" t="str">
        <f t="shared" si="0"/>
        <v>QUI</v>
      </c>
      <c r="AD4" s="89" t="str">
        <f t="shared" si="0"/>
        <v>SEX</v>
      </c>
    </row>
    <row r="5" spans="1:30" ht="14.25" customHeight="1" thickBot="1" x14ac:dyDescent="0.25">
      <c r="A5" s="129"/>
      <c r="B5" s="131"/>
      <c r="C5" s="131"/>
      <c r="D5" s="131"/>
      <c r="E5" s="131"/>
      <c r="F5" s="131"/>
      <c r="G5" s="131"/>
      <c r="H5" s="117">
        <v>46205</v>
      </c>
      <c r="I5" s="118">
        <f>H5+1</f>
        <v>46206</v>
      </c>
      <c r="J5" s="118">
        <f t="shared" ref="J5:L5" si="1">I5+1</f>
        <v>46207</v>
      </c>
      <c r="K5" s="123">
        <f t="shared" si="1"/>
        <v>46208</v>
      </c>
      <c r="L5" s="123">
        <f t="shared" si="1"/>
        <v>46209</v>
      </c>
      <c r="M5" s="123">
        <f>L5+1</f>
        <v>46210</v>
      </c>
      <c r="N5" s="123">
        <f>M5+1</f>
        <v>46211</v>
      </c>
      <c r="O5" s="123">
        <f>N5+1</f>
        <v>46212</v>
      </c>
      <c r="P5" s="123">
        <f t="shared" ref="P5:AD5" si="2">O5+1</f>
        <v>46213</v>
      </c>
      <c r="Q5" s="123">
        <f t="shared" si="2"/>
        <v>46214</v>
      </c>
      <c r="R5" s="123">
        <f t="shared" si="2"/>
        <v>46215</v>
      </c>
      <c r="S5" s="123">
        <f t="shared" si="2"/>
        <v>46216</v>
      </c>
      <c r="T5" s="123">
        <f t="shared" si="2"/>
        <v>46217</v>
      </c>
      <c r="U5" s="123">
        <f t="shared" si="2"/>
        <v>46218</v>
      </c>
      <c r="V5" s="123">
        <f t="shared" si="2"/>
        <v>46219</v>
      </c>
      <c r="W5" s="123">
        <f t="shared" si="2"/>
        <v>46220</v>
      </c>
      <c r="X5" s="123">
        <f t="shared" si="2"/>
        <v>46221</v>
      </c>
      <c r="Y5" s="123">
        <f t="shared" si="2"/>
        <v>46222</v>
      </c>
      <c r="Z5" s="123">
        <f t="shared" si="2"/>
        <v>46223</v>
      </c>
      <c r="AA5" s="123">
        <f t="shared" si="2"/>
        <v>46224</v>
      </c>
      <c r="AB5" s="123">
        <f t="shared" si="2"/>
        <v>46225</v>
      </c>
      <c r="AC5" s="123">
        <f t="shared" si="2"/>
        <v>46226</v>
      </c>
      <c r="AD5" s="124">
        <f t="shared" si="2"/>
        <v>46227</v>
      </c>
    </row>
    <row r="6" spans="1:30" ht="15" hidden="1" thickBot="1" x14ac:dyDescent="0.25">
      <c r="A6" s="93" t="s">
        <v>197</v>
      </c>
      <c r="B6" s="94"/>
      <c r="C6" s="94" t="s">
        <v>71</v>
      </c>
      <c r="D6" s="94" t="s">
        <v>72</v>
      </c>
      <c r="E6" s="94"/>
      <c r="F6" s="94" t="s">
        <v>195</v>
      </c>
      <c r="G6" s="94" t="s">
        <v>196</v>
      </c>
      <c r="H6" s="81" t="str">
        <f t="shared" ref="H6" si="3">IF(OR(TEXT(H$4,"DDD")="SÁB",TEXT(H$4,"DDD")="DOM"),"FOLGA","TRABALHA")</f>
        <v>TRABALHA</v>
      </c>
      <c r="I6" s="23" t="str">
        <f t="shared" ref="I6:X8" si="4">IF(OR(TEXT(I$4,"DDD")="SÁB",TEXT(I$4,"DDD")="DOM"),"FOLGA","TRABALHA")</f>
        <v>TRABALHA</v>
      </c>
      <c r="J6" s="23" t="str">
        <f t="shared" si="4"/>
        <v>FOLGA</v>
      </c>
      <c r="K6" s="23" t="str">
        <f t="shared" si="4"/>
        <v>FOLGA</v>
      </c>
      <c r="L6" s="23" t="str">
        <f t="shared" si="4"/>
        <v>TRABALHA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</row>
    <row r="7" spans="1:30" ht="14.25" x14ac:dyDescent="0.2">
      <c r="A7" s="95" t="s">
        <v>282</v>
      </c>
      <c r="B7" s="82" t="s">
        <v>222</v>
      </c>
      <c r="C7" s="83" t="s">
        <v>208</v>
      </c>
      <c r="D7" s="82" t="str">
        <f>_xlfn.XLOOKUP($C$7,Planilha2!A:A,Planilha2!B:B)</f>
        <v>CBOAVENTURA</v>
      </c>
      <c r="E7" s="83" t="str">
        <f>_xlfn.XLOOKUP(D7,Planilha2!B:B,Planilha2!D:D)</f>
        <v>clovis.boaventura@aguasdorio.com.br</v>
      </c>
      <c r="F7" s="82" t="s">
        <v>195</v>
      </c>
      <c r="G7" s="113" t="s">
        <v>196</v>
      </c>
      <c r="H7" s="79" t="str">
        <f>IF(OR(TEXT(H$4,"DDD")="SÁB",TEXT(H$4,"DDD")="DOM"),"FOLGA","TRABALHA")</f>
        <v>TRABALHA</v>
      </c>
      <c r="I7" s="80" t="str">
        <f t="shared" si="4"/>
        <v>TRABALHA</v>
      </c>
      <c r="J7" s="80" t="str">
        <f t="shared" si="4"/>
        <v>FOLGA</v>
      </c>
      <c r="K7" s="80" t="str">
        <f t="shared" si="4"/>
        <v>FOLGA</v>
      </c>
      <c r="L7" s="80" t="str">
        <f t="shared" si="4"/>
        <v>TRABALHA</v>
      </c>
      <c r="M7" s="80" t="str">
        <f t="shared" si="4"/>
        <v>TRABALHA</v>
      </c>
      <c r="N7" s="80" t="str">
        <f t="shared" si="4"/>
        <v>TRABALHA</v>
      </c>
      <c r="O7" s="80" t="str">
        <f t="shared" si="4"/>
        <v>TRABALHA</v>
      </c>
      <c r="P7" s="80" t="str">
        <f t="shared" si="4"/>
        <v>TRABALHA</v>
      </c>
      <c r="Q7" s="80" t="str">
        <f t="shared" si="4"/>
        <v>FOLGA</v>
      </c>
      <c r="R7" s="80" t="str">
        <f t="shared" si="4"/>
        <v>FOLGA</v>
      </c>
      <c r="S7" s="80" t="str">
        <f t="shared" si="4"/>
        <v>TRABALHA</v>
      </c>
      <c r="T7" s="80" t="str">
        <f t="shared" si="4"/>
        <v>TRABALHA</v>
      </c>
      <c r="U7" s="80" t="str">
        <f t="shared" si="4"/>
        <v>TRABALHA</v>
      </c>
      <c r="V7" s="80" t="str">
        <f t="shared" si="4"/>
        <v>TRABALHA</v>
      </c>
      <c r="W7" s="80" t="str">
        <f t="shared" si="4"/>
        <v>TRABALHA</v>
      </c>
      <c r="X7" s="80" t="str">
        <f t="shared" si="4"/>
        <v>FOLGA</v>
      </c>
      <c r="Y7" s="80" t="str">
        <f t="shared" ref="P7:AD15" si="5">IF(OR(TEXT(Y$4,"DDD")="SÁB",TEXT(Y$4,"DDD")="DOM"),"FOLGA","TRABALHA")</f>
        <v>FOLGA</v>
      </c>
      <c r="Z7" s="80" t="str">
        <f t="shared" si="5"/>
        <v>TRABALHA</v>
      </c>
      <c r="AA7" s="80" t="str">
        <f t="shared" si="5"/>
        <v>TRABALHA</v>
      </c>
      <c r="AB7" s="80" t="str">
        <f t="shared" si="5"/>
        <v>TRABALHA</v>
      </c>
      <c r="AC7" s="80" t="str">
        <f t="shared" si="5"/>
        <v>TRABALHA</v>
      </c>
      <c r="AD7" s="90" t="str">
        <f t="shared" si="5"/>
        <v>TRABALHA</v>
      </c>
    </row>
    <row r="8" spans="1:30" ht="14.25" x14ac:dyDescent="0.2">
      <c r="A8" s="95" t="s">
        <v>282</v>
      </c>
      <c r="B8" s="82" t="s">
        <v>222</v>
      </c>
      <c r="C8" s="83" t="s">
        <v>212</v>
      </c>
      <c r="D8" s="82" t="str">
        <f>_xlfn.XLOOKUP(C8,Planilha2!A:A,Planilha2!B:B)</f>
        <v>VBATISTA02</v>
      </c>
      <c r="E8" s="83" t="str">
        <f>_xlfn.XLOOKUP(D8,Planilha2!B:B,Planilha2!D:D)</f>
        <v>vagner.batista@aguasdorio.com.br</v>
      </c>
      <c r="F8" s="82" t="s">
        <v>195</v>
      </c>
      <c r="G8" s="113" t="s">
        <v>196</v>
      </c>
      <c r="H8" s="81" t="str">
        <f t="shared" ref="H8:W15" si="6">IF(OR(TEXT(H$4,"DDD")="SÁB",TEXT(H$4,"DDD")="DOM"),"FOLGA","TRABALHA")</f>
        <v>TRABALHA</v>
      </c>
      <c r="I8" s="23" t="str">
        <f t="shared" si="6"/>
        <v>TRABALHA</v>
      </c>
      <c r="J8" s="23" t="s">
        <v>287</v>
      </c>
      <c r="K8" s="23" t="str">
        <f t="shared" si="6"/>
        <v>FOLGA</v>
      </c>
      <c r="L8" s="23" t="str">
        <f t="shared" si="6"/>
        <v>TRABALHA</v>
      </c>
      <c r="M8" s="23" t="str">
        <f t="shared" si="6"/>
        <v>TRABALHA</v>
      </c>
      <c r="N8" s="23" t="str">
        <f t="shared" si="6"/>
        <v>TRABALHA</v>
      </c>
      <c r="O8" s="23" t="str">
        <f t="shared" si="6"/>
        <v>TRABALHA</v>
      </c>
      <c r="P8" s="23" t="str">
        <f t="shared" si="6"/>
        <v>TRABALHA</v>
      </c>
      <c r="Q8" s="23" t="str">
        <f t="shared" si="6"/>
        <v>FOLGA</v>
      </c>
      <c r="R8" s="23" t="str">
        <f t="shared" si="6"/>
        <v>FOLGA</v>
      </c>
      <c r="S8" s="23" t="str">
        <f t="shared" si="6"/>
        <v>TRABALHA</v>
      </c>
      <c r="T8" s="23" t="str">
        <f t="shared" si="6"/>
        <v>TRABALHA</v>
      </c>
      <c r="U8" s="23" t="str">
        <f t="shared" si="6"/>
        <v>TRABALHA</v>
      </c>
      <c r="V8" s="23" t="str">
        <f t="shared" si="6"/>
        <v>TRABALHA</v>
      </c>
      <c r="W8" s="23" t="str">
        <f t="shared" si="6"/>
        <v>TRABALHA</v>
      </c>
      <c r="X8" s="23" t="str">
        <f t="shared" si="4"/>
        <v>FOLGA</v>
      </c>
      <c r="Y8" s="23" t="str">
        <f t="shared" si="5"/>
        <v>FOLGA</v>
      </c>
      <c r="Z8" s="23" t="str">
        <f t="shared" si="5"/>
        <v>TRABALHA</v>
      </c>
      <c r="AA8" s="23" t="str">
        <f t="shared" si="5"/>
        <v>TRABALHA</v>
      </c>
      <c r="AB8" s="23" t="str">
        <f t="shared" si="5"/>
        <v>TRABALHA</v>
      </c>
      <c r="AC8" s="23" t="str">
        <f t="shared" si="5"/>
        <v>TRABALHA</v>
      </c>
      <c r="AD8" s="91" t="str">
        <f t="shared" si="5"/>
        <v>TRABALHA</v>
      </c>
    </row>
    <row r="9" spans="1:30" ht="14.25" x14ac:dyDescent="0.2">
      <c r="A9" s="95" t="s">
        <v>282</v>
      </c>
      <c r="B9" s="82" t="s">
        <v>222</v>
      </c>
      <c r="C9" s="83" t="s">
        <v>289</v>
      </c>
      <c r="D9" s="82" t="s">
        <v>175</v>
      </c>
      <c r="E9" s="83" t="s">
        <v>175</v>
      </c>
      <c r="F9" s="82" t="s">
        <v>195</v>
      </c>
      <c r="G9" s="113" t="s">
        <v>196</v>
      </c>
      <c r="H9" s="81" t="str">
        <f t="shared" si="6"/>
        <v>TRABALHA</v>
      </c>
      <c r="I9" s="23" t="str">
        <f t="shared" si="6"/>
        <v>TRABALHA</v>
      </c>
      <c r="J9" s="23" t="s">
        <v>287</v>
      </c>
      <c r="K9" s="23" t="str">
        <f t="shared" si="6"/>
        <v>FOLGA</v>
      </c>
      <c r="L9" s="23" t="str">
        <f t="shared" si="6"/>
        <v>TRABALHA</v>
      </c>
      <c r="M9" s="23" t="str">
        <f t="shared" si="6"/>
        <v>TRABALHA</v>
      </c>
      <c r="N9" s="23" t="str">
        <f t="shared" si="6"/>
        <v>TRABALHA</v>
      </c>
      <c r="O9" s="23" t="str">
        <f t="shared" si="6"/>
        <v>TRABALHA</v>
      </c>
      <c r="P9" s="23" t="str">
        <f t="shared" si="5"/>
        <v>TRABALHA</v>
      </c>
      <c r="Q9" s="23" t="str">
        <f t="shared" si="5"/>
        <v>FOLGA</v>
      </c>
      <c r="R9" s="23" t="str">
        <f t="shared" si="5"/>
        <v>FOLGA</v>
      </c>
      <c r="S9" s="23" t="str">
        <f t="shared" si="5"/>
        <v>TRABALHA</v>
      </c>
      <c r="T9" s="23" t="str">
        <f t="shared" si="5"/>
        <v>TRABALHA</v>
      </c>
      <c r="U9" s="23" t="str">
        <f t="shared" si="5"/>
        <v>TRABALHA</v>
      </c>
      <c r="V9" s="23" t="str">
        <f t="shared" si="5"/>
        <v>TRABALHA</v>
      </c>
      <c r="W9" s="23" t="str">
        <f t="shared" si="5"/>
        <v>TRABALHA</v>
      </c>
      <c r="X9" s="23" t="str">
        <f t="shared" si="5"/>
        <v>FOLGA</v>
      </c>
      <c r="Y9" s="23" t="str">
        <f t="shared" si="5"/>
        <v>FOLGA</v>
      </c>
      <c r="Z9" s="23" t="str">
        <f t="shared" si="5"/>
        <v>TRABALHA</v>
      </c>
      <c r="AA9" s="23" t="str">
        <f t="shared" si="5"/>
        <v>TRABALHA</v>
      </c>
      <c r="AB9" s="23" t="str">
        <f t="shared" si="5"/>
        <v>TRABALHA</v>
      </c>
      <c r="AC9" s="23" t="str">
        <f t="shared" si="5"/>
        <v>TRABALHA</v>
      </c>
      <c r="AD9" s="91" t="str">
        <f t="shared" si="5"/>
        <v>TRABALHA</v>
      </c>
    </row>
    <row r="10" spans="1:30" ht="14.25" x14ac:dyDescent="0.2">
      <c r="A10" s="95" t="s">
        <v>197</v>
      </c>
      <c r="B10" s="82" t="s">
        <v>222</v>
      </c>
      <c r="C10" s="83" t="s">
        <v>224</v>
      </c>
      <c r="D10" s="82" t="str">
        <f>_xlfn.XLOOKUP(C10,Planilha2!A:A,Planilha2!B:B)</f>
        <v>JSANTOS121</v>
      </c>
      <c r="E10" s="83" t="str">
        <f>_xlfn.XLOOKUP('ESCALA EQUIPES'!D10,Planilha2!B:B,Planilha2!D:D)</f>
        <v>jorge.dsantos@aguasdorio.com.br</v>
      </c>
      <c r="F10" s="82" t="s">
        <v>195</v>
      </c>
      <c r="G10" s="113" t="s">
        <v>196</v>
      </c>
      <c r="H10" s="81" t="str">
        <f t="shared" si="6"/>
        <v>TRABALHA</v>
      </c>
      <c r="I10" s="23" t="str">
        <f t="shared" si="6"/>
        <v>TRABALHA</v>
      </c>
      <c r="J10" s="23" t="str">
        <f t="shared" si="6"/>
        <v>FOLGA</v>
      </c>
      <c r="K10" s="23" t="str">
        <f t="shared" si="6"/>
        <v>FOLGA</v>
      </c>
      <c r="L10" s="23" t="str">
        <f t="shared" si="6"/>
        <v>TRABALHA</v>
      </c>
      <c r="M10" s="23" t="str">
        <f t="shared" si="6"/>
        <v>TRABALHA</v>
      </c>
      <c r="N10" s="23" t="str">
        <f t="shared" si="6"/>
        <v>TRABALHA</v>
      </c>
      <c r="O10" s="23" t="str">
        <f t="shared" si="6"/>
        <v>TRABALHA</v>
      </c>
      <c r="P10" s="23" t="str">
        <f t="shared" si="5"/>
        <v>TRABALHA</v>
      </c>
      <c r="Q10" s="23" t="str">
        <f t="shared" si="5"/>
        <v>FOLGA</v>
      </c>
      <c r="R10" s="23" t="str">
        <f t="shared" si="5"/>
        <v>FOLGA</v>
      </c>
      <c r="S10" s="23" t="str">
        <f t="shared" si="5"/>
        <v>TRABALHA</v>
      </c>
      <c r="T10" s="23" t="str">
        <f t="shared" si="5"/>
        <v>TRABALHA</v>
      </c>
      <c r="U10" s="23" t="str">
        <f t="shared" si="5"/>
        <v>TRABALHA</v>
      </c>
      <c r="V10" s="23" t="str">
        <f t="shared" si="5"/>
        <v>TRABALHA</v>
      </c>
      <c r="W10" s="23" t="str">
        <f t="shared" si="5"/>
        <v>TRABALHA</v>
      </c>
      <c r="X10" s="23" t="str">
        <f t="shared" si="5"/>
        <v>FOLGA</v>
      </c>
      <c r="Y10" s="23" t="str">
        <f t="shared" si="5"/>
        <v>FOLGA</v>
      </c>
      <c r="Z10" s="23" t="str">
        <f t="shared" si="5"/>
        <v>TRABALHA</v>
      </c>
      <c r="AA10" s="23" t="str">
        <f t="shared" si="5"/>
        <v>TRABALHA</v>
      </c>
      <c r="AB10" s="23" t="str">
        <f t="shared" si="5"/>
        <v>TRABALHA</v>
      </c>
      <c r="AC10" s="23" t="str">
        <f t="shared" si="5"/>
        <v>TRABALHA</v>
      </c>
      <c r="AD10" s="91" t="str">
        <f t="shared" si="5"/>
        <v>TRABALHA</v>
      </c>
    </row>
    <row r="11" spans="1:30" ht="14.25" x14ac:dyDescent="0.2">
      <c r="A11" s="95" t="s">
        <v>197</v>
      </c>
      <c r="B11" s="82" t="s">
        <v>222</v>
      </c>
      <c r="C11" s="83" t="s">
        <v>280</v>
      </c>
      <c r="D11" s="82"/>
      <c r="E11" s="82" t="s">
        <v>281</v>
      </c>
      <c r="F11" s="82" t="s">
        <v>215</v>
      </c>
      <c r="G11" s="113" t="s">
        <v>196</v>
      </c>
      <c r="H11" s="81" t="str">
        <f t="shared" si="6"/>
        <v>TRABALHA</v>
      </c>
      <c r="I11" s="23" t="str">
        <f t="shared" si="6"/>
        <v>TRABALHA</v>
      </c>
      <c r="J11" s="23" t="str">
        <f t="shared" si="6"/>
        <v>FOLGA</v>
      </c>
      <c r="K11" s="23" t="str">
        <f t="shared" si="6"/>
        <v>FOLGA</v>
      </c>
      <c r="L11" s="23" t="str">
        <f t="shared" si="6"/>
        <v>TRABALHA</v>
      </c>
      <c r="M11" s="23" t="str">
        <f t="shared" si="6"/>
        <v>TRABALHA</v>
      </c>
      <c r="N11" s="23" t="str">
        <f t="shared" si="6"/>
        <v>TRABALHA</v>
      </c>
      <c r="O11" s="23" t="str">
        <f t="shared" si="6"/>
        <v>TRABALHA</v>
      </c>
      <c r="P11" s="23" t="str">
        <f t="shared" si="5"/>
        <v>TRABALHA</v>
      </c>
      <c r="Q11" s="23" t="str">
        <f t="shared" si="5"/>
        <v>FOLGA</v>
      </c>
      <c r="R11" s="23" t="str">
        <f t="shared" si="5"/>
        <v>FOLGA</v>
      </c>
      <c r="S11" s="23" t="str">
        <f t="shared" si="5"/>
        <v>TRABALHA</v>
      </c>
      <c r="T11" s="23" t="str">
        <f t="shared" si="5"/>
        <v>TRABALHA</v>
      </c>
      <c r="U11" s="23" t="str">
        <f t="shared" si="5"/>
        <v>TRABALHA</v>
      </c>
      <c r="V11" s="23" t="str">
        <f t="shared" si="5"/>
        <v>TRABALHA</v>
      </c>
      <c r="W11" s="23" t="str">
        <f t="shared" si="5"/>
        <v>TRABALHA</v>
      </c>
      <c r="X11" s="23" t="str">
        <f t="shared" si="5"/>
        <v>FOLGA</v>
      </c>
      <c r="Y11" s="23" t="str">
        <f t="shared" si="5"/>
        <v>FOLGA</v>
      </c>
      <c r="Z11" s="23" t="str">
        <f t="shared" si="5"/>
        <v>TRABALHA</v>
      </c>
      <c r="AA11" s="23" t="str">
        <f t="shared" si="5"/>
        <v>TRABALHA</v>
      </c>
      <c r="AB11" s="23" t="str">
        <f t="shared" si="5"/>
        <v>TRABALHA</v>
      </c>
      <c r="AC11" s="23" t="str">
        <f t="shared" si="5"/>
        <v>TRABALHA</v>
      </c>
      <c r="AD11" s="91" t="str">
        <f t="shared" si="5"/>
        <v>TRABALHA</v>
      </c>
    </row>
    <row r="12" spans="1:30" ht="14.25" x14ac:dyDescent="0.2">
      <c r="A12" s="95" t="s">
        <v>283</v>
      </c>
      <c r="B12" s="82" t="s">
        <v>222</v>
      </c>
      <c r="C12" s="83" t="s">
        <v>214</v>
      </c>
      <c r="D12" s="82" t="str">
        <f>_xlfn.XLOOKUP(C12,Planilha2!A:A,Planilha2!B:B)</f>
        <v>VPIRES</v>
      </c>
      <c r="E12" s="83" t="str">
        <f>_xlfn.XLOOKUP(D12,Planilha2!B:B,Planilha2!D:D)</f>
        <v>valmir.pires@aguasdorio.com.br</v>
      </c>
      <c r="F12" s="82" t="s">
        <v>195</v>
      </c>
      <c r="G12" s="113" t="s">
        <v>196</v>
      </c>
      <c r="H12" s="81" t="str">
        <f t="shared" si="6"/>
        <v>TRABALHA</v>
      </c>
      <c r="I12" s="23" t="str">
        <f t="shared" si="6"/>
        <v>TRABALHA</v>
      </c>
      <c r="J12" s="23" t="s">
        <v>287</v>
      </c>
      <c r="K12" s="23" t="str">
        <f t="shared" si="6"/>
        <v>FOLGA</v>
      </c>
      <c r="L12" s="23" t="str">
        <f t="shared" si="6"/>
        <v>TRABALHA</v>
      </c>
      <c r="M12" s="23" t="str">
        <f t="shared" si="6"/>
        <v>TRABALHA</v>
      </c>
      <c r="N12" s="23" t="str">
        <f t="shared" si="6"/>
        <v>TRABALHA</v>
      </c>
      <c r="O12" s="23" t="str">
        <f t="shared" si="6"/>
        <v>TRABALHA</v>
      </c>
      <c r="P12" s="23" t="str">
        <f t="shared" si="5"/>
        <v>TRABALHA</v>
      </c>
      <c r="Q12" s="23" t="str">
        <f t="shared" si="5"/>
        <v>FOLGA</v>
      </c>
      <c r="R12" s="23" t="str">
        <f t="shared" si="5"/>
        <v>FOLGA</v>
      </c>
      <c r="S12" s="23" t="str">
        <f t="shared" si="5"/>
        <v>TRABALHA</v>
      </c>
      <c r="T12" s="23" t="str">
        <f t="shared" si="5"/>
        <v>TRABALHA</v>
      </c>
      <c r="U12" s="23" t="str">
        <f t="shared" si="5"/>
        <v>TRABALHA</v>
      </c>
      <c r="V12" s="23" t="str">
        <f t="shared" si="5"/>
        <v>TRABALHA</v>
      </c>
      <c r="W12" s="23" t="str">
        <f t="shared" si="5"/>
        <v>TRABALHA</v>
      </c>
      <c r="X12" s="23" t="str">
        <f t="shared" si="5"/>
        <v>FOLGA</v>
      </c>
      <c r="Y12" s="23" t="str">
        <f t="shared" si="5"/>
        <v>FOLGA</v>
      </c>
      <c r="Z12" s="23" t="str">
        <f t="shared" si="5"/>
        <v>TRABALHA</v>
      </c>
      <c r="AA12" s="23" t="str">
        <f t="shared" si="5"/>
        <v>TRABALHA</v>
      </c>
      <c r="AB12" s="23" t="str">
        <f t="shared" si="5"/>
        <v>TRABALHA</v>
      </c>
      <c r="AC12" s="23" t="str">
        <f t="shared" si="5"/>
        <v>TRABALHA</v>
      </c>
      <c r="AD12" s="91" t="str">
        <f t="shared" si="5"/>
        <v>TRABALHA</v>
      </c>
    </row>
    <row r="13" spans="1:30" ht="14.25" x14ac:dyDescent="0.2">
      <c r="A13" s="95" t="s">
        <v>283</v>
      </c>
      <c r="B13" s="82" t="s">
        <v>222</v>
      </c>
      <c r="C13" s="83" t="s">
        <v>213</v>
      </c>
      <c r="D13" s="82" t="str">
        <f>_xlfn.XLOOKUP(C13,Planilha2!A:A,Planilha2!B:B)</f>
        <v>AFERREIRA17</v>
      </c>
      <c r="E13" s="83" t="str">
        <f>_xlfn.XLOOKUP(D13,Planilha2!B:B,Planilha2!D:D)</f>
        <v>alexandre.jose@aguasdorio.com.br</v>
      </c>
      <c r="F13" s="82" t="s">
        <v>195</v>
      </c>
      <c r="G13" s="113" t="s">
        <v>196</v>
      </c>
      <c r="H13" s="81" t="str">
        <f t="shared" si="6"/>
        <v>TRABALHA</v>
      </c>
      <c r="I13" s="23" t="str">
        <f t="shared" si="6"/>
        <v>TRABALHA</v>
      </c>
      <c r="J13" s="23" t="str">
        <f t="shared" si="6"/>
        <v>FOLGA</v>
      </c>
      <c r="K13" s="23" t="str">
        <f t="shared" si="6"/>
        <v>FOLGA</v>
      </c>
      <c r="L13" s="23" t="str">
        <f t="shared" si="6"/>
        <v>TRABALHA</v>
      </c>
      <c r="M13" s="23" t="str">
        <f t="shared" si="6"/>
        <v>TRABALHA</v>
      </c>
      <c r="N13" s="23" t="str">
        <f t="shared" si="6"/>
        <v>TRABALHA</v>
      </c>
      <c r="O13" s="23" t="str">
        <f t="shared" si="6"/>
        <v>TRABALHA</v>
      </c>
      <c r="P13" s="23" t="str">
        <f t="shared" si="6"/>
        <v>TRABALHA</v>
      </c>
      <c r="Q13" s="23" t="str">
        <f t="shared" si="6"/>
        <v>FOLGA</v>
      </c>
      <c r="R13" s="23" t="str">
        <f t="shared" si="6"/>
        <v>FOLGA</v>
      </c>
      <c r="S13" s="23" t="str">
        <f t="shared" si="6"/>
        <v>TRABALHA</v>
      </c>
      <c r="T13" s="23" t="str">
        <f t="shared" si="6"/>
        <v>TRABALHA</v>
      </c>
      <c r="U13" s="23" t="str">
        <f t="shared" si="6"/>
        <v>TRABALHA</v>
      </c>
      <c r="V13" s="23" t="str">
        <f t="shared" si="6"/>
        <v>TRABALHA</v>
      </c>
      <c r="W13" s="23" t="str">
        <f t="shared" si="6"/>
        <v>TRABALHA</v>
      </c>
      <c r="X13" s="23" t="str">
        <f t="shared" si="5"/>
        <v>FOLGA</v>
      </c>
      <c r="Y13" s="23" t="str">
        <f t="shared" si="5"/>
        <v>FOLGA</v>
      </c>
      <c r="Z13" s="23" t="str">
        <f t="shared" si="5"/>
        <v>TRABALHA</v>
      </c>
      <c r="AA13" s="23" t="str">
        <f t="shared" si="5"/>
        <v>TRABALHA</v>
      </c>
      <c r="AB13" s="23" t="str">
        <f t="shared" si="5"/>
        <v>TRABALHA</v>
      </c>
      <c r="AC13" s="23" t="str">
        <f t="shared" si="5"/>
        <v>TRABALHA</v>
      </c>
      <c r="AD13" s="91" t="str">
        <f t="shared" si="5"/>
        <v>TRABALHA</v>
      </c>
    </row>
    <row r="14" spans="1:30" ht="14.25" x14ac:dyDescent="0.2">
      <c r="A14" s="105" t="s">
        <v>284</v>
      </c>
      <c r="B14" s="82" t="s">
        <v>222</v>
      </c>
      <c r="C14" s="107" t="s">
        <v>210</v>
      </c>
      <c r="D14" s="106" t="s">
        <v>240</v>
      </c>
      <c r="E14" s="107" t="s">
        <v>241</v>
      </c>
      <c r="F14" s="106" t="s">
        <v>231</v>
      </c>
      <c r="G14" s="116" t="s">
        <v>196</v>
      </c>
      <c r="H14" s="81" t="str">
        <f t="shared" si="6"/>
        <v>TRABALHA</v>
      </c>
      <c r="I14" s="23" t="str">
        <f t="shared" si="6"/>
        <v>TRABALHA</v>
      </c>
      <c r="J14" s="23" t="str">
        <f t="shared" si="6"/>
        <v>FOLGA</v>
      </c>
      <c r="K14" s="23" t="str">
        <f t="shared" si="6"/>
        <v>FOLGA</v>
      </c>
      <c r="L14" s="23" t="str">
        <f t="shared" si="6"/>
        <v>TRABALHA</v>
      </c>
      <c r="M14" s="23" t="str">
        <f t="shared" si="6"/>
        <v>TRABALHA</v>
      </c>
      <c r="N14" s="23" t="str">
        <f t="shared" si="6"/>
        <v>TRABALHA</v>
      </c>
      <c r="O14" s="23" t="str">
        <f t="shared" si="6"/>
        <v>TRABALHA</v>
      </c>
      <c r="P14" s="23" t="str">
        <f t="shared" si="5"/>
        <v>TRABALHA</v>
      </c>
      <c r="Q14" s="23" t="str">
        <f t="shared" si="5"/>
        <v>FOLGA</v>
      </c>
      <c r="R14" s="23" t="str">
        <f t="shared" si="5"/>
        <v>FOLGA</v>
      </c>
      <c r="S14" s="23" t="str">
        <f t="shared" si="5"/>
        <v>TRABALHA</v>
      </c>
      <c r="T14" s="23" t="str">
        <f t="shared" si="5"/>
        <v>TRABALHA</v>
      </c>
      <c r="U14" s="23" t="str">
        <f t="shared" si="5"/>
        <v>TRABALHA</v>
      </c>
      <c r="V14" s="23" t="str">
        <f t="shared" si="5"/>
        <v>TRABALHA</v>
      </c>
      <c r="W14" s="23" t="str">
        <f t="shared" si="5"/>
        <v>TRABALHA</v>
      </c>
      <c r="X14" s="23" t="str">
        <f t="shared" si="5"/>
        <v>FOLGA</v>
      </c>
      <c r="Y14" s="23" t="str">
        <f t="shared" si="5"/>
        <v>FOLGA</v>
      </c>
      <c r="Z14" s="23" t="str">
        <f t="shared" si="5"/>
        <v>TRABALHA</v>
      </c>
      <c r="AA14" s="23" t="str">
        <f t="shared" si="5"/>
        <v>TRABALHA</v>
      </c>
      <c r="AB14" s="23" t="str">
        <f t="shared" si="5"/>
        <v>TRABALHA</v>
      </c>
      <c r="AC14" s="23" t="str">
        <f t="shared" si="5"/>
        <v>TRABALHA</v>
      </c>
      <c r="AD14" s="91" t="str">
        <f t="shared" si="5"/>
        <v>TRABALHA</v>
      </c>
    </row>
    <row r="15" spans="1:30" ht="15" thickBot="1" x14ac:dyDescent="0.25">
      <c r="A15" s="96" t="s">
        <v>284</v>
      </c>
      <c r="B15" s="97" t="s">
        <v>222</v>
      </c>
      <c r="C15" s="98" t="s">
        <v>211</v>
      </c>
      <c r="D15" s="97" t="s">
        <v>242</v>
      </c>
      <c r="E15" s="98" t="s">
        <v>243</v>
      </c>
      <c r="F15" s="97" t="s">
        <v>229</v>
      </c>
      <c r="G15" s="114" t="s">
        <v>196</v>
      </c>
      <c r="H15" s="84" t="str">
        <f t="shared" si="6"/>
        <v>TRABALHA</v>
      </c>
      <c r="I15" s="85" t="str">
        <f t="shared" si="6"/>
        <v>TRABALHA</v>
      </c>
      <c r="J15" s="85" t="str">
        <f t="shared" si="6"/>
        <v>FOLGA</v>
      </c>
      <c r="K15" s="85" t="str">
        <f t="shared" si="6"/>
        <v>FOLGA</v>
      </c>
      <c r="L15" s="85" t="str">
        <f t="shared" si="6"/>
        <v>TRABALHA</v>
      </c>
      <c r="M15" s="85" t="str">
        <f t="shared" si="6"/>
        <v>TRABALHA</v>
      </c>
      <c r="N15" s="85" t="str">
        <f t="shared" si="6"/>
        <v>TRABALHA</v>
      </c>
      <c r="O15" s="85" t="str">
        <f t="shared" si="6"/>
        <v>TRABALHA</v>
      </c>
      <c r="P15" s="85" t="str">
        <f t="shared" si="5"/>
        <v>TRABALHA</v>
      </c>
      <c r="Q15" s="85" t="str">
        <f t="shared" si="5"/>
        <v>FOLGA</v>
      </c>
      <c r="R15" s="85" t="str">
        <f t="shared" si="5"/>
        <v>FOLGA</v>
      </c>
      <c r="S15" s="85" t="str">
        <f t="shared" si="5"/>
        <v>TRABALHA</v>
      </c>
      <c r="T15" s="85" t="str">
        <f t="shared" si="5"/>
        <v>TRABALHA</v>
      </c>
      <c r="U15" s="85" t="str">
        <f t="shared" si="5"/>
        <v>TRABALHA</v>
      </c>
      <c r="V15" s="85" t="str">
        <f t="shared" si="5"/>
        <v>TRABALHA</v>
      </c>
      <c r="W15" s="85" t="str">
        <f t="shared" si="5"/>
        <v>TRABALHA</v>
      </c>
      <c r="X15" s="85" t="str">
        <f t="shared" si="5"/>
        <v>FOLGA</v>
      </c>
      <c r="Y15" s="85" t="str">
        <f t="shared" si="5"/>
        <v>FOLGA</v>
      </c>
      <c r="Z15" s="85" t="str">
        <f t="shared" si="5"/>
        <v>TRABALHA</v>
      </c>
      <c r="AA15" s="85" t="str">
        <f t="shared" si="5"/>
        <v>TRABALHA</v>
      </c>
      <c r="AB15" s="85" t="str">
        <f t="shared" si="5"/>
        <v>TRABALHA</v>
      </c>
      <c r="AC15" s="85" t="str">
        <f t="shared" si="5"/>
        <v>TRABALHA</v>
      </c>
      <c r="AD15" s="92" t="str">
        <f t="shared" si="5"/>
        <v>TRABALHA</v>
      </c>
    </row>
    <row r="16" spans="1:30" ht="12.75" thickBot="1" x14ac:dyDescent="0.25"/>
    <row r="17" spans="1:30" ht="14.25" x14ac:dyDescent="0.2">
      <c r="A17" s="99" t="s">
        <v>206</v>
      </c>
      <c r="B17" s="100" t="s">
        <v>222</v>
      </c>
      <c r="C17" s="100" t="s">
        <v>216</v>
      </c>
      <c r="D17" s="100" t="str">
        <f>_xlfn.XLOOKUP(C17,Planilha2!A:A,Planilha2!B:B)</f>
        <v>AMACIEL1</v>
      </c>
      <c r="E17" s="100" t="str">
        <f>_xlfn.XLOOKUP(D17,Planilha2!B:B,Planilha2!D:D)</f>
        <v>andre.maciel@aguasdorio.com.br</v>
      </c>
      <c r="F17" s="100" t="s">
        <v>195</v>
      </c>
      <c r="G17" s="112" t="s">
        <v>198</v>
      </c>
      <c r="H17" s="79" t="str">
        <f>IF(MOD($H$5 - DATE(2025,10,1),4)&lt;2,"TRABALHA","FOLGA")</f>
        <v>FOLGA</v>
      </c>
      <c r="I17" s="80" t="str">
        <f t="shared" ref="I17:O17" si="7">IF(MOD(I5 - DATE(2025,10,1),4)&lt;2,"TRABALHA","FOLGA")</f>
        <v>FOLGA</v>
      </c>
      <c r="J17" s="80" t="str">
        <f t="shared" si="7"/>
        <v>TRABALHA</v>
      </c>
      <c r="K17" s="80" t="str">
        <f t="shared" si="7"/>
        <v>TRABALHA</v>
      </c>
      <c r="L17" s="80" t="str">
        <f t="shared" si="7"/>
        <v>FOLGA</v>
      </c>
      <c r="M17" s="80" t="str">
        <f t="shared" si="7"/>
        <v>FOLGA</v>
      </c>
      <c r="N17" s="80" t="str">
        <f t="shared" si="7"/>
        <v>TRABALHA</v>
      </c>
      <c r="O17" s="80" t="str">
        <f t="shared" si="7"/>
        <v>TRABALHA</v>
      </c>
      <c r="P17" s="80" t="str">
        <f t="shared" ref="P17:AD17" si="8">IF(MOD(P5 - DATE(2025,10,1),4)&lt;2,"TRABALHA","FOLGA")</f>
        <v>FOLGA</v>
      </c>
      <c r="Q17" s="80" t="str">
        <f t="shared" si="8"/>
        <v>FOLGA</v>
      </c>
      <c r="R17" s="80" t="str">
        <f t="shared" si="8"/>
        <v>TRABALHA</v>
      </c>
      <c r="S17" s="80" t="str">
        <f t="shared" si="8"/>
        <v>TRABALHA</v>
      </c>
      <c r="T17" s="80" t="str">
        <f t="shared" si="8"/>
        <v>FOLGA</v>
      </c>
      <c r="U17" s="80" t="str">
        <f t="shared" si="8"/>
        <v>FOLGA</v>
      </c>
      <c r="V17" s="80" t="str">
        <f t="shared" si="8"/>
        <v>TRABALHA</v>
      </c>
      <c r="W17" s="80" t="str">
        <f t="shared" si="8"/>
        <v>TRABALHA</v>
      </c>
      <c r="X17" s="80" t="str">
        <f t="shared" si="8"/>
        <v>FOLGA</v>
      </c>
      <c r="Y17" s="80" t="str">
        <f t="shared" si="8"/>
        <v>FOLGA</v>
      </c>
      <c r="Z17" s="80" t="str">
        <f t="shared" si="8"/>
        <v>TRABALHA</v>
      </c>
      <c r="AA17" s="80" t="str">
        <f t="shared" si="8"/>
        <v>TRABALHA</v>
      </c>
      <c r="AB17" s="80" t="str">
        <f t="shared" si="8"/>
        <v>FOLGA</v>
      </c>
      <c r="AC17" s="80" t="str">
        <f t="shared" si="8"/>
        <v>FOLGA</v>
      </c>
      <c r="AD17" s="90" t="str">
        <f t="shared" si="8"/>
        <v>TRABALHA</v>
      </c>
    </row>
    <row r="18" spans="1:30" ht="14.25" x14ac:dyDescent="0.2">
      <c r="A18" s="95" t="s">
        <v>197</v>
      </c>
      <c r="B18" s="83" t="s">
        <v>222</v>
      </c>
      <c r="C18" s="83" t="s">
        <v>223</v>
      </c>
      <c r="D18" s="82" t="s">
        <v>264</v>
      </c>
      <c r="E18" s="82" t="s">
        <v>265</v>
      </c>
      <c r="F18" s="83" t="s">
        <v>195</v>
      </c>
      <c r="G18" s="108" t="s">
        <v>198</v>
      </c>
      <c r="H18" s="81" t="str">
        <f t="shared" ref="H18:O18" si="9">IF(MOD(H5 - DATE(2025,10,1),4)&lt;2,"TRABALHA","FOLGA")</f>
        <v>FOLGA</v>
      </c>
      <c r="I18" s="23" t="str">
        <f t="shared" si="9"/>
        <v>FOLGA</v>
      </c>
      <c r="J18" s="23" t="str">
        <f t="shared" si="9"/>
        <v>TRABALHA</v>
      </c>
      <c r="K18" s="23" t="str">
        <f t="shared" si="9"/>
        <v>TRABALHA</v>
      </c>
      <c r="L18" s="23" t="str">
        <f t="shared" si="9"/>
        <v>FOLGA</v>
      </c>
      <c r="M18" s="23" t="str">
        <f t="shared" si="9"/>
        <v>FOLGA</v>
      </c>
      <c r="N18" s="23" t="str">
        <f t="shared" si="9"/>
        <v>TRABALHA</v>
      </c>
      <c r="O18" s="23" t="str">
        <f t="shared" si="9"/>
        <v>TRABALHA</v>
      </c>
      <c r="P18" s="23" t="str">
        <f t="shared" ref="P18:AD18" si="10">IF(MOD(P5 - DATE(2025,10,1),4)&lt;2,"TRABALHA","FOLGA")</f>
        <v>FOLGA</v>
      </c>
      <c r="Q18" s="23" t="str">
        <f t="shared" si="10"/>
        <v>FOLGA</v>
      </c>
      <c r="R18" s="23" t="str">
        <f t="shared" si="10"/>
        <v>TRABALHA</v>
      </c>
      <c r="S18" s="23" t="str">
        <f t="shared" si="10"/>
        <v>TRABALHA</v>
      </c>
      <c r="T18" s="23" t="str">
        <f t="shared" si="10"/>
        <v>FOLGA</v>
      </c>
      <c r="U18" s="23" t="str">
        <f t="shared" si="10"/>
        <v>FOLGA</v>
      </c>
      <c r="V18" s="23" t="str">
        <f t="shared" si="10"/>
        <v>TRABALHA</v>
      </c>
      <c r="W18" s="23" t="str">
        <f t="shared" si="10"/>
        <v>TRABALHA</v>
      </c>
      <c r="X18" s="23" t="str">
        <f t="shared" si="10"/>
        <v>FOLGA</v>
      </c>
      <c r="Y18" s="23" t="str">
        <f t="shared" si="10"/>
        <v>FOLGA</v>
      </c>
      <c r="Z18" s="23" t="str">
        <f t="shared" si="10"/>
        <v>TRABALHA</v>
      </c>
      <c r="AA18" s="23" t="str">
        <f t="shared" si="10"/>
        <v>TRABALHA</v>
      </c>
      <c r="AB18" s="23" t="str">
        <f t="shared" si="10"/>
        <v>FOLGA</v>
      </c>
      <c r="AC18" s="23" t="str">
        <f t="shared" si="10"/>
        <v>FOLGA</v>
      </c>
      <c r="AD18" s="91" t="str">
        <f t="shared" si="10"/>
        <v>TRABALHA</v>
      </c>
    </row>
    <row r="19" spans="1:30" ht="14.25" x14ac:dyDescent="0.2">
      <c r="A19" s="95" t="s">
        <v>207</v>
      </c>
      <c r="B19" s="82" t="s">
        <v>221</v>
      </c>
      <c r="C19" s="83" t="s">
        <v>209</v>
      </c>
      <c r="D19" s="82" t="s">
        <v>236</v>
      </c>
      <c r="E19" s="82" t="s">
        <v>238</v>
      </c>
      <c r="F19" s="83" t="s">
        <v>215</v>
      </c>
      <c r="G19" s="108" t="s">
        <v>198</v>
      </c>
      <c r="H19" s="81" t="str">
        <f>IF(MOD(H5 - DATE(2025,10,1),4)&lt;2,"TRABALHA","FOLGA")</f>
        <v>FOLGA</v>
      </c>
      <c r="I19" s="23" t="str">
        <f t="shared" ref="I19:N19" si="11">IF(MOD(I5 - DATE(2025,10,1),4)&lt;2,"TRABALHA","FOLGA")</f>
        <v>FOLGA</v>
      </c>
      <c r="J19" s="23" t="str">
        <f t="shared" si="11"/>
        <v>TRABALHA</v>
      </c>
      <c r="K19" s="23" t="str">
        <f t="shared" si="11"/>
        <v>TRABALHA</v>
      </c>
      <c r="L19" s="23" t="str">
        <f t="shared" si="11"/>
        <v>FOLGA</v>
      </c>
      <c r="M19" s="23" t="str">
        <f t="shared" si="11"/>
        <v>FOLGA</v>
      </c>
      <c r="N19" s="23" t="str">
        <f t="shared" si="11"/>
        <v>TRABALHA</v>
      </c>
      <c r="O19" s="23" t="str">
        <f t="shared" ref="O19:AD19" si="12">IF(MOD(O5 - DATE(2025,10,1),4)&lt;2,"TRABALHA","FOLGA")</f>
        <v>TRABALHA</v>
      </c>
      <c r="P19" s="23" t="str">
        <f t="shared" si="12"/>
        <v>FOLGA</v>
      </c>
      <c r="Q19" s="23" t="str">
        <f t="shared" si="12"/>
        <v>FOLGA</v>
      </c>
      <c r="R19" s="23" t="str">
        <f t="shared" si="12"/>
        <v>TRABALHA</v>
      </c>
      <c r="S19" s="23" t="str">
        <f t="shared" si="12"/>
        <v>TRABALHA</v>
      </c>
      <c r="T19" s="23" t="str">
        <f t="shared" si="12"/>
        <v>FOLGA</v>
      </c>
      <c r="U19" s="23" t="str">
        <f t="shared" si="12"/>
        <v>FOLGA</v>
      </c>
      <c r="V19" s="23" t="str">
        <f t="shared" si="12"/>
        <v>TRABALHA</v>
      </c>
      <c r="W19" s="23" t="str">
        <f t="shared" si="12"/>
        <v>TRABALHA</v>
      </c>
      <c r="X19" s="23" t="str">
        <f t="shared" si="12"/>
        <v>FOLGA</v>
      </c>
      <c r="Y19" s="23" t="str">
        <f t="shared" si="12"/>
        <v>FOLGA</v>
      </c>
      <c r="Z19" s="23" t="str">
        <f t="shared" si="12"/>
        <v>TRABALHA</v>
      </c>
      <c r="AA19" s="23" t="str">
        <f t="shared" si="12"/>
        <v>TRABALHA</v>
      </c>
      <c r="AB19" s="23" t="str">
        <f t="shared" si="12"/>
        <v>FOLGA</v>
      </c>
      <c r="AC19" s="23" t="str">
        <f t="shared" si="12"/>
        <v>FOLGA</v>
      </c>
      <c r="AD19" s="91" t="str">
        <f t="shared" si="12"/>
        <v>TRABALHA</v>
      </c>
    </row>
    <row r="20" spans="1:30" ht="15" thickBot="1" x14ac:dyDescent="0.25">
      <c r="A20" s="96" t="s">
        <v>207</v>
      </c>
      <c r="B20" s="97" t="s">
        <v>221</v>
      </c>
      <c r="C20" s="101" t="s">
        <v>219</v>
      </c>
      <c r="D20" s="97" t="str">
        <f>_xlfn.XLOOKUP(C20,Planilha2!A:A,Planilha2!B:B)</f>
        <v>DSOUZA15</v>
      </c>
      <c r="E20" s="97" t="str">
        <f>_xlfn.XLOOKUP(D20,Planilha2!B:B,Planilha2!D:D)</f>
        <v>diego.ssilva@aguasdorio.com.br</v>
      </c>
      <c r="F20" s="98" t="s">
        <v>195</v>
      </c>
      <c r="G20" s="115" t="s">
        <v>198</v>
      </c>
      <c r="H20" s="84" t="str">
        <f>IF(MOD(H5 - DATE(2025,10,1),4)&lt;2,"TRABALHA","FOLGA")</f>
        <v>FOLGA</v>
      </c>
      <c r="I20" s="85" t="str">
        <f t="shared" ref="I20:N20" si="13">IF(MOD(I5 - DATE(2025,10,1),4)&lt;2,"TRABALHA","FOLGA")</f>
        <v>FOLGA</v>
      </c>
      <c r="J20" s="85" t="str">
        <f t="shared" si="13"/>
        <v>TRABALHA</v>
      </c>
      <c r="K20" s="85" t="str">
        <f t="shared" si="13"/>
        <v>TRABALHA</v>
      </c>
      <c r="L20" s="85" t="str">
        <f t="shared" si="13"/>
        <v>FOLGA</v>
      </c>
      <c r="M20" s="85" t="str">
        <f t="shared" si="13"/>
        <v>FOLGA</v>
      </c>
      <c r="N20" s="85" t="str">
        <f t="shared" si="13"/>
        <v>TRABALHA</v>
      </c>
      <c r="O20" s="85" t="str">
        <f t="shared" ref="O20:AD20" si="14">IF(MOD(O5 - DATE(2025,10,1),4)&lt;2,"TRABALHA","FOLGA")</f>
        <v>TRABALHA</v>
      </c>
      <c r="P20" s="85" t="str">
        <f t="shared" si="14"/>
        <v>FOLGA</v>
      </c>
      <c r="Q20" s="85" t="str">
        <f t="shared" si="14"/>
        <v>FOLGA</v>
      </c>
      <c r="R20" s="85" t="str">
        <f t="shared" si="14"/>
        <v>TRABALHA</v>
      </c>
      <c r="S20" s="85" t="str">
        <f t="shared" si="14"/>
        <v>TRABALHA</v>
      </c>
      <c r="T20" s="85" t="str">
        <f t="shared" si="14"/>
        <v>FOLGA</v>
      </c>
      <c r="U20" s="85" t="str">
        <f t="shared" si="14"/>
        <v>FOLGA</v>
      </c>
      <c r="V20" s="85" t="str">
        <f t="shared" si="14"/>
        <v>TRABALHA</v>
      </c>
      <c r="W20" s="85" t="str">
        <f t="shared" si="14"/>
        <v>TRABALHA</v>
      </c>
      <c r="X20" s="85" t="str">
        <f t="shared" si="14"/>
        <v>FOLGA</v>
      </c>
      <c r="Y20" s="85" t="str">
        <f t="shared" si="14"/>
        <v>FOLGA</v>
      </c>
      <c r="Z20" s="85" t="str">
        <f t="shared" si="14"/>
        <v>TRABALHA</v>
      </c>
      <c r="AA20" s="85" t="str">
        <f t="shared" si="14"/>
        <v>TRABALHA</v>
      </c>
      <c r="AB20" s="85" t="str">
        <f t="shared" si="14"/>
        <v>FOLGA</v>
      </c>
      <c r="AC20" s="85" t="str">
        <f t="shared" si="14"/>
        <v>FOLGA</v>
      </c>
      <c r="AD20" s="92" t="str">
        <f t="shared" si="14"/>
        <v>TRABALHA</v>
      </c>
    </row>
    <row r="21" spans="1:30" ht="15" thickBot="1" x14ac:dyDescent="0.25">
      <c r="A21" s="31"/>
      <c r="B21" s="31"/>
      <c r="C21" s="31"/>
      <c r="D21" s="31"/>
      <c r="E21" s="31"/>
      <c r="F21" s="31"/>
      <c r="G21" s="31"/>
      <c r="H21" s="125"/>
      <c r="I21" s="125"/>
      <c r="J21" s="125"/>
      <c r="K21" s="125"/>
      <c r="L21" s="125"/>
    </row>
    <row r="22" spans="1:30" ht="18.95" customHeight="1" x14ac:dyDescent="0.2">
      <c r="A22" s="99" t="s">
        <v>206</v>
      </c>
      <c r="B22" s="100" t="s">
        <v>222</v>
      </c>
      <c r="C22" s="102" t="s">
        <v>225</v>
      </c>
      <c r="D22" s="100" t="str">
        <f>_xlfn.XLOOKUP(C22,Planilha2!A:A,Planilha2!B:B)</f>
        <v>EBARROS04</v>
      </c>
      <c r="E22" s="102" t="str">
        <f>_xlfn.XLOOKUP('ESCALA EQUIPES'!D22,Planilha2!B:B,Planilha2!D:D)</f>
        <v>erick.barros@aguasdorio.com.br</v>
      </c>
      <c r="F22" s="100" t="s">
        <v>195</v>
      </c>
      <c r="G22" s="112" t="s">
        <v>199</v>
      </c>
      <c r="H22" s="79" t="str">
        <f t="shared" ref="H22:N22" si="15">IF(MOD(H5 - DATE(2025,10,1)+2,4)&lt;2,"TRABALHA","FOLGA")</f>
        <v>TRABALHA</v>
      </c>
      <c r="I22" s="80" t="str">
        <f t="shared" si="15"/>
        <v>TRABALHA</v>
      </c>
      <c r="J22" s="80" t="str">
        <f t="shared" si="15"/>
        <v>FOLGA</v>
      </c>
      <c r="K22" s="80" t="str">
        <f t="shared" si="15"/>
        <v>FOLGA</v>
      </c>
      <c r="L22" s="80" t="str">
        <f t="shared" si="15"/>
        <v>TRABALHA</v>
      </c>
      <c r="M22" s="80" t="str">
        <f t="shared" si="15"/>
        <v>TRABALHA</v>
      </c>
      <c r="N22" s="80" t="str">
        <f t="shared" si="15"/>
        <v>FOLGA</v>
      </c>
      <c r="O22" s="80" t="str">
        <f t="shared" ref="O22:AD22" si="16">IF(MOD(O5 - DATE(2025,10,1)+2,4)&lt;2,"TRABALHA","FOLGA")</f>
        <v>FOLGA</v>
      </c>
      <c r="P22" s="80" t="str">
        <f t="shared" si="16"/>
        <v>TRABALHA</v>
      </c>
      <c r="Q22" s="80" t="str">
        <f t="shared" si="16"/>
        <v>TRABALHA</v>
      </c>
      <c r="R22" s="80" t="str">
        <f t="shared" si="16"/>
        <v>FOLGA</v>
      </c>
      <c r="S22" s="80" t="str">
        <f t="shared" si="16"/>
        <v>FOLGA</v>
      </c>
      <c r="T22" s="80" t="str">
        <f t="shared" si="16"/>
        <v>TRABALHA</v>
      </c>
      <c r="U22" s="80" t="str">
        <f t="shared" si="16"/>
        <v>TRABALHA</v>
      </c>
      <c r="V22" s="80" t="str">
        <f t="shared" si="16"/>
        <v>FOLGA</v>
      </c>
      <c r="W22" s="80" t="str">
        <f t="shared" si="16"/>
        <v>FOLGA</v>
      </c>
      <c r="X22" s="80" t="str">
        <f t="shared" si="16"/>
        <v>TRABALHA</v>
      </c>
      <c r="Y22" s="80" t="str">
        <f t="shared" si="16"/>
        <v>TRABALHA</v>
      </c>
      <c r="Z22" s="80" t="str">
        <f t="shared" si="16"/>
        <v>FOLGA</v>
      </c>
      <c r="AA22" s="80" t="str">
        <f t="shared" si="16"/>
        <v>FOLGA</v>
      </c>
      <c r="AB22" s="80" t="str">
        <f t="shared" si="16"/>
        <v>TRABALHA</v>
      </c>
      <c r="AC22" s="80" t="str">
        <f t="shared" si="16"/>
        <v>TRABALHA</v>
      </c>
      <c r="AD22" s="90" t="str">
        <f t="shared" si="16"/>
        <v>FOLGA</v>
      </c>
    </row>
    <row r="23" spans="1:30" ht="18.95" customHeight="1" x14ac:dyDescent="0.2">
      <c r="A23" s="95" t="s">
        <v>206</v>
      </c>
      <c r="B23" s="82" t="s">
        <v>222</v>
      </c>
      <c r="C23" s="83" t="s">
        <v>226</v>
      </c>
      <c r="D23" s="82" t="str">
        <f>_xlfn.XLOOKUP(C23,Planilha2!A:A,Planilha2!B:B)</f>
        <v>PQUIXABEIRA</v>
      </c>
      <c r="E23" s="83" t="str">
        <f>_xlfn.XLOOKUP('ESCALA EQUIPES'!D23,Planilha2!B:B,Planilha2!D:D)</f>
        <v>paulo.quixabeira@aguasdorio.com.br</v>
      </c>
      <c r="F23" s="82" t="s">
        <v>230</v>
      </c>
      <c r="G23" s="108" t="s">
        <v>199</v>
      </c>
      <c r="H23" s="81" t="str">
        <f>IF(MOD(H5 - DATE(2025,10,1)+2,4)&lt;2,"TRABALHA","FOLGA")</f>
        <v>TRABALHA</v>
      </c>
      <c r="I23" s="23" t="str">
        <f t="shared" ref="I23:N23" si="17">IF(MOD(I5 - DATE(2025,10,1)+2,4)&lt;2,"TRABALHA","FOLGA")</f>
        <v>TRABALHA</v>
      </c>
      <c r="J23" s="23" t="str">
        <f t="shared" si="17"/>
        <v>FOLGA</v>
      </c>
      <c r="K23" s="23" t="str">
        <f t="shared" si="17"/>
        <v>FOLGA</v>
      </c>
      <c r="L23" s="23" t="str">
        <f t="shared" si="17"/>
        <v>TRABALHA</v>
      </c>
      <c r="M23" s="23" t="str">
        <f t="shared" si="17"/>
        <v>TRABALHA</v>
      </c>
      <c r="N23" s="23" t="str">
        <f t="shared" si="17"/>
        <v>FOLGA</v>
      </c>
      <c r="O23" s="23" t="str">
        <f t="shared" ref="O23:AD23" si="18">IF(MOD(O5 - DATE(2025,10,1)+2,4)&lt;2,"TRABALHA","FOLGA")</f>
        <v>FOLGA</v>
      </c>
      <c r="P23" s="23" t="str">
        <f t="shared" si="18"/>
        <v>TRABALHA</v>
      </c>
      <c r="Q23" s="23" t="str">
        <f t="shared" si="18"/>
        <v>TRABALHA</v>
      </c>
      <c r="R23" s="23" t="str">
        <f t="shared" si="18"/>
        <v>FOLGA</v>
      </c>
      <c r="S23" s="23" t="str">
        <f t="shared" si="18"/>
        <v>FOLGA</v>
      </c>
      <c r="T23" s="23" t="str">
        <f t="shared" si="18"/>
        <v>TRABALHA</v>
      </c>
      <c r="U23" s="23" t="str">
        <f t="shared" si="18"/>
        <v>TRABALHA</v>
      </c>
      <c r="V23" s="23" t="str">
        <f t="shared" si="18"/>
        <v>FOLGA</v>
      </c>
      <c r="W23" s="23" t="str">
        <f t="shared" si="18"/>
        <v>FOLGA</v>
      </c>
      <c r="X23" s="23" t="str">
        <f t="shared" si="18"/>
        <v>TRABALHA</v>
      </c>
      <c r="Y23" s="23" t="str">
        <f t="shared" si="18"/>
        <v>TRABALHA</v>
      </c>
      <c r="Z23" s="23" t="str">
        <f t="shared" si="18"/>
        <v>FOLGA</v>
      </c>
      <c r="AA23" s="23" t="str">
        <f t="shared" si="18"/>
        <v>FOLGA</v>
      </c>
      <c r="AB23" s="23" t="str">
        <f t="shared" si="18"/>
        <v>TRABALHA</v>
      </c>
      <c r="AC23" s="23" t="str">
        <f t="shared" si="18"/>
        <v>TRABALHA</v>
      </c>
      <c r="AD23" s="91" t="str">
        <f t="shared" si="18"/>
        <v>FOLGA</v>
      </c>
    </row>
    <row r="24" spans="1:30" ht="18.95" customHeight="1" x14ac:dyDescent="0.2">
      <c r="A24" s="95" t="s">
        <v>207</v>
      </c>
      <c r="B24" s="82" t="s">
        <v>221</v>
      </c>
      <c r="C24" s="83" t="s">
        <v>227</v>
      </c>
      <c r="D24" s="82" t="str">
        <f>_xlfn.XLOOKUP(C24,Planilha2!A:A,Planilha2!B:B)</f>
        <v>MBEDA</v>
      </c>
      <c r="E24" s="83" t="str">
        <f>_xlfn.XLOOKUP('ESCALA EQUIPES'!D24,Planilha2!B:B,Planilha2!D:D)</f>
        <v>maxwell.beda@aguasdorio.com.br</v>
      </c>
      <c r="F24" s="82" t="s">
        <v>195</v>
      </c>
      <c r="G24" s="108" t="s">
        <v>199</v>
      </c>
      <c r="H24" s="81" t="str">
        <f>IF(MOD(H5 - DATE(2025,10,1)+2,4)&lt;2,"TRABALHA","FOLGA")</f>
        <v>TRABALHA</v>
      </c>
      <c r="I24" s="23" t="str">
        <f t="shared" ref="I24:N24" si="19">IF(MOD(I5 - DATE(2025,10,1)+2,4)&lt;2,"TRABALHA","FOLGA")</f>
        <v>TRABALHA</v>
      </c>
      <c r="J24" s="23" t="str">
        <f t="shared" si="19"/>
        <v>FOLGA</v>
      </c>
      <c r="K24" s="23" t="str">
        <f t="shared" si="19"/>
        <v>FOLGA</v>
      </c>
      <c r="L24" s="23" t="str">
        <f t="shared" si="19"/>
        <v>TRABALHA</v>
      </c>
      <c r="M24" s="23" t="str">
        <f t="shared" si="19"/>
        <v>TRABALHA</v>
      </c>
      <c r="N24" s="23" t="str">
        <f t="shared" si="19"/>
        <v>FOLGA</v>
      </c>
      <c r="O24" s="23" t="str">
        <f t="shared" ref="O24:AD24" si="20">IF(MOD(O5 - DATE(2025,10,1)+2,4)&lt;2,"TRABALHA","FOLGA")</f>
        <v>FOLGA</v>
      </c>
      <c r="P24" s="23" t="str">
        <f t="shared" si="20"/>
        <v>TRABALHA</v>
      </c>
      <c r="Q24" s="23" t="str">
        <f t="shared" si="20"/>
        <v>TRABALHA</v>
      </c>
      <c r="R24" s="23" t="str">
        <f t="shared" si="20"/>
        <v>FOLGA</v>
      </c>
      <c r="S24" s="23" t="str">
        <f t="shared" si="20"/>
        <v>FOLGA</v>
      </c>
      <c r="T24" s="23" t="str">
        <f t="shared" si="20"/>
        <v>TRABALHA</v>
      </c>
      <c r="U24" s="23" t="str">
        <f t="shared" si="20"/>
        <v>TRABALHA</v>
      </c>
      <c r="V24" s="23" t="str">
        <f t="shared" si="20"/>
        <v>FOLGA</v>
      </c>
      <c r="W24" s="23" t="str">
        <f t="shared" si="20"/>
        <v>FOLGA</v>
      </c>
      <c r="X24" s="23" t="str">
        <f t="shared" si="20"/>
        <v>TRABALHA</v>
      </c>
      <c r="Y24" s="23" t="str">
        <f t="shared" si="20"/>
        <v>TRABALHA</v>
      </c>
      <c r="Z24" s="23" t="str">
        <f t="shared" si="20"/>
        <v>FOLGA</v>
      </c>
      <c r="AA24" s="23" t="str">
        <f t="shared" si="20"/>
        <v>FOLGA</v>
      </c>
      <c r="AB24" s="23" t="str">
        <f t="shared" si="20"/>
        <v>TRABALHA</v>
      </c>
      <c r="AC24" s="23" t="str">
        <f t="shared" si="20"/>
        <v>TRABALHA</v>
      </c>
      <c r="AD24" s="91" t="str">
        <f t="shared" si="20"/>
        <v>FOLGA</v>
      </c>
    </row>
    <row r="25" spans="1:30" ht="18.95" customHeight="1" thickBot="1" x14ac:dyDescent="0.25">
      <c r="A25" s="96" t="s">
        <v>207</v>
      </c>
      <c r="B25" s="97" t="s">
        <v>221</v>
      </c>
      <c r="C25" s="98" t="s">
        <v>228</v>
      </c>
      <c r="D25" s="97" t="str">
        <f>_xlfn.XLOOKUP(C25,Planilha2!A:A,Planilha2!B:B)</f>
        <v>RGONCALVES</v>
      </c>
      <c r="E25" s="98" t="str">
        <f>_xlfn.XLOOKUP('ESCALA EQUIPES'!D25,Planilha2!B:B,Planilha2!D:D)</f>
        <v>reinaldo.goncalves@aegea.com.br</v>
      </c>
      <c r="F25" s="97" t="s">
        <v>195</v>
      </c>
      <c r="G25" s="115" t="s">
        <v>199</v>
      </c>
      <c r="H25" s="84" t="str">
        <f>IF(MOD(H5 - DATE(2025,10,1)+2,4)&lt;2,"TRABALHA","FOLGA")</f>
        <v>TRABALHA</v>
      </c>
      <c r="I25" s="85" t="str">
        <f t="shared" ref="I25:N25" si="21">IF(MOD(I5 - DATE(2025,10,1)+2,4)&lt;2,"TRABALHA","FOLGA")</f>
        <v>TRABALHA</v>
      </c>
      <c r="J25" s="85" t="str">
        <f t="shared" si="21"/>
        <v>FOLGA</v>
      </c>
      <c r="K25" s="85" t="str">
        <f t="shared" si="21"/>
        <v>FOLGA</v>
      </c>
      <c r="L25" s="85" t="str">
        <f t="shared" si="21"/>
        <v>TRABALHA</v>
      </c>
      <c r="M25" s="85" t="str">
        <f t="shared" si="21"/>
        <v>TRABALHA</v>
      </c>
      <c r="N25" s="85" t="str">
        <f t="shared" si="21"/>
        <v>FOLGA</v>
      </c>
      <c r="O25" s="85" t="str">
        <f t="shared" ref="O25:AD25" si="22">IF(MOD(O5 - DATE(2025,10,1)+2,4)&lt;2,"TRABALHA","FOLGA")</f>
        <v>FOLGA</v>
      </c>
      <c r="P25" s="85" t="str">
        <f t="shared" si="22"/>
        <v>TRABALHA</v>
      </c>
      <c r="Q25" s="85" t="str">
        <f t="shared" si="22"/>
        <v>TRABALHA</v>
      </c>
      <c r="R25" s="85" t="str">
        <f t="shared" si="22"/>
        <v>FOLGA</v>
      </c>
      <c r="S25" s="85" t="str">
        <f t="shared" si="22"/>
        <v>FOLGA</v>
      </c>
      <c r="T25" s="85" t="str">
        <f t="shared" si="22"/>
        <v>TRABALHA</v>
      </c>
      <c r="U25" s="85" t="str">
        <f t="shared" si="22"/>
        <v>TRABALHA</v>
      </c>
      <c r="V25" s="85" t="str">
        <f t="shared" si="22"/>
        <v>FOLGA</v>
      </c>
      <c r="W25" s="85" t="str">
        <f t="shared" si="22"/>
        <v>FOLGA</v>
      </c>
      <c r="X25" s="85" t="str">
        <f t="shared" si="22"/>
        <v>TRABALHA</v>
      </c>
      <c r="Y25" s="85" t="str">
        <f t="shared" si="22"/>
        <v>TRABALHA</v>
      </c>
      <c r="Z25" s="85" t="str">
        <f t="shared" si="22"/>
        <v>FOLGA</v>
      </c>
      <c r="AA25" s="85" t="str">
        <f t="shared" si="22"/>
        <v>FOLGA</v>
      </c>
      <c r="AB25" s="85" t="str">
        <f t="shared" si="22"/>
        <v>TRABALHA</v>
      </c>
      <c r="AC25" s="85" t="str">
        <f t="shared" si="22"/>
        <v>TRABALHA</v>
      </c>
      <c r="AD25" s="92" t="str">
        <f t="shared" si="22"/>
        <v>FOLGA</v>
      </c>
    </row>
    <row r="26" spans="1:30" ht="12.75" thickBot="1" x14ac:dyDescent="0.25"/>
    <row r="27" spans="1:30" ht="15" thickBot="1" x14ac:dyDescent="0.25">
      <c r="A27" s="119" t="s">
        <v>286</v>
      </c>
      <c r="B27" s="120" t="s">
        <v>221</v>
      </c>
      <c r="C27" s="121" t="s">
        <v>218</v>
      </c>
      <c r="D27" s="120" t="str">
        <f>_xlfn.XLOOKUP(C27,Planilha2!A:A,Planilha2!B:B)</f>
        <v>MLEANDRO</v>
      </c>
      <c r="E27" s="120" t="str">
        <f>_xlfn.XLOOKUP(D27,Planilha2!B:B,Planilha2!D:D)</f>
        <v>marcio.leandro@aguasdorio.com.br</v>
      </c>
      <c r="F27" s="121" t="s">
        <v>195</v>
      </c>
      <c r="G27" s="122" t="s">
        <v>198</v>
      </c>
      <c r="H27" s="109" t="s">
        <v>287</v>
      </c>
      <c r="I27" s="110" t="s">
        <v>287</v>
      </c>
      <c r="J27" s="110" t="str">
        <f>IF(MOD(J5 - DATE(2025,10,1),4)&lt;2,"TRABALHA","FOLGA")</f>
        <v>TRABALHA</v>
      </c>
      <c r="K27" s="110" t="s">
        <v>287</v>
      </c>
      <c r="L27" s="110" t="s">
        <v>287</v>
      </c>
      <c r="M27" s="110" t="s">
        <v>287</v>
      </c>
      <c r="N27" s="110" t="s">
        <v>287</v>
      </c>
      <c r="O27" s="110" t="s">
        <v>287</v>
      </c>
      <c r="P27" s="110" t="s">
        <v>287</v>
      </c>
      <c r="Q27" s="110" t="s">
        <v>287</v>
      </c>
      <c r="R27" s="110" t="s">
        <v>287</v>
      </c>
      <c r="S27" s="110" t="s">
        <v>287</v>
      </c>
      <c r="T27" s="110" t="s">
        <v>287</v>
      </c>
      <c r="U27" s="110" t="s">
        <v>287</v>
      </c>
      <c r="V27" s="110" t="s">
        <v>287</v>
      </c>
      <c r="W27" s="110" t="s">
        <v>287</v>
      </c>
      <c r="X27" s="110" t="s">
        <v>287</v>
      </c>
      <c r="Y27" s="110" t="s">
        <v>287</v>
      </c>
      <c r="Z27" s="110" t="s">
        <v>287</v>
      </c>
      <c r="AA27" s="110" t="s">
        <v>287</v>
      </c>
      <c r="AB27" s="110" t="s">
        <v>287</v>
      </c>
      <c r="AC27" s="110" t="s">
        <v>287</v>
      </c>
      <c r="AD27" s="111" t="s">
        <v>287</v>
      </c>
    </row>
  </sheetData>
  <autoFilter ref="A4:G25" xr:uid="{B067B390-0586-49B9-9002-AAE304A3E71A}">
    <sortState xmlns:xlrd2="http://schemas.microsoft.com/office/spreadsheetml/2017/richdata2" ref="A7:G25">
      <sortCondition ref="A4:A5"/>
    </sortState>
  </autoFilter>
  <mergeCells count="10">
    <mergeCell ref="H21:L21"/>
    <mergeCell ref="H1:L3"/>
    <mergeCell ref="A1:G3"/>
    <mergeCell ref="A4:A5"/>
    <mergeCell ref="C4:C5"/>
    <mergeCell ref="D4:D5"/>
    <mergeCell ref="G4:G5"/>
    <mergeCell ref="F4:F5"/>
    <mergeCell ref="B4:B5"/>
    <mergeCell ref="E4:E5"/>
  </mergeCells>
  <phoneticPr fontId="27" type="noConversion"/>
  <conditionalFormatting sqref="H6:L9 M7:N9 H21">
    <cfRule type="containsText" dxfId="7" priority="21" operator="containsText" text="trabalha">
      <formula>NOT(ISERROR(SEARCH("trabalha",H6)))</formula>
    </cfRule>
  </conditionalFormatting>
  <conditionalFormatting sqref="H10:N15">
    <cfRule type="containsText" dxfId="6" priority="3" operator="containsText" text="trabalha">
      <formula>NOT(ISERROR(SEARCH("trabalha",H10)))</formula>
    </cfRule>
  </conditionalFormatting>
  <conditionalFormatting sqref="H4:AD4">
    <cfRule type="containsText" dxfId="5" priority="27" operator="containsText" text="dom">
      <formula>NOT(ISERROR(SEARCH("dom",H4)))</formula>
    </cfRule>
    <cfRule type="cellIs" dxfId="4" priority="28" operator="equal">
      <formula>"sáb"</formula>
    </cfRule>
  </conditionalFormatting>
  <conditionalFormatting sqref="H17:AD20">
    <cfRule type="containsText" dxfId="3" priority="9" operator="containsText" text="trabalha">
      <formula>NOT(ISERROR(SEARCH("trabalha",H17)))</formula>
    </cfRule>
  </conditionalFormatting>
  <conditionalFormatting sqref="H22:AD25">
    <cfRule type="containsText" dxfId="2" priority="8" operator="containsText" text="trabalha">
      <formula>NOT(ISERROR(SEARCH("trabalha",H22)))</formula>
    </cfRule>
  </conditionalFormatting>
  <conditionalFormatting sqref="H27:AD27">
    <cfRule type="containsText" dxfId="1" priority="11" operator="containsText" text="trabalha">
      <formula>NOT(ISERROR(SEARCH("trabalha",H27)))</formula>
    </cfRule>
  </conditionalFormatting>
  <conditionalFormatting sqref="O7:AD15">
    <cfRule type="containsText" dxfId="0" priority="1" operator="containsText" text="trabalha">
      <formula>NOT(ISERROR(SEARCH("trabalha",O7)))</formula>
    </cfRule>
  </conditionalFormatting>
  <pageMargins left="0.511811024" right="0.511811024" top="0.78740157499999996" bottom="0.78740157499999996" header="0.31496062000000002" footer="0.31496062000000002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7342-F119-44E5-BA69-EC91DD0694E9}">
  <dimension ref="A1:D19"/>
  <sheetViews>
    <sheetView workbookViewId="0">
      <selection activeCell="A44" sqref="A44"/>
    </sheetView>
  </sheetViews>
  <sheetFormatPr defaultRowHeight="12" x14ac:dyDescent="0.2"/>
  <cols>
    <col min="1" max="1" width="34.7109375" bestFit="1" customWidth="1"/>
    <col min="2" max="2" width="12.42578125" bestFit="1" customWidth="1"/>
    <col min="3" max="3" width="29.42578125" bestFit="1" customWidth="1"/>
    <col min="4" max="4" width="24.140625" bestFit="1" customWidth="1"/>
  </cols>
  <sheetData>
    <row r="1" spans="1:4" x14ac:dyDescent="0.2">
      <c r="A1" s="103" t="s">
        <v>194</v>
      </c>
      <c r="B1" s="103" t="s">
        <v>193</v>
      </c>
      <c r="C1" s="103" t="s">
        <v>205</v>
      </c>
      <c r="D1" s="103" t="s">
        <v>192</v>
      </c>
    </row>
    <row r="2" spans="1:4" x14ac:dyDescent="0.2">
      <c r="A2" t="s">
        <v>208</v>
      </c>
      <c r="B2" t="s">
        <v>233</v>
      </c>
      <c r="C2" t="s">
        <v>234</v>
      </c>
      <c r="D2" t="s">
        <v>195</v>
      </c>
    </row>
    <row r="3" spans="1:4" x14ac:dyDescent="0.2">
      <c r="A3" t="s">
        <v>212</v>
      </c>
      <c r="B3" t="s">
        <v>276</v>
      </c>
      <c r="C3" t="s">
        <v>277</v>
      </c>
      <c r="D3" t="s">
        <v>195</v>
      </c>
    </row>
    <row r="4" spans="1:4" x14ac:dyDescent="0.2">
      <c r="A4" t="s">
        <v>211</v>
      </c>
      <c r="B4" t="s">
        <v>242</v>
      </c>
      <c r="C4" t="s">
        <v>243</v>
      </c>
      <c r="D4" t="s">
        <v>229</v>
      </c>
    </row>
    <row r="5" spans="1:4" x14ac:dyDescent="0.2">
      <c r="A5" t="s">
        <v>224</v>
      </c>
      <c r="B5" t="s">
        <v>266</v>
      </c>
      <c r="C5" t="s">
        <v>267</v>
      </c>
      <c r="D5" t="s">
        <v>195</v>
      </c>
    </row>
    <row r="6" spans="1:4" x14ac:dyDescent="0.2">
      <c r="A6" t="s">
        <v>223</v>
      </c>
      <c r="B6" t="s">
        <v>264</v>
      </c>
      <c r="C6" t="s">
        <v>265</v>
      </c>
      <c r="D6" t="s">
        <v>195</v>
      </c>
    </row>
    <row r="7" spans="1:4" x14ac:dyDescent="0.2">
      <c r="A7" t="s">
        <v>209</v>
      </c>
      <c r="B7" t="s">
        <v>236</v>
      </c>
      <c r="C7" t="s">
        <v>238</v>
      </c>
      <c r="D7" t="s">
        <v>215</v>
      </c>
    </row>
    <row r="8" spans="1:4" x14ac:dyDescent="0.2">
      <c r="A8" t="s">
        <v>214</v>
      </c>
      <c r="B8" t="s">
        <v>261</v>
      </c>
      <c r="C8" t="s">
        <v>262</v>
      </c>
      <c r="D8" t="s">
        <v>195</v>
      </c>
    </row>
    <row r="9" spans="1:4" x14ac:dyDescent="0.2">
      <c r="A9" t="s">
        <v>213</v>
      </c>
      <c r="B9" t="s">
        <v>245</v>
      </c>
      <c r="C9" t="s">
        <v>246</v>
      </c>
      <c r="D9" t="s">
        <v>195</v>
      </c>
    </row>
    <row r="10" spans="1:4" x14ac:dyDescent="0.2">
      <c r="A10" t="s">
        <v>280</v>
      </c>
      <c r="C10" t="s">
        <v>281</v>
      </c>
      <c r="D10" t="s">
        <v>215</v>
      </c>
    </row>
    <row r="11" spans="1:4" x14ac:dyDescent="0.2">
      <c r="A11" t="s">
        <v>216</v>
      </c>
      <c r="B11" t="s">
        <v>256</v>
      </c>
      <c r="C11" t="s">
        <v>257</v>
      </c>
      <c r="D11" t="s">
        <v>195</v>
      </c>
    </row>
    <row r="12" spans="1:4" x14ac:dyDescent="0.2">
      <c r="A12" t="s">
        <v>217</v>
      </c>
      <c r="B12" t="s">
        <v>259</v>
      </c>
      <c r="C12" t="s">
        <v>260</v>
      </c>
      <c r="D12" t="s">
        <v>195</v>
      </c>
    </row>
    <row r="13" spans="1:4" x14ac:dyDescent="0.2">
      <c r="A13" s="104" t="s">
        <v>218</v>
      </c>
      <c r="B13" s="104" t="s">
        <v>251</v>
      </c>
      <c r="C13" s="104" t="s">
        <v>252</v>
      </c>
      <c r="D13" s="104" t="s">
        <v>195</v>
      </c>
    </row>
    <row r="14" spans="1:4" x14ac:dyDescent="0.2">
      <c r="A14" s="104" t="s">
        <v>219</v>
      </c>
      <c r="B14" s="104" t="s">
        <v>254</v>
      </c>
      <c r="C14" s="104" t="s">
        <v>255</v>
      </c>
      <c r="D14" s="104" t="s">
        <v>195</v>
      </c>
    </row>
    <row r="15" spans="1:4" x14ac:dyDescent="0.2">
      <c r="A15" t="s">
        <v>225</v>
      </c>
      <c r="B15" t="s">
        <v>268</v>
      </c>
      <c r="C15" t="s">
        <v>269</v>
      </c>
      <c r="D15" t="s">
        <v>195</v>
      </c>
    </row>
    <row r="16" spans="1:4" x14ac:dyDescent="0.2">
      <c r="A16" t="s">
        <v>226</v>
      </c>
      <c r="B16" t="s">
        <v>271</v>
      </c>
      <c r="C16" t="s">
        <v>272</v>
      </c>
      <c r="D16" t="s">
        <v>230</v>
      </c>
    </row>
    <row r="17" spans="1:4" x14ac:dyDescent="0.2">
      <c r="A17" t="s">
        <v>227</v>
      </c>
      <c r="B17" t="s">
        <v>273</v>
      </c>
      <c r="C17" t="s">
        <v>274</v>
      </c>
      <c r="D17" t="s">
        <v>195</v>
      </c>
    </row>
    <row r="18" spans="1:4" x14ac:dyDescent="0.2">
      <c r="A18" t="s">
        <v>228</v>
      </c>
      <c r="B18" t="s">
        <v>278</v>
      </c>
      <c r="C18" t="s">
        <v>279</v>
      </c>
      <c r="D18" t="s">
        <v>195</v>
      </c>
    </row>
    <row r="19" spans="1:4" x14ac:dyDescent="0.2">
      <c r="A19" t="s">
        <v>210</v>
      </c>
      <c r="B19" t="s">
        <v>240</v>
      </c>
      <c r="C19" t="s">
        <v>241</v>
      </c>
      <c r="D19" t="s">
        <v>231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D410A-0738-4AA2-9E25-C025590C89FA}">
  <dimension ref="A1:F20"/>
  <sheetViews>
    <sheetView workbookViewId="0">
      <selection activeCell="B3" sqref="B3"/>
    </sheetView>
  </sheetViews>
  <sheetFormatPr defaultRowHeight="12" x14ac:dyDescent="0.2"/>
  <cols>
    <col min="1" max="1" width="34.7109375" bestFit="1" customWidth="1"/>
    <col min="2" max="2" width="12.42578125" bestFit="1" customWidth="1"/>
    <col min="3" max="3" width="24.140625" bestFit="1" customWidth="1"/>
    <col min="4" max="4" width="29.42578125" bestFit="1" customWidth="1"/>
    <col min="5" max="5" width="10" bestFit="1" customWidth="1"/>
    <col min="6" max="6" width="13.140625" bestFit="1" customWidth="1"/>
  </cols>
  <sheetData>
    <row r="1" spans="1:6" x14ac:dyDescent="0.2">
      <c r="A1" t="s">
        <v>208</v>
      </c>
      <c r="B1" t="s">
        <v>233</v>
      </c>
      <c r="C1" t="s">
        <v>195</v>
      </c>
      <c r="D1" t="s">
        <v>234</v>
      </c>
      <c r="E1" t="s">
        <v>196</v>
      </c>
      <c r="F1" t="s">
        <v>235</v>
      </c>
    </row>
    <row r="2" spans="1:6" x14ac:dyDescent="0.2">
      <c r="A2" t="s">
        <v>209</v>
      </c>
      <c r="B2" t="s">
        <v>236</v>
      </c>
      <c r="C2" t="s">
        <v>237</v>
      </c>
      <c r="D2" t="s">
        <v>238</v>
      </c>
      <c r="E2" t="s">
        <v>196</v>
      </c>
      <c r="F2" t="s">
        <v>239</v>
      </c>
    </row>
    <row r="3" spans="1:6" x14ac:dyDescent="0.2">
      <c r="A3" t="s">
        <v>210</v>
      </c>
      <c r="B3" t="s">
        <v>240</v>
      </c>
      <c r="C3" t="s">
        <v>231</v>
      </c>
      <c r="D3" t="s">
        <v>241</v>
      </c>
      <c r="E3" t="s">
        <v>196</v>
      </c>
      <c r="F3" t="s">
        <v>239</v>
      </c>
    </row>
    <row r="4" spans="1:6" x14ac:dyDescent="0.2">
      <c r="A4" t="s">
        <v>211</v>
      </c>
      <c r="B4" t="s">
        <v>242</v>
      </c>
      <c r="C4" t="s">
        <v>229</v>
      </c>
      <c r="D4" t="s">
        <v>243</v>
      </c>
      <c r="E4" t="s">
        <v>196</v>
      </c>
      <c r="F4" t="s">
        <v>244</v>
      </c>
    </row>
    <row r="5" spans="1:6" x14ac:dyDescent="0.2">
      <c r="A5" t="s">
        <v>213</v>
      </c>
      <c r="B5" t="s">
        <v>245</v>
      </c>
      <c r="C5" t="s">
        <v>195</v>
      </c>
      <c r="D5" t="s">
        <v>246</v>
      </c>
      <c r="E5" t="s">
        <v>199</v>
      </c>
      <c r="F5" t="s">
        <v>247</v>
      </c>
    </row>
    <row r="6" spans="1:6" x14ac:dyDescent="0.2">
      <c r="A6" t="s">
        <v>232</v>
      </c>
      <c r="C6" t="s">
        <v>248</v>
      </c>
      <c r="D6" t="s">
        <v>249</v>
      </c>
      <c r="E6" t="s">
        <v>196</v>
      </c>
      <c r="F6" t="s">
        <v>250</v>
      </c>
    </row>
    <row r="8" spans="1:6" x14ac:dyDescent="0.2">
      <c r="A8" t="s">
        <v>218</v>
      </c>
      <c r="B8" t="s">
        <v>251</v>
      </c>
      <c r="C8" t="s">
        <v>195</v>
      </c>
      <c r="D8" t="s">
        <v>252</v>
      </c>
      <c r="E8" t="s">
        <v>198</v>
      </c>
      <c r="F8" t="s">
        <v>253</v>
      </c>
    </row>
    <row r="9" spans="1:6" x14ac:dyDescent="0.2">
      <c r="A9" t="s">
        <v>219</v>
      </c>
      <c r="B9" t="s">
        <v>254</v>
      </c>
      <c r="C9" t="s">
        <v>195</v>
      </c>
      <c r="D9" t="s">
        <v>255</v>
      </c>
      <c r="E9" t="s">
        <v>198</v>
      </c>
      <c r="F9" t="s">
        <v>253</v>
      </c>
    </row>
    <row r="10" spans="1:6" x14ac:dyDescent="0.2">
      <c r="A10" t="s">
        <v>216</v>
      </c>
      <c r="B10" t="s">
        <v>256</v>
      </c>
      <c r="C10" t="s">
        <v>195</v>
      </c>
      <c r="D10" t="s">
        <v>257</v>
      </c>
      <c r="E10" t="s">
        <v>198</v>
      </c>
      <c r="F10" t="s">
        <v>258</v>
      </c>
    </row>
    <row r="11" spans="1:6" x14ac:dyDescent="0.2">
      <c r="A11" t="s">
        <v>217</v>
      </c>
      <c r="B11" t="s">
        <v>259</v>
      </c>
      <c r="C11" t="s">
        <v>195</v>
      </c>
      <c r="D11" t="s">
        <v>260</v>
      </c>
      <c r="E11" t="s">
        <v>198</v>
      </c>
      <c r="F11" t="s">
        <v>253</v>
      </c>
    </row>
    <row r="12" spans="1:6" x14ac:dyDescent="0.2">
      <c r="A12" t="s">
        <v>214</v>
      </c>
      <c r="B12" t="s">
        <v>261</v>
      </c>
      <c r="C12" t="s">
        <v>195</v>
      </c>
      <c r="D12" t="s">
        <v>262</v>
      </c>
      <c r="E12" t="s">
        <v>198</v>
      </c>
      <c r="F12" t="s">
        <v>263</v>
      </c>
    </row>
    <row r="14" spans="1:6" x14ac:dyDescent="0.2">
      <c r="A14" t="s">
        <v>223</v>
      </c>
      <c r="B14" t="s">
        <v>264</v>
      </c>
      <c r="C14" t="s">
        <v>195</v>
      </c>
      <c r="D14" t="s">
        <v>265</v>
      </c>
      <c r="E14" t="s">
        <v>199</v>
      </c>
      <c r="F14" t="s">
        <v>263</v>
      </c>
    </row>
    <row r="15" spans="1:6" x14ac:dyDescent="0.2">
      <c r="A15" t="s">
        <v>224</v>
      </c>
      <c r="B15" t="s">
        <v>266</v>
      </c>
      <c r="C15" t="s">
        <v>195</v>
      </c>
      <c r="D15" t="s">
        <v>267</v>
      </c>
      <c r="E15" t="s">
        <v>199</v>
      </c>
      <c r="F15" t="s">
        <v>247</v>
      </c>
    </row>
    <row r="16" spans="1:6" x14ac:dyDescent="0.2">
      <c r="A16" t="s">
        <v>225</v>
      </c>
      <c r="B16" t="s">
        <v>268</v>
      </c>
      <c r="C16" t="s">
        <v>195</v>
      </c>
      <c r="D16" t="s">
        <v>269</v>
      </c>
      <c r="E16" t="s">
        <v>199</v>
      </c>
      <c r="F16" t="s">
        <v>270</v>
      </c>
    </row>
    <row r="17" spans="1:6" x14ac:dyDescent="0.2">
      <c r="A17" t="s">
        <v>226</v>
      </c>
      <c r="B17" t="s">
        <v>271</v>
      </c>
      <c r="C17" t="s">
        <v>230</v>
      </c>
      <c r="D17" t="s">
        <v>272</v>
      </c>
      <c r="E17" t="s">
        <v>199</v>
      </c>
      <c r="F17" t="s">
        <v>270</v>
      </c>
    </row>
    <row r="18" spans="1:6" x14ac:dyDescent="0.2">
      <c r="A18" t="s">
        <v>227</v>
      </c>
      <c r="B18" t="s">
        <v>273</v>
      </c>
      <c r="C18" t="s">
        <v>195</v>
      </c>
      <c r="D18" t="s">
        <v>274</v>
      </c>
      <c r="E18" t="s">
        <v>199</v>
      </c>
      <c r="F18" t="s">
        <v>275</v>
      </c>
    </row>
    <row r="19" spans="1:6" x14ac:dyDescent="0.2">
      <c r="A19" t="s">
        <v>212</v>
      </c>
      <c r="B19" t="s">
        <v>276</v>
      </c>
      <c r="C19" t="s">
        <v>195</v>
      </c>
      <c r="D19" t="s">
        <v>277</v>
      </c>
      <c r="E19" t="s">
        <v>199</v>
      </c>
      <c r="F19" t="s">
        <v>235</v>
      </c>
    </row>
    <row r="20" spans="1:6" x14ac:dyDescent="0.2">
      <c r="A20" t="s">
        <v>228</v>
      </c>
      <c r="B20" t="s">
        <v>278</v>
      </c>
      <c r="C20" t="s">
        <v>195</v>
      </c>
      <c r="D20" t="s">
        <v>279</v>
      </c>
      <c r="E20" t="s">
        <v>199</v>
      </c>
      <c r="F20" t="s">
        <v>275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5F89-49B5-42CE-B749-BA2ED12CC875}">
  <dimension ref="A1:C113"/>
  <sheetViews>
    <sheetView topLeftCell="A42" workbookViewId="0">
      <selection activeCell="G42" sqref="G1:K1048576"/>
    </sheetView>
  </sheetViews>
  <sheetFormatPr defaultRowHeight="12" x14ac:dyDescent="0.2"/>
  <cols>
    <col min="1" max="1" width="7.5703125" bestFit="1" customWidth="1"/>
    <col min="2" max="3" width="14.42578125" bestFit="1" customWidth="1"/>
  </cols>
  <sheetData>
    <row r="1" spans="1:3" ht="24" x14ac:dyDescent="0.2">
      <c r="A1" s="73" t="s">
        <v>201</v>
      </c>
      <c r="B1" s="73" t="s">
        <v>202</v>
      </c>
      <c r="C1" t="s">
        <v>204</v>
      </c>
    </row>
    <row r="2" spans="1:3" x14ac:dyDescent="0.2">
      <c r="A2" s="75">
        <v>1</v>
      </c>
      <c r="B2" s="76">
        <v>3000</v>
      </c>
      <c r="C2" s="78">
        <f>B2*A2</f>
        <v>3000</v>
      </c>
    </row>
    <row r="3" spans="1:3" x14ac:dyDescent="0.2">
      <c r="A3" s="75">
        <v>1</v>
      </c>
      <c r="B3" s="74">
        <v>3000</v>
      </c>
      <c r="C3" s="78">
        <f t="shared" ref="C3:C66" si="0">B3*A3</f>
        <v>3000</v>
      </c>
    </row>
    <row r="4" spans="1:3" x14ac:dyDescent="0.2">
      <c r="A4" s="75">
        <v>4</v>
      </c>
      <c r="B4" s="74">
        <v>4200</v>
      </c>
      <c r="C4" s="78">
        <f t="shared" si="0"/>
        <v>16800</v>
      </c>
    </row>
    <row r="5" spans="1:3" x14ac:dyDescent="0.2">
      <c r="A5" s="77">
        <v>4</v>
      </c>
      <c r="B5" s="74">
        <v>400</v>
      </c>
      <c r="C5" s="78">
        <f t="shared" si="0"/>
        <v>1600</v>
      </c>
    </row>
    <row r="6" spans="1:3" x14ac:dyDescent="0.2">
      <c r="A6" s="77">
        <v>4</v>
      </c>
      <c r="B6" s="74">
        <v>635.95000000000005</v>
      </c>
      <c r="C6" s="78">
        <f t="shared" si="0"/>
        <v>2543.8000000000002</v>
      </c>
    </row>
    <row r="7" spans="1:3" x14ac:dyDescent="0.2">
      <c r="A7" s="77">
        <v>2</v>
      </c>
      <c r="B7" s="74">
        <v>69.2</v>
      </c>
      <c r="C7" s="78">
        <f t="shared" si="0"/>
        <v>138.4</v>
      </c>
    </row>
    <row r="8" spans="1:3" x14ac:dyDescent="0.2">
      <c r="A8" s="77">
        <v>1</v>
      </c>
      <c r="B8" s="74">
        <v>3000</v>
      </c>
      <c r="C8" s="78">
        <f t="shared" si="0"/>
        <v>3000</v>
      </c>
    </row>
    <row r="9" spans="1:3" x14ac:dyDescent="0.2">
      <c r="A9" s="77">
        <v>10</v>
      </c>
      <c r="B9" s="74">
        <v>87.31</v>
      </c>
      <c r="C9" s="78">
        <f t="shared" si="0"/>
        <v>873.1</v>
      </c>
    </row>
    <row r="10" spans="1:3" x14ac:dyDescent="0.2">
      <c r="A10" s="77">
        <v>13</v>
      </c>
      <c r="B10" s="74">
        <v>58.02</v>
      </c>
      <c r="C10" s="78">
        <f t="shared" si="0"/>
        <v>754.26</v>
      </c>
    </row>
    <row r="11" spans="1:3" x14ac:dyDescent="0.2">
      <c r="A11" s="77">
        <v>15</v>
      </c>
      <c r="B11" s="74">
        <v>58.02</v>
      </c>
      <c r="C11" s="78">
        <f t="shared" si="0"/>
        <v>870.30000000000007</v>
      </c>
    </row>
    <row r="12" spans="1:3" x14ac:dyDescent="0.2">
      <c r="A12" s="77">
        <v>15</v>
      </c>
      <c r="B12" s="74">
        <v>47.9</v>
      </c>
      <c r="C12" s="78">
        <f t="shared" si="0"/>
        <v>718.5</v>
      </c>
    </row>
    <row r="13" spans="1:3" x14ac:dyDescent="0.2">
      <c r="A13" s="77">
        <v>15</v>
      </c>
      <c r="B13" s="74">
        <v>53.32</v>
      </c>
      <c r="C13" s="78">
        <f t="shared" si="0"/>
        <v>799.8</v>
      </c>
    </row>
    <row r="14" spans="1:3" x14ac:dyDescent="0.2">
      <c r="A14" s="77">
        <v>12</v>
      </c>
      <c r="B14" s="74">
        <v>321.60000000000002</v>
      </c>
      <c r="C14" s="78">
        <f t="shared" si="0"/>
        <v>3859.2000000000003</v>
      </c>
    </row>
    <row r="15" spans="1:3" x14ac:dyDescent="0.2">
      <c r="A15" s="77">
        <v>15</v>
      </c>
      <c r="B15" s="74">
        <v>40.9</v>
      </c>
      <c r="C15" s="78">
        <f t="shared" si="0"/>
        <v>613.5</v>
      </c>
    </row>
    <row r="16" spans="1:3" x14ac:dyDescent="0.2">
      <c r="A16" s="77">
        <v>3</v>
      </c>
      <c r="B16" s="74">
        <v>40.9</v>
      </c>
      <c r="C16" s="78">
        <f t="shared" si="0"/>
        <v>122.69999999999999</v>
      </c>
    </row>
    <row r="17" spans="1:3" x14ac:dyDescent="0.2">
      <c r="A17" s="77">
        <v>3</v>
      </c>
      <c r="B17" s="74">
        <v>40.01</v>
      </c>
      <c r="C17" s="78">
        <f t="shared" si="0"/>
        <v>120.03</v>
      </c>
    </row>
    <row r="18" spans="1:3" x14ac:dyDescent="0.2">
      <c r="A18" s="77">
        <v>13</v>
      </c>
      <c r="B18" s="74">
        <v>40.01</v>
      </c>
      <c r="C18" s="78">
        <f t="shared" si="0"/>
        <v>520.13</v>
      </c>
    </row>
    <row r="19" spans="1:3" x14ac:dyDescent="0.2">
      <c r="A19" s="77">
        <v>15</v>
      </c>
      <c r="B19" s="74">
        <v>27.27</v>
      </c>
      <c r="C19" s="78">
        <f t="shared" si="0"/>
        <v>409.05</v>
      </c>
    </row>
    <row r="20" spans="1:3" x14ac:dyDescent="0.2">
      <c r="A20" s="77">
        <v>13</v>
      </c>
      <c r="B20" s="74">
        <v>36.630000000000003</v>
      </c>
      <c r="C20" s="78">
        <f t="shared" si="0"/>
        <v>476.19000000000005</v>
      </c>
    </row>
    <row r="21" spans="1:3" x14ac:dyDescent="0.2">
      <c r="A21" s="77">
        <v>15</v>
      </c>
      <c r="B21" s="74">
        <v>36.630000000000003</v>
      </c>
      <c r="C21" s="78">
        <f t="shared" si="0"/>
        <v>549.45000000000005</v>
      </c>
    </row>
    <row r="22" spans="1:3" x14ac:dyDescent="0.2">
      <c r="A22" s="77">
        <v>10</v>
      </c>
      <c r="B22" s="74">
        <v>16</v>
      </c>
      <c r="C22" s="78">
        <f t="shared" si="0"/>
        <v>160</v>
      </c>
    </row>
    <row r="23" spans="1:3" x14ac:dyDescent="0.2">
      <c r="A23" s="77">
        <v>10</v>
      </c>
      <c r="B23" s="74">
        <v>60</v>
      </c>
      <c r="C23" s="78">
        <f t="shared" si="0"/>
        <v>600</v>
      </c>
    </row>
    <row r="24" spans="1:3" x14ac:dyDescent="0.2">
      <c r="A24" s="77">
        <v>13</v>
      </c>
      <c r="B24" s="74">
        <v>5</v>
      </c>
      <c r="C24" s="78">
        <f t="shared" si="0"/>
        <v>65</v>
      </c>
    </row>
    <row r="25" spans="1:3" x14ac:dyDescent="0.2">
      <c r="A25" s="77">
        <v>10</v>
      </c>
      <c r="B25" s="74">
        <v>139.24</v>
      </c>
      <c r="C25" s="78">
        <f t="shared" si="0"/>
        <v>1392.4</v>
      </c>
    </row>
    <row r="26" spans="1:3" x14ac:dyDescent="0.2">
      <c r="A26" s="77">
        <v>28</v>
      </c>
      <c r="B26" s="74">
        <v>188.12</v>
      </c>
      <c r="C26" s="78">
        <f t="shared" si="0"/>
        <v>5267.3600000000006</v>
      </c>
    </row>
    <row r="27" spans="1:3" x14ac:dyDescent="0.2">
      <c r="A27" s="77">
        <v>10</v>
      </c>
      <c r="B27" s="74">
        <v>1300</v>
      </c>
      <c r="C27" s="78">
        <f t="shared" si="0"/>
        <v>13000</v>
      </c>
    </row>
    <row r="28" spans="1:3" x14ac:dyDescent="0.2">
      <c r="A28" s="77">
        <v>10</v>
      </c>
      <c r="B28" s="74">
        <v>166.35</v>
      </c>
      <c r="C28" s="78">
        <f t="shared" si="0"/>
        <v>1663.5</v>
      </c>
    </row>
    <row r="29" spans="1:3" x14ac:dyDescent="0.2">
      <c r="A29" s="77">
        <v>10</v>
      </c>
      <c r="B29" s="74">
        <v>140</v>
      </c>
      <c r="C29" s="78">
        <f t="shared" si="0"/>
        <v>1400</v>
      </c>
    </row>
    <row r="30" spans="1:3" x14ac:dyDescent="0.2">
      <c r="A30" s="77">
        <v>10</v>
      </c>
      <c r="B30" s="74">
        <v>2000</v>
      </c>
      <c r="C30" s="78">
        <f t="shared" si="0"/>
        <v>20000</v>
      </c>
    </row>
    <row r="31" spans="1:3" x14ac:dyDescent="0.2">
      <c r="A31" s="77">
        <v>13</v>
      </c>
      <c r="B31" s="74">
        <v>91.26</v>
      </c>
      <c r="C31" s="78">
        <f t="shared" si="0"/>
        <v>1186.3800000000001</v>
      </c>
    </row>
    <row r="32" spans="1:3" x14ac:dyDescent="0.2">
      <c r="A32" s="77">
        <v>13</v>
      </c>
      <c r="B32" s="74">
        <v>45.37</v>
      </c>
      <c r="C32" s="78">
        <f t="shared" si="0"/>
        <v>589.80999999999995</v>
      </c>
    </row>
    <row r="33" spans="1:3" x14ac:dyDescent="0.2">
      <c r="A33" s="77">
        <v>13</v>
      </c>
      <c r="B33" s="74">
        <v>137</v>
      </c>
      <c r="C33" s="78">
        <f t="shared" si="0"/>
        <v>1781</v>
      </c>
    </row>
    <row r="34" spans="1:3" x14ac:dyDescent="0.2">
      <c r="A34" s="77">
        <v>13</v>
      </c>
      <c r="B34" s="74">
        <v>26.24</v>
      </c>
      <c r="C34" s="78">
        <f t="shared" si="0"/>
        <v>341.12</v>
      </c>
    </row>
    <row r="35" spans="1:3" x14ac:dyDescent="0.2">
      <c r="A35" s="77">
        <v>10</v>
      </c>
      <c r="B35" s="74">
        <v>138.12</v>
      </c>
      <c r="C35" s="78">
        <f t="shared" si="0"/>
        <v>1381.2</v>
      </c>
    </row>
    <row r="36" spans="1:3" x14ac:dyDescent="0.2">
      <c r="A36" s="77">
        <v>10</v>
      </c>
      <c r="B36" s="74">
        <v>5747.38</v>
      </c>
      <c r="C36" s="78">
        <f t="shared" si="0"/>
        <v>57473.8</v>
      </c>
    </row>
    <row r="37" spans="1:3" x14ac:dyDescent="0.2">
      <c r="A37" s="77">
        <v>10</v>
      </c>
      <c r="B37" s="74">
        <v>257.60000000000002</v>
      </c>
      <c r="C37" s="78">
        <f t="shared" si="0"/>
        <v>2576</v>
      </c>
    </row>
    <row r="38" spans="1:3" x14ac:dyDescent="0.2">
      <c r="A38" s="77">
        <v>15</v>
      </c>
      <c r="B38" s="74">
        <v>43.52</v>
      </c>
      <c r="C38" s="78">
        <f t="shared" si="0"/>
        <v>652.80000000000007</v>
      </c>
    </row>
    <row r="39" spans="1:3" x14ac:dyDescent="0.2">
      <c r="A39" s="77">
        <v>15</v>
      </c>
      <c r="B39" s="74">
        <v>9.19</v>
      </c>
      <c r="C39" s="78">
        <f t="shared" si="0"/>
        <v>137.85</v>
      </c>
    </row>
    <row r="40" spans="1:3" x14ac:dyDescent="0.2">
      <c r="A40" s="77">
        <v>13</v>
      </c>
      <c r="B40" s="74">
        <v>98.44</v>
      </c>
      <c r="C40" s="78">
        <f t="shared" si="0"/>
        <v>1279.72</v>
      </c>
    </row>
    <row r="41" spans="1:3" x14ac:dyDescent="0.2">
      <c r="A41" s="77">
        <v>13</v>
      </c>
      <c r="B41" s="74">
        <v>52.72</v>
      </c>
      <c r="C41" s="78">
        <f t="shared" si="0"/>
        <v>685.36</v>
      </c>
    </row>
    <row r="42" spans="1:3" x14ac:dyDescent="0.2">
      <c r="A42" s="77">
        <v>12</v>
      </c>
      <c r="B42" s="74">
        <v>146</v>
      </c>
      <c r="C42" s="78">
        <f t="shared" si="0"/>
        <v>1752</v>
      </c>
    </row>
    <row r="43" spans="1:3" x14ac:dyDescent="0.2">
      <c r="A43" s="77">
        <v>10</v>
      </c>
      <c r="B43" s="74">
        <v>26.68</v>
      </c>
      <c r="C43" s="78">
        <f t="shared" si="0"/>
        <v>266.8</v>
      </c>
    </row>
    <row r="44" spans="1:3" x14ac:dyDescent="0.2">
      <c r="A44" s="77">
        <v>10</v>
      </c>
      <c r="B44" s="74">
        <v>459.42</v>
      </c>
      <c r="C44" s="78">
        <f t="shared" si="0"/>
        <v>4594.2</v>
      </c>
    </row>
    <row r="45" spans="1:3" x14ac:dyDescent="0.2">
      <c r="A45" s="77">
        <v>3</v>
      </c>
      <c r="B45" s="74">
        <v>60</v>
      </c>
      <c r="C45" s="78">
        <f t="shared" si="0"/>
        <v>180</v>
      </c>
    </row>
    <row r="46" spans="1:3" x14ac:dyDescent="0.2">
      <c r="A46" s="77">
        <v>10</v>
      </c>
      <c r="B46" s="74">
        <v>182.55</v>
      </c>
      <c r="C46" s="78">
        <f t="shared" si="0"/>
        <v>1825.5</v>
      </c>
    </row>
    <row r="47" spans="1:3" x14ac:dyDescent="0.2">
      <c r="A47" s="77">
        <v>10</v>
      </c>
      <c r="B47" s="74">
        <v>21.22</v>
      </c>
      <c r="C47" s="78">
        <f t="shared" si="0"/>
        <v>212.2</v>
      </c>
    </row>
    <row r="48" spans="1:3" x14ac:dyDescent="0.2">
      <c r="A48" s="77">
        <v>10</v>
      </c>
      <c r="B48" s="74">
        <v>2293</v>
      </c>
      <c r="C48" s="78">
        <f t="shared" si="0"/>
        <v>22930</v>
      </c>
    </row>
    <row r="49" spans="1:3" x14ac:dyDescent="0.2">
      <c r="A49" s="77">
        <v>10</v>
      </c>
      <c r="B49" s="74">
        <v>4720</v>
      </c>
      <c r="C49" s="78">
        <f t="shared" si="0"/>
        <v>47200</v>
      </c>
    </row>
    <row r="50" spans="1:3" x14ac:dyDescent="0.2">
      <c r="A50" s="77">
        <v>12</v>
      </c>
      <c r="B50" s="74">
        <v>1186.57</v>
      </c>
      <c r="C50" s="78">
        <f t="shared" si="0"/>
        <v>14238.84</v>
      </c>
    </row>
    <row r="51" spans="1:3" x14ac:dyDescent="0.2">
      <c r="A51" s="77">
        <v>10</v>
      </c>
      <c r="B51" s="74">
        <v>1081.17</v>
      </c>
      <c r="C51" s="78">
        <f t="shared" si="0"/>
        <v>10811.7</v>
      </c>
    </row>
    <row r="52" spans="1:3" x14ac:dyDescent="0.2">
      <c r="A52" s="77">
        <v>10</v>
      </c>
      <c r="B52" s="74">
        <v>763.75</v>
      </c>
      <c r="C52" s="78">
        <f t="shared" si="0"/>
        <v>7637.5</v>
      </c>
    </row>
    <row r="53" spans="1:3" x14ac:dyDescent="0.2">
      <c r="A53" s="77">
        <v>20</v>
      </c>
      <c r="B53" s="74">
        <v>84</v>
      </c>
      <c r="C53" s="78">
        <f t="shared" si="0"/>
        <v>1680</v>
      </c>
    </row>
    <row r="54" spans="1:3" x14ac:dyDescent="0.2">
      <c r="A54" s="77">
        <v>20</v>
      </c>
      <c r="B54" s="74">
        <v>84</v>
      </c>
      <c r="C54" s="78">
        <f t="shared" si="0"/>
        <v>1680</v>
      </c>
    </row>
    <row r="55" spans="1:3" x14ac:dyDescent="0.2">
      <c r="A55" s="77">
        <v>3</v>
      </c>
      <c r="B55" s="74">
        <v>89</v>
      </c>
      <c r="C55" s="78">
        <f t="shared" si="0"/>
        <v>267</v>
      </c>
    </row>
    <row r="56" spans="1:3" x14ac:dyDescent="0.2">
      <c r="A56" s="77">
        <v>10</v>
      </c>
      <c r="B56" s="74">
        <v>7.34</v>
      </c>
      <c r="C56" s="78">
        <f t="shared" si="0"/>
        <v>73.400000000000006</v>
      </c>
    </row>
    <row r="57" spans="1:3" x14ac:dyDescent="0.2">
      <c r="A57" s="77">
        <v>10</v>
      </c>
      <c r="B57" s="74">
        <v>950</v>
      </c>
      <c r="C57" s="78">
        <f t="shared" si="0"/>
        <v>9500</v>
      </c>
    </row>
    <row r="58" spans="1:3" x14ac:dyDescent="0.2">
      <c r="A58" s="77">
        <v>3</v>
      </c>
      <c r="B58" s="74">
        <v>700</v>
      </c>
      <c r="C58" s="78">
        <f t="shared" si="0"/>
        <v>2100</v>
      </c>
    </row>
    <row r="59" spans="1:3" x14ac:dyDescent="0.2">
      <c r="A59" s="77">
        <v>3</v>
      </c>
      <c r="B59" s="74">
        <v>459.9</v>
      </c>
      <c r="C59" s="78">
        <f t="shared" si="0"/>
        <v>1379.6999999999998</v>
      </c>
    </row>
    <row r="60" spans="1:3" x14ac:dyDescent="0.2">
      <c r="A60" s="77">
        <v>13</v>
      </c>
      <c r="B60" s="74">
        <v>7.28</v>
      </c>
      <c r="C60" s="78">
        <f t="shared" si="0"/>
        <v>94.64</v>
      </c>
    </row>
    <row r="61" spans="1:3" x14ac:dyDescent="0.2">
      <c r="A61" s="77">
        <v>13</v>
      </c>
      <c r="B61" s="74">
        <v>43.52</v>
      </c>
      <c r="C61" s="78">
        <f t="shared" si="0"/>
        <v>565.76</v>
      </c>
    </row>
    <row r="62" spans="1:3" x14ac:dyDescent="0.2">
      <c r="A62" s="77">
        <v>13</v>
      </c>
      <c r="B62" s="74">
        <v>399.26</v>
      </c>
      <c r="C62" s="78">
        <f t="shared" si="0"/>
        <v>5190.38</v>
      </c>
    </row>
    <row r="63" spans="1:3" x14ac:dyDescent="0.2">
      <c r="A63" s="77">
        <v>13</v>
      </c>
      <c r="B63" s="74">
        <v>234.15</v>
      </c>
      <c r="C63" s="78">
        <f t="shared" si="0"/>
        <v>3043.9500000000003</v>
      </c>
    </row>
    <row r="64" spans="1:3" x14ac:dyDescent="0.2">
      <c r="A64" s="77">
        <v>3</v>
      </c>
      <c r="B64" s="74">
        <v>80.36</v>
      </c>
      <c r="C64" s="78">
        <f t="shared" si="0"/>
        <v>241.07999999999998</v>
      </c>
    </row>
    <row r="65" spans="1:3" x14ac:dyDescent="0.2">
      <c r="A65" s="77">
        <v>15</v>
      </c>
      <c r="B65" s="74">
        <v>168.61</v>
      </c>
      <c r="C65" s="78">
        <f t="shared" si="0"/>
        <v>2529.15</v>
      </c>
    </row>
    <row r="66" spans="1:3" x14ac:dyDescent="0.2">
      <c r="A66" s="77">
        <v>15</v>
      </c>
      <c r="B66" s="74">
        <v>162.05000000000001</v>
      </c>
      <c r="C66" s="78">
        <f t="shared" si="0"/>
        <v>2430.75</v>
      </c>
    </row>
    <row r="67" spans="1:3" x14ac:dyDescent="0.2">
      <c r="A67" s="77">
        <v>13</v>
      </c>
      <c r="B67" s="74">
        <v>44.74</v>
      </c>
      <c r="C67" s="78">
        <f t="shared" ref="C67:C110" si="1">B67*A67</f>
        <v>581.62</v>
      </c>
    </row>
    <row r="68" spans="1:3" x14ac:dyDescent="0.2">
      <c r="A68" s="77">
        <v>15</v>
      </c>
      <c r="B68" s="74">
        <v>49</v>
      </c>
      <c r="C68" s="78">
        <f t="shared" si="1"/>
        <v>735</v>
      </c>
    </row>
    <row r="69" spans="1:3" x14ac:dyDescent="0.2">
      <c r="A69" s="77">
        <v>13</v>
      </c>
      <c r="B69" s="74">
        <v>101.13</v>
      </c>
      <c r="C69" s="78">
        <f t="shared" si="1"/>
        <v>1314.69</v>
      </c>
    </row>
    <row r="70" spans="1:3" x14ac:dyDescent="0.2">
      <c r="A70" s="77">
        <v>10</v>
      </c>
      <c r="B70" s="74">
        <v>200</v>
      </c>
      <c r="C70" s="78">
        <f t="shared" si="1"/>
        <v>2000</v>
      </c>
    </row>
    <row r="71" spans="1:3" x14ac:dyDescent="0.2">
      <c r="A71" s="77">
        <v>13</v>
      </c>
      <c r="B71" s="74">
        <v>29</v>
      </c>
      <c r="C71" s="78">
        <f t="shared" si="1"/>
        <v>377</v>
      </c>
    </row>
    <row r="72" spans="1:3" x14ac:dyDescent="0.2">
      <c r="A72" s="77">
        <v>10</v>
      </c>
      <c r="B72" s="74">
        <v>260</v>
      </c>
      <c r="C72" s="78">
        <f t="shared" si="1"/>
        <v>2600</v>
      </c>
    </row>
    <row r="73" spans="1:3" x14ac:dyDescent="0.2">
      <c r="A73" s="77">
        <v>16</v>
      </c>
      <c r="B73" s="74">
        <v>320</v>
      </c>
      <c r="C73" s="78">
        <f t="shared" si="1"/>
        <v>5120</v>
      </c>
    </row>
    <row r="74" spans="1:3" x14ac:dyDescent="0.2">
      <c r="A74" s="77">
        <v>16</v>
      </c>
      <c r="B74" s="74">
        <v>251.36</v>
      </c>
      <c r="C74" s="78">
        <f t="shared" si="1"/>
        <v>4021.76</v>
      </c>
    </row>
    <row r="75" spans="1:3" x14ac:dyDescent="0.2">
      <c r="A75" s="77">
        <v>10</v>
      </c>
      <c r="B75" s="74">
        <v>1500</v>
      </c>
      <c r="C75" s="78">
        <f t="shared" si="1"/>
        <v>15000</v>
      </c>
    </row>
    <row r="76" spans="1:3" x14ac:dyDescent="0.2">
      <c r="A76" s="77">
        <v>13</v>
      </c>
      <c r="B76" s="74">
        <v>134.01</v>
      </c>
      <c r="C76" s="78">
        <f t="shared" si="1"/>
        <v>1742.1299999999999</v>
      </c>
    </row>
    <row r="77" spans="1:3" x14ac:dyDescent="0.2">
      <c r="A77" s="77">
        <v>3</v>
      </c>
      <c r="B77" s="74">
        <v>419.99</v>
      </c>
      <c r="C77" s="78">
        <f t="shared" si="1"/>
        <v>1259.97</v>
      </c>
    </row>
    <row r="78" spans="1:3" x14ac:dyDescent="0.2">
      <c r="A78" s="77">
        <v>13</v>
      </c>
      <c r="B78" s="74">
        <v>315</v>
      </c>
      <c r="C78" s="78">
        <f t="shared" si="1"/>
        <v>4095</v>
      </c>
    </row>
    <row r="79" spans="1:3" x14ac:dyDescent="0.2">
      <c r="A79" s="77">
        <v>10</v>
      </c>
      <c r="B79" s="74">
        <v>1031</v>
      </c>
      <c r="C79" s="78">
        <f t="shared" si="1"/>
        <v>10310</v>
      </c>
    </row>
    <row r="80" spans="1:3" x14ac:dyDescent="0.2">
      <c r="A80" s="77">
        <v>10</v>
      </c>
      <c r="B80" s="74">
        <v>400</v>
      </c>
      <c r="C80" s="78">
        <f t="shared" si="1"/>
        <v>4000</v>
      </c>
    </row>
    <row r="81" spans="1:3" x14ac:dyDescent="0.2">
      <c r="A81" s="77">
        <v>13</v>
      </c>
      <c r="B81" s="74">
        <v>20.079999999999998</v>
      </c>
      <c r="C81" s="78">
        <f t="shared" si="1"/>
        <v>261.03999999999996</v>
      </c>
    </row>
    <row r="82" spans="1:3" x14ac:dyDescent="0.2">
      <c r="A82" s="77">
        <v>12</v>
      </c>
      <c r="B82" s="74">
        <v>147</v>
      </c>
      <c r="C82" s="78">
        <f t="shared" si="1"/>
        <v>1764</v>
      </c>
    </row>
    <row r="83" spans="1:3" x14ac:dyDescent="0.2">
      <c r="A83" s="77">
        <v>10</v>
      </c>
      <c r="B83" s="74">
        <v>600</v>
      </c>
      <c r="C83" s="78">
        <f t="shared" si="1"/>
        <v>6000</v>
      </c>
    </row>
    <row r="84" spans="1:3" x14ac:dyDescent="0.2">
      <c r="A84" s="77">
        <v>13</v>
      </c>
      <c r="B84" s="74">
        <v>660</v>
      </c>
      <c r="C84" s="78">
        <f t="shared" si="1"/>
        <v>8580</v>
      </c>
    </row>
    <row r="85" spans="1:3" x14ac:dyDescent="0.2">
      <c r="A85" s="77">
        <v>10</v>
      </c>
      <c r="B85" s="74">
        <v>1730.87</v>
      </c>
      <c r="C85" s="78">
        <f t="shared" si="1"/>
        <v>17308.699999999997</v>
      </c>
    </row>
    <row r="86" spans="1:3" x14ac:dyDescent="0.2">
      <c r="A86" s="77">
        <v>10</v>
      </c>
      <c r="B86" s="74">
        <v>53.24</v>
      </c>
      <c r="C86" s="78">
        <f t="shared" si="1"/>
        <v>532.4</v>
      </c>
    </row>
    <row r="87" spans="1:3" x14ac:dyDescent="0.2">
      <c r="A87" s="77">
        <v>10</v>
      </c>
      <c r="B87" s="74">
        <v>350</v>
      </c>
      <c r="C87" s="78">
        <f t="shared" si="1"/>
        <v>3500</v>
      </c>
    </row>
    <row r="88" spans="1:3" x14ac:dyDescent="0.2">
      <c r="A88" s="77">
        <v>3</v>
      </c>
      <c r="B88" s="74">
        <v>62.33</v>
      </c>
      <c r="C88" s="78">
        <f t="shared" si="1"/>
        <v>186.99</v>
      </c>
    </row>
    <row r="89" spans="1:3" x14ac:dyDescent="0.2">
      <c r="A89" s="77">
        <v>13</v>
      </c>
      <c r="B89" s="74">
        <v>14.42</v>
      </c>
      <c r="C89" s="78">
        <f t="shared" si="1"/>
        <v>187.46</v>
      </c>
    </row>
    <row r="90" spans="1:3" x14ac:dyDescent="0.2">
      <c r="A90" s="77">
        <v>28</v>
      </c>
      <c r="B90" s="74">
        <v>12.56</v>
      </c>
      <c r="C90" s="78">
        <f t="shared" si="1"/>
        <v>351.68</v>
      </c>
    </row>
    <row r="91" spans="1:3" x14ac:dyDescent="0.2">
      <c r="A91" s="77">
        <v>15</v>
      </c>
      <c r="B91" s="74">
        <v>2.2599999999999998</v>
      </c>
      <c r="C91" s="78">
        <f t="shared" si="1"/>
        <v>33.9</v>
      </c>
    </row>
    <row r="92" spans="1:3" x14ac:dyDescent="0.2">
      <c r="A92" s="77">
        <v>10</v>
      </c>
      <c r="B92" s="74">
        <v>990</v>
      </c>
      <c r="C92" s="78">
        <f t="shared" si="1"/>
        <v>9900</v>
      </c>
    </row>
    <row r="93" spans="1:3" x14ac:dyDescent="0.2">
      <c r="A93" s="77">
        <v>13</v>
      </c>
      <c r="B93" s="74">
        <v>24.09</v>
      </c>
      <c r="C93" s="78">
        <f t="shared" si="1"/>
        <v>313.17</v>
      </c>
    </row>
    <row r="94" spans="1:3" x14ac:dyDescent="0.2">
      <c r="A94" s="77">
        <v>13</v>
      </c>
      <c r="B94" s="74">
        <v>24.09</v>
      </c>
      <c r="C94" s="78">
        <f t="shared" si="1"/>
        <v>313.17</v>
      </c>
    </row>
    <row r="95" spans="1:3" x14ac:dyDescent="0.2">
      <c r="A95" s="77">
        <v>13</v>
      </c>
      <c r="B95" s="74">
        <v>134.01</v>
      </c>
      <c r="C95" s="78">
        <f t="shared" si="1"/>
        <v>1742.1299999999999</v>
      </c>
    </row>
    <row r="96" spans="1:3" x14ac:dyDescent="0.2">
      <c r="A96" s="77">
        <v>13</v>
      </c>
      <c r="B96" s="74">
        <v>134.01</v>
      </c>
      <c r="C96" s="78">
        <f t="shared" si="1"/>
        <v>1742.1299999999999</v>
      </c>
    </row>
    <row r="97" spans="1:3" x14ac:dyDescent="0.2">
      <c r="A97" s="75">
        <v>2900</v>
      </c>
      <c r="B97" s="76">
        <v>119.48</v>
      </c>
      <c r="C97" s="78">
        <f t="shared" si="1"/>
        <v>346492</v>
      </c>
    </row>
    <row r="98" spans="1:3" x14ac:dyDescent="0.2">
      <c r="A98" s="75">
        <v>5</v>
      </c>
      <c r="B98" s="74">
        <v>80000</v>
      </c>
      <c r="C98" s="78">
        <f t="shared" si="1"/>
        <v>400000</v>
      </c>
    </row>
    <row r="99" spans="1:3" x14ac:dyDescent="0.2">
      <c r="A99" s="75">
        <v>2</v>
      </c>
      <c r="B99" s="74">
        <v>608000</v>
      </c>
      <c r="C99" s="78">
        <f t="shared" si="1"/>
        <v>1216000</v>
      </c>
    </row>
    <row r="100" spans="1:3" x14ac:dyDescent="0.2">
      <c r="A100" s="77">
        <v>1</v>
      </c>
      <c r="B100" s="74">
        <v>100000</v>
      </c>
      <c r="C100" s="78">
        <f t="shared" si="1"/>
        <v>100000</v>
      </c>
    </row>
    <row r="101" spans="1:3" x14ac:dyDescent="0.2">
      <c r="A101" s="77">
        <v>4</v>
      </c>
      <c r="B101" s="74">
        <v>80000</v>
      </c>
      <c r="C101" s="78">
        <f t="shared" si="1"/>
        <v>320000</v>
      </c>
    </row>
    <row r="102" spans="1:3" x14ac:dyDescent="0.2">
      <c r="A102" s="77">
        <v>2</v>
      </c>
      <c r="B102" s="74">
        <v>250000</v>
      </c>
      <c r="C102" s="78">
        <f t="shared" si="1"/>
        <v>500000</v>
      </c>
    </row>
    <row r="103" spans="1:3" x14ac:dyDescent="0.2">
      <c r="A103" s="77">
        <v>15</v>
      </c>
      <c r="B103" s="74">
        <v>261</v>
      </c>
      <c r="C103" s="78">
        <f t="shared" si="1"/>
        <v>3915</v>
      </c>
    </row>
    <row r="104" spans="1:3" x14ac:dyDescent="0.2">
      <c r="A104" s="77">
        <v>60</v>
      </c>
      <c r="B104" s="74">
        <v>407.71</v>
      </c>
      <c r="C104" s="78">
        <f t="shared" si="1"/>
        <v>24462.6</v>
      </c>
    </row>
    <row r="105" spans="1:3" x14ac:dyDescent="0.2">
      <c r="A105" s="77">
        <v>30</v>
      </c>
      <c r="B105" s="74">
        <v>132.19999999999999</v>
      </c>
      <c r="C105" s="78">
        <f t="shared" si="1"/>
        <v>3965.9999999999995</v>
      </c>
    </row>
    <row r="106" spans="1:3" x14ac:dyDescent="0.2">
      <c r="A106" s="77">
        <v>30</v>
      </c>
      <c r="B106" s="74">
        <v>296.31</v>
      </c>
      <c r="C106" s="78">
        <f t="shared" si="1"/>
        <v>8889.2999999999993</v>
      </c>
    </row>
    <row r="107" spans="1:3" x14ac:dyDescent="0.2">
      <c r="A107" s="77">
        <v>15</v>
      </c>
      <c r="B107" s="74">
        <v>191.05</v>
      </c>
      <c r="C107" s="78">
        <f t="shared" si="1"/>
        <v>2865.75</v>
      </c>
    </row>
    <row r="108" spans="1:3" x14ac:dyDescent="0.2">
      <c r="A108" s="77">
        <v>1</v>
      </c>
      <c r="B108" s="74">
        <v>359000</v>
      </c>
      <c r="C108" s="78">
        <f t="shared" si="1"/>
        <v>359000</v>
      </c>
    </row>
    <row r="109" spans="1:3" x14ac:dyDescent="0.2">
      <c r="A109" s="77">
        <v>6</v>
      </c>
      <c r="B109" s="74">
        <v>118000</v>
      </c>
      <c r="C109" s="78">
        <f t="shared" si="1"/>
        <v>708000</v>
      </c>
    </row>
    <row r="110" spans="1:3" x14ac:dyDescent="0.2">
      <c r="A110" s="77">
        <v>1</v>
      </c>
      <c r="B110" s="74">
        <v>1215550</v>
      </c>
      <c r="C110" s="78">
        <f t="shared" si="1"/>
        <v>1215550</v>
      </c>
    </row>
    <row r="113" spans="2:3" x14ac:dyDescent="0.2">
      <c r="B113" t="s">
        <v>203</v>
      </c>
      <c r="C113" s="78">
        <f>SUM(C2:C110)</f>
        <v>5609840.8499999996</v>
      </c>
    </row>
  </sheetData>
  <protectedRanges>
    <protectedRange sqref="A2:B96" name="Intervalo1"/>
    <protectedRange sqref="A97:B110" name="Intervalo1_1"/>
  </protectedRange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C131"/>
  <sheetViews>
    <sheetView showGridLines="0" workbookViewId="0">
      <selection sqref="A1:B1"/>
    </sheetView>
  </sheetViews>
  <sheetFormatPr defaultRowHeight="26.25" customHeight="1" x14ac:dyDescent="0.2"/>
  <cols>
    <col min="1" max="1" width="28.7109375" style="24" customWidth="1"/>
    <col min="2" max="2" width="18.42578125" style="23" bestFit="1" customWidth="1"/>
  </cols>
  <sheetData>
    <row r="1" spans="1:3" ht="48" customHeight="1" x14ac:dyDescent="0.2">
      <c r="A1" s="142" t="s">
        <v>18</v>
      </c>
      <c r="B1" s="142"/>
      <c r="C1" s="26"/>
    </row>
    <row r="2" spans="1:3" ht="26.25" customHeight="1" x14ac:dyDescent="0.35">
      <c r="A2" s="7" t="s">
        <v>16</v>
      </c>
      <c r="B2" s="25" t="s">
        <v>17</v>
      </c>
    </row>
    <row r="3" spans="1:3" ht="26.25" customHeight="1" x14ac:dyDescent="0.2">
      <c r="A3" s="24">
        <f t="array" ref="A3">IFERROR(INDEX(CampoQuem,MATCH(0,COUNTIF($A$2:A2,CampoQuem),0)),"")</f>
        <v>0</v>
      </c>
      <c r="B3" s="23">
        <f t="shared" ref="B3:B66" si="0">IF(A3="","",ROW())</f>
        <v>3</v>
      </c>
    </row>
    <row r="4" spans="1:3" ht="26.25" customHeight="1" x14ac:dyDescent="0.2">
      <c r="A4" s="24" t="str">
        <f t="array" ref="A4">IFERROR(INDEX(CampoQuem,MATCH(0,COUNTIF($A$2:A3,CampoQuem),0)),"")</f>
        <v/>
      </c>
      <c r="B4" s="23" t="str">
        <f t="shared" si="0"/>
        <v/>
      </c>
    </row>
    <row r="5" spans="1:3" ht="26.25" customHeight="1" x14ac:dyDescent="0.2">
      <c r="A5" s="24" t="str">
        <f t="array" ref="A5">IFERROR(INDEX(CampoQuem,MATCH(0,COUNTIF($A$2:A4,CampoQuem),0)),"")</f>
        <v/>
      </c>
      <c r="B5" s="23" t="str">
        <f t="shared" si="0"/>
        <v/>
      </c>
    </row>
    <row r="6" spans="1:3" ht="26.25" customHeight="1" x14ac:dyDescent="0.2">
      <c r="A6" s="24" t="str">
        <f t="array" ref="A6">IFERROR(INDEX(CampoQuem,MATCH(0,COUNTIF($A$2:A5,CampoQuem),0)),"")</f>
        <v/>
      </c>
      <c r="B6" s="23" t="str">
        <f t="shared" si="0"/>
        <v/>
      </c>
    </row>
    <row r="7" spans="1:3" ht="26.25" customHeight="1" x14ac:dyDescent="0.2">
      <c r="A7" s="24" t="str">
        <f t="array" ref="A7">IFERROR(INDEX(CampoQuem,MATCH(0,COUNTIF($A$2:A6,CampoQuem),0)),"")</f>
        <v/>
      </c>
      <c r="B7" s="23" t="str">
        <f t="shared" si="0"/>
        <v/>
      </c>
    </row>
    <row r="8" spans="1:3" ht="26.25" customHeight="1" x14ac:dyDescent="0.2">
      <c r="A8" s="24" t="str">
        <f t="array" ref="A8">IFERROR(INDEX(CampoQuem,MATCH(0,COUNTIF($A$2:A7,CampoQuem),0)),"")</f>
        <v/>
      </c>
      <c r="B8" s="23" t="str">
        <f t="shared" si="0"/>
        <v/>
      </c>
    </row>
    <row r="9" spans="1:3" ht="26.25" customHeight="1" x14ac:dyDescent="0.2">
      <c r="A9" s="24" t="str">
        <f t="array" ref="A9">IFERROR(INDEX(CampoQuem,MATCH(0,COUNTIF($A$2:A8,CampoQuem),0)),"")</f>
        <v/>
      </c>
      <c r="B9" s="23" t="str">
        <f t="shared" si="0"/>
        <v/>
      </c>
    </row>
    <row r="10" spans="1:3" ht="26.25" customHeight="1" x14ac:dyDescent="0.2">
      <c r="A10" s="24" t="str">
        <f t="array" ref="A10">IFERROR(INDEX(CampoQuem,MATCH(0,COUNTIF($A$2:A9,CampoQuem),0)),"")</f>
        <v/>
      </c>
      <c r="B10" s="23" t="str">
        <f t="shared" si="0"/>
        <v/>
      </c>
    </row>
    <row r="11" spans="1:3" ht="26.25" customHeight="1" x14ac:dyDescent="0.2">
      <c r="A11" s="24" t="str">
        <f t="array" ref="A11">IFERROR(INDEX(CampoQuem,MATCH(0,COUNTIF($A$2:A10,CampoQuem),0)),"")</f>
        <v/>
      </c>
      <c r="B11" s="23" t="str">
        <f t="shared" si="0"/>
        <v/>
      </c>
    </row>
    <row r="12" spans="1:3" ht="26.25" customHeight="1" x14ac:dyDescent="0.2">
      <c r="A12" s="24" t="str">
        <f t="array" ref="A12">IFERROR(INDEX(CampoQuem,MATCH(0,COUNTIF($A$2:A11,CampoQuem),0)),"")</f>
        <v/>
      </c>
      <c r="B12" s="23" t="str">
        <f t="shared" si="0"/>
        <v/>
      </c>
    </row>
    <row r="13" spans="1:3" ht="26.25" customHeight="1" x14ac:dyDescent="0.2">
      <c r="A13" s="24" t="str">
        <f t="array" ref="A13">IFERROR(INDEX(CampoQuem,MATCH(0,COUNTIF($A$2:A12,CampoQuem),0)),"")</f>
        <v/>
      </c>
      <c r="B13" s="23" t="str">
        <f t="shared" si="0"/>
        <v/>
      </c>
    </row>
    <row r="14" spans="1:3" ht="26.25" customHeight="1" x14ac:dyDescent="0.2">
      <c r="A14" s="24" t="str">
        <f t="array" ref="A14">IFERROR(INDEX(CampoQuem,MATCH(0,COUNTIF($A$2:A13,CampoQuem),0)),"")</f>
        <v/>
      </c>
      <c r="B14" s="23" t="str">
        <f t="shared" si="0"/>
        <v/>
      </c>
    </row>
    <row r="15" spans="1:3" ht="26.25" customHeight="1" x14ac:dyDescent="0.2">
      <c r="A15" s="24" t="str">
        <f t="array" ref="A15">IFERROR(INDEX(CampoQuem,MATCH(0,COUNTIF($A$2:A14,CampoQuem),0)),"")</f>
        <v/>
      </c>
      <c r="B15" s="23" t="str">
        <f t="shared" si="0"/>
        <v/>
      </c>
    </row>
    <row r="16" spans="1:3" ht="26.25" customHeight="1" x14ac:dyDescent="0.2">
      <c r="A16" s="24" t="str">
        <f t="array" ref="A16">IFERROR(INDEX(CampoQuem,MATCH(0,COUNTIF($A$2:A15,CampoQuem),0)),"")</f>
        <v/>
      </c>
      <c r="B16" s="23" t="str">
        <f t="shared" si="0"/>
        <v/>
      </c>
    </row>
    <row r="17" spans="1:2" ht="26.25" customHeight="1" x14ac:dyDescent="0.2">
      <c r="A17" s="24" t="str">
        <f t="array" ref="A17">IFERROR(INDEX(CampoQuem,MATCH(0,COUNTIF($A$2:A16,CampoQuem),0)),"")</f>
        <v/>
      </c>
      <c r="B17" s="23" t="str">
        <f t="shared" si="0"/>
        <v/>
      </c>
    </row>
    <row r="18" spans="1:2" ht="26.25" customHeight="1" x14ac:dyDescent="0.2">
      <c r="A18" s="24" t="str">
        <f t="array" ref="A18">IFERROR(INDEX(CampoQuem,MATCH(0,COUNTIF($A$2:A17,CampoQuem),0)),"")</f>
        <v/>
      </c>
      <c r="B18" s="23" t="str">
        <f t="shared" si="0"/>
        <v/>
      </c>
    </row>
    <row r="19" spans="1:2" ht="26.25" customHeight="1" x14ac:dyDescent="0.2">
      <c r="A19" s="24" t="str">
        <f t="array" ref="A19">IFERROR(INDEX(CampoQuem,MATCH(0,COUNTIF($A$2:A18,CampoQuem),0)),"")</f>
        <v/>
      </c>
      <c r="B19" s="23" t="str">
        <f t="shared" si="0"/>
        <v/>
      </c>
    </row>
    <row r="20" spans="1:2" ht="26.25" customHeight="1" x14ac:dyDescent="0.2">
      <c r="A20" s="24" t="str">
        <f t="array" ref="A20">IFERROR(INDEX(CampoQuem,MATCH(0,COUNTIF($A$2:A19,CampoQuem),0)),"")</f>
        <v/>
      </c>
      <c r="B20" s="23" t="str">
        <f t="shared" si="0"/>
        <v/>
      </c>
    </row>
    <row r="21" spans="1:2" ht="26.25" customHeight="1" x14ac:dyDescent="0.2">
      <c r="A21" s="24" t="str">
        <f t="array" ref="A21">IFERROR(INDEX(CampoQuem,MATCH(0,COUNTIF($A$2:A20,CampoQuem),0)),"")</f>
        <v/>
      </c>
      <c r="B21" s="23" t="str">
        <f t="shared" si="0"/>
        <v/>
      </c>
    </row>
    <row r="22" spans="1:2" ht="26.25" customHeight="1" x14ac:dyDescent="0.2">
      <c r="A22" s="24" t="str">
        <f t="array" ref="A22">IFERROR(INDEX(CampoQuem,MATCH(0,COUNTIF($A$2:A21,CampoQuem),0)),"")</f>
        <v/>
      </c>
      <c r="B22" s="23" t="str">
        <f t="shared" si="0"/>
        <v/>
      </c>
    </row>
    <row r="23" spans="1:2" ht="26.25" customHeight="1" x14ac:dyDescent="0.2">
      <c r="A23" s="24" t="str">
        <f t="array" ref="A23">IFERROR(INDEX(CampoQuem,MATCH(0,COUNTIF($A$2:A22,CampoQuem),0)),"")</f>
        <v/>
      </c>
      <c r="B23" s="23" t="str">
        <f t="shared" si="0"/>
        <v/>
      </c>
    </row>
    <row r="24" spans="1:2" ht="26.25" customHeight="1" x14ac:dyDescent="0.2">
      <c r="A24" s="24" t="str">
        <f t="array" ref="A24">IFERROR(INDEX(CampoQuem,MATCH(0,COUNTIF($A$2:A23,CampoQuem),0)),"")</f>
        <v/>
      </c>
      <c r="B24" s="23" t="str">
        <f t="shared" si="0"/>
        <v/>
      </c>
    </row>
    <row r="25" spans="1:2" ht="26.25" customHeight="1" x14ac:dyDescent="0.2">
      <c r="A25" s="24" t="str">
        <f t="array" ref="A25">IFERROR(INDEX(CampoQuem,MATCH(0,COUNTIF($A$2:A24,CampoQuem),0)),"")</f>
        <v/>
      </c>
      <c r="B25" s="23" t="str">
        <f t="shared" si="0"/>
        <v/>
      </c>
    </row>
    <row r="26" spans="1:2" ht="26.25" customHeight="1" x14ac:dyDescent="0.2">
      <c r="A26" s="24" t="str">
        <f t="array" ref="A26">IFERROR(INDEX(CampoQuem,MATCH(0,COUNTIF($A$2:A25,CampoQuem),0)),"")</f>
        <v/>
      </c>
      <c r="B26" s="23" t="str">
        <f t="shared" si="0"/>
        <v/>
      </c>
    </row>
    <row r="27" spans="1:2" ht="26.25" customHeight="1" x14ac:dyDescent="0.2">
      <c r="A27" s="24" t="str">
        <f t="array" ref="A27">IFERROR(INDEX(CampoQuem,MATCH(0,COUNTIF($A$2:A26,CampoQuem),0)),"")</f>
        <v/>
      </c>
      <c r="B27" s="23" t="str">
        <f t="shared" si="0"/>
        <v/>
      </c>
    </row>
    <row r="28" spans="1:2" ht="26.25" customHeight="1" x14ac:dyDescent="0.2">
      <c r="A28" s="24" t="str">
        <f t="array" ref="A28">IFERROR(INDEX(CampoQuem,MATCH(0,COUNTIF($A$2:A27,CampoQuem),0)),"")</f>
        <v/>
      </c>
      <c r="B28" s="23" t="str">
        <f t="shared" si="0"/>
        <v/>
      </c>
    </row>
    <row r="29" spans="1:2" ht="26.25" customHeight="1" x14ac:dyDescent="0.2">
      <c r="A29" s="24" t="str">
        <f t="array" ref="A29">IFERROR(INDEX(CampoQuem,MATCH(0,COUNTIF($A$2:A28,CampoQuem),0)),"")</f>
        <v/>
      </c>
      <c r="B29" s="23" t="str">
        <f t="shared" si="0"/>
        <v/>
      </c>
    </row>
    <row r="30" spans="1:2" ht="26.25" customHeight="1" x14ac:dyDescent="0.2">
      <c r="A30" s="24" t="str">
        <f t="array" ref="A30">IFERROR(INDEX(CampoQuem,MATCH(0,COUNTIF($A$2:A29,CampoQuem),0)),"")</f>
        <v/>
      </c>
      <c r="B30" s="23" t="str">
        <f t="shared" si="0"/>
        <v/>
      </c>
    </row>
    <row r="31" spans="1:2" ht="26.25" customHeight="1" x14ac:dyDescent="0.2">
      <c r="A31" s="24" t="str">
        <f t="array" ref="A31">IFERROR(INDEX(CampoQuem,MATCH(0,COUNTIF($A$2:A30,CampoQuem),0)),"")</f>
        <v/>
      </c>
      <c r="B31" s="23" t="str">
        <f t="shared" si="0"/>
        <v/>
      </c>
    </row>
    <row r="32" spans="1:2" ht="26.25" customHeight="1" x14ac:dyDescent="0.2">
      <c r="A32" s="24" t="str">
        <f t="array" ref="A32">IFERROR(INDEX(CampoQuem,MATCH(0,COUNTIF($A$2:A31,CampoQuem),0)),"")</f>
        <v/>
      </c>
      <c r="B32" s="23" t="str">
        <f t="shared" si="0"/>
        <v/>
      </c>
    </row>
    <row r="33" spans="1:2" ht="26.25" customHeight="1" x14ac:dyDescent="0.2">
      <c r="A33" s="24" t="str">
        <f t="array" ref="A33">IFERROR(INDEX(CampoQuem,MATCH(0,COUNTIF($A$2:A32,CampoQuem),0)),"")</f>
        <v/>
      </c>
      <c r="B33" s="23" t="str">
        <f t="shared" si="0"/>
        <v/>
      </c>
    </row>
    <row r="34" spans="1:2" ht="26.25" customHeight="1" x14ac:dyDescent="0.2">
      <c r="A34" s="24" t="str">
        <f t="array" ref="A34">IFERROR(INDEX(CampoQuem,MATCH(0,COUNTIF($A$2:A33,CampoQuem),0)),"")</f>
        <v/>
      </c>
      <c r="B34" s="23" t="str">
        <f t="shared" si="0"/>
        <v/>
      </c>
    </row>
    <row r="35" spans="1:2" ht="26.25" customHeight="1" x14ac:dyDescent="0.2">
      <c r="A35" s="24" t="str">
        <f t="array" ref="A35">IFERROR(INDEX(CampoQuem,MATCH(0,COUNTIF($A$2:A34,CampoQuem),0)),"")</f>
        <v/>
      </c>
      <c r="B35" s="23" t="str">
        <f t="shared" si="0"/>
        <v/>
      </c>
    </row>
    <row r="36" spans="1:2" ht="26.25" customHeight="1" x14ac:dyDescent="0.2">
      <c r="A36" s="24" t="str">
        <f t="array" ref="A36">IFERROR(INDEX(CampoQuem,MATCH(0,COUNTIF($A$2:A35,CampoQuem),0)),"")</f>
        <v/>
      </c>
      <c r="B36" s="23" t="str">
        <f t="shared" si="0"/>
        <v/>
      </c>
    </row>
    <row r="37" spans="1:2" ht="26.25" customHeight="1" x14ac:dyDescent="0.2">
      <c r="A37" s="24" t="str">
        <f t="array" ref="A37">IFERROR(INDEX(CampoQuem,MATCH(0,COUNTIF($A$2:A36,CampoQuem),0)),"")</f>
        <v/>
      </c>
      <c r="B37" s="23" t="str">
        <f t="shared" si="0"/>
        <v/>
      </c>
    </row>
    <row r="38" spans="1:2" ht="26.25" customHeight="1" x14ac:dyDescent="0.2">
      <c r="A38" s="24" t="str">
        <f t="array" ref="A38">IFERROR(INDEX(CampoQuem,MATCH(0,COUNTIF($A$2:A37,CampoQuem),0)),"")</f>
        <v/>
      </c>
      <c r="B38" s="23" t="str">
        <f t="shared" si="0"/>
        <v/>
      </c>
    </row>
    <row r="39" spans="1:2" ht="26.25" customHeight="1" x14ac:dyDescent="0.2">
      <c r="A39" s="24" t="str">
        <f t="array" ref="A39">IFERROR(INDEX(CampoQuem,MATCH(0,COUNTIF($A$2:A38,CampoQuem),0)),"")</f>
        <v/>
      </c>
      <c r="B39" s="23" t="str">
        <f t="shared" si="0"/>
        <v/>
      </c>
    </row>
    <row r="40" spans="1:2" ht="26.25" customHeight="1" x14ac:dyDescent="0.2">
      <c r="A40" s="24" t="str">
        <f t="array" ref="A40">IFERROR(INDEX(CampoQuem,MATCH(0,COUNTIF($A$2:A39,CampoQuem),0)),"")</f>
        <v/>
      </c>
      <c r="B40" s="23" t="str">
        <f t="shared" si="0"/>
        <v/>
      </c>
    </row>
    <row r="41" spans="1:2" ht="26.25" customHeight="1" x14ac:dyDescent="0.2">
      <c r="A41" s="24" t="str">
        <f t="array" ref="A41">IFERROR(INDEX(CampoQuem,MATCH(0,COUNTIF($A$2:A40,CampoQuem),0)),"")</f>
        <v/>
      </c>
      <c r="B41" s="23" t="str">
        <f t="shared" si="0"/>
        <v/>
      </c>
    </row>
    <row r="42" spans="1:2" ht="26.25" customHeight="1" x14ac:dyDescent="0.2">
      <c r="A42" s="24" t="str">
        <f t="array" ref="A42">IFERROR(INDEX(CampoQuem,MATCH(0,COUNTIF($A$2:A41,CampoQuem),0)),"")</f>
        <v/>
      </c>
      <c r="B42" s="23" t="str">
        <f t="shared" si="0"/>
        <v/>
      </c>
    </row>
    <row r="43" spans="1:2" ht="26.25" customHeight="1" x14ac:dyDescent="0.2">
      <c r="A43" s="24" t="str">
        <f t="array" ref="A43">IFERROR(INDEX(CampoQuem,MATCH(0,COUNTIF($A$2:A42,CampoQuem),0)),"")</f>
        <v/>
      </c>
      <c r="B43" s="23" t="str">
        <f t="shared" si="0"/>
        <v/>
      </c>
    </row>
    <row r="44" spans="1:2" ht="26.25" customHeight="1" x14ac:dyDescent="0.2">
      <c r="A44" s="24" t="str">
        <f t="array" ref="A44">IFERROR(INDEX(CampoQuem,MATCH(0,COUNTIF($A$2:A43,CampoQuem),0)),"")</f>
        <v/>
      </c>
      <c r="B44" s="23" t="str">
        <f t="shared" si="0"/>
        <v/>
      </c>
    </row>
    <row r="45" spans="1:2" ht="26.25" customHeight="1" x14ac:dyDescent="0.2">
      <c r="A45" s="24" t="str">
        <f t="array" ref="A45">IFERROR(INDEX(CampoQuem,MATCH(0,COUNTIF($A$2:A44,CampoQuem),0)),"")</f>
        <v/>
      </c>
      <c r="B45" s="23" t="str">
        <f t="shared" si="0"/>
        <v/>
      </c>
    </row>
    <row r="46" spans="1:2" ht="26.25" customHeight="1" x14ac:dyDescent="0.2">
      <c r="A46" s="24" t="str">
        <f t="array" ref="A46">IFERROR(INDEX(CampoQuem,MATCH(0,COUNTIF($A$2:A45,CampoQuem),0)),"")</f>
        <v/>
      </c>
      <c r="B46" s="23" t="str">
        <f t="shared" si="0"/>
        <v/>
      </c>
    </row>
    <row r="47" spans="1:2" ht="26.25" customHeight="1" x14ac:dyDescent="0.2">
      <c r="A47" s="24" t="str">
        <f t="array" ref="A47">IFERROR(INDEX(CampoQuem,MATCH(0,COUNTIF($A$2:A46,CampoQuem),0)),"")</f>
        <v/>
      </c>
      <c r="B47" s="23" t="str">
        <f t="shared" si="0"/>
        <v/>
      </c>
    </row>
    <row r="48" spans="1:2" ht="26.25" customHeight="1" x14ac:dyDescent="0.2">
      <c r="A48" s="24" t="str">
        <f t="array" ref="A48">IFERROR(INDEX(CampoQuem,MATCH(0,COUNTIF($A$2:A47,CampoQuem),0)),"")</f>
        <v/>
      </c>
      <c r="B48" s="23" t="str">
        <f t="shared" si="0"/>
        <v/>
      </c>
    </row>
    <row r="49" spans="1:2" ht="26.25" customHeight="1" x14ac:dyDescent="0.2">
      <c r="A49" s="24" t="str">
        <f t="array" ref="A49">IFERROR(INDEX(CampoQuem,MATCH(0,COUNTIF($A$2:A48,CampoQuem),0)),"")</f>
        <v/>
      </c>
      <c r="B49" s="23" t="str">
        <f t="shared" si="0"/>
        <v/>
      </c>
    </row>
    <row r="50" spans="1:2" ht="26.25" customHeight="1" x14ac:dyDescent="0.2">
      <c r="A50" s="24" t="str">
        <f t="array" ref="A50">IFERROR(INDEX(CampoQuem,MATCH(0,COUNTIF($A$2:A49,CampoQuem),0)),"")</f>
        <v/>
      </c>
      <c r="B50" s="23" t="str">
        <f t="shared" si="0"/>
        <v/>
      </c>
    </row>
    <row r="51" spans="1:2" ht="26.25" customHeight="1" x14ac:dyDescent="0.2">
      <c r="A51" s="24" t="str">
        <f t="array" ref="A51">IFERROR(INDEX(CampoQuem,MATCH(0,COUNTIF($A$2:A50,CampoQuem),0)),"")</f>
        <v/>
      </c>
      <c r="B51" s="23" t="str">
        <f t="shared" si="0"/>
        <v/>
      </c>
    </row>
    <row r="52" spans="1:2" ht="26.25" customHeight="1" x14ac:dyDescent="0.2">
      <c r="A52" s="24" t="str">
        <f t="array" ref="A52">IFERROR(INDEX(CampoQuem,MATCH(0,COUNTIF($A$2:A51,CampoQuem),0)),"")</f>
        <v/>
      </c>
      <c r="B52" s="23" t="str">
        <f t="shared" si="0"/>
        <v/>
      </c>
    </row>
    <row r="53" spans="1:2" ht="26.25" customHeight="1" x14ac:dyDescent="0.2">
      <c r="A53" s="24" t="str">
        <f t="array" ref="A53">IFERROR(INDEX(CampoQuem,MATCH(0,COUNTIF($A$2:A52,CampoQuem),0)),"")</f>
        <v/>
      </c>
      <c r="B53" s="23" t="str">
        <f t="shared" si="0"/>
        <v/>
      </c>
    </row>
    <row r="54" spans="1:2" ht="26.25" customHeight="1" x14ac:dyDescent="0.2">
      <c r="A54" s="24" t="str">
        <f t="array" ref="A54">IFERROR(INDEX(CampoQuem,MATCH(0,COUNTIF($A$2:A53,CampoQuem),0)),"")</f>
        <v/>
      </c>
      <c r="B54" s="23" t="str">
        <f t="shared" si="0"/>
        <v/>
      </c>
    </row>
    <row r="55" spans="1:2" ht="26.25" customHeight="1" x14ac:dyDescent="0.2">
      <c r="A55" s="24" t="str">
        <f t="array" ref="A55">IFERROR(INDEX(CampoQuem,MATCH(0,COUNTIF($A$2:A54,CampoQuem),0)),"")</f>
        <v/>
      </c>
      <c r="B55" s="23" t="str">
        <f t="shared" si="0"/>
        <v/>
      </c>
    </row>
    <row r="56" spans="1:2" ht="26.25" customHeight="1" x14ac:dyDescent="0.2">
      <c r="A56" s="24" t="str">
        <f t="array" ref="A56">IFERROR(INDEX(CampoQuem,MATCH(0,COUNTIF($A$2:A55,CampoQuem),0)),"")</f>
        <v/>
      </c>
      <c r="B56" s="23" t="str">
        <f t="shared" si="0"/>
        <v/>
      </c>
    </row>
    <row r="57" spans="1:2" ht="26.25" customHeight="1" x14ac:dyDescent="0.2">
      <c r="A57" s="24" t="str">
        <f t="array" ref="A57">IFERROR(INDEX(CampoQuem,MATCH(0,COUNTIF($A$2:A56,CampoQuem),0)),"")</f>
        <v/>
      </c>
      <c r="B57" s="23" t="str">
        <f t="shared" si="0"/>
        <v/>
      </c>
    </row>
    <row r="58" spans="1:2" ht="26.25" customHeight="1" x14ac:dyDescent="0.2">
      <c r="A58" s="24" t="str">
        <f t="array" ref="A58">IFERROR(INDEX(CampoQuem,MATCH(0,COUNTIF($A$2:A57,CampoQuem),0)),"")</f>
        <v/>
      </c>
      <c r="B58" s="23" t="str">
        <f t="shared" si="0"/>
        <v/>
      </c>
    </row>
    <row r="59" spans="1:2" ht="26.25" customHeight="1" x14ac:dyDescent="0.2">
      <c r="A59" s="24" t="str">
        <f t="array" ref="A59">IFERROR(INDEX(CampoQuem,MATCH(0,COUNTIF($A$2:A58,CampoQuem),0)),"")</f>
        <v/>
      </c>
      <c r="B59" s="23" t="str">
        <f t="shared" si="0"/>
        <v/>
      </c>
    </row>
    <row r="60" spans="1:2" ht="26.25" customHeight="1" x14ac:dyDescent="0.2">
      <c r="A60" s="24" t="str">
        <f t="array" ref="A60">IFERROR(INDEX(CampoQuem,MATCH(0,COUNTIF($A$2:A59,CampoQuem),0)),"")</f>
        <v/>
      </c>
      <c r="B60" s="23" t="str">
        <f t="shared" si="0"/>
        <v/>
      </c>
    </row>
    <row r="61" spans="1:2" ht="26.25" customHeight="1" x14ac:dyDescent="0.2">
      <c r="A61" s="24" t="str">
        <f t="array" ref="A61">IFERROR(INDEX(CampoQuem,MATCH(0,COUNTIF($A$2:A60,CampoQuem),0)),"")</f>
        <v/>
      </c>
      <c r="B61" s="23" t="str">
        <f t="shared" si="0"/>
        <v/>
      </c>
    </row>
    <row r="62" spans="1:2" ht="26.25" customHeight="1" x14ac:dyDescent="0.2">
      <c r="A62" s="24" t="str">
        <f t="array" ref="A62">IFERROR(INDEX(CampoQuem,MATCH(0,COUNTIF($A$2:A61,CampoQuem),0)),"")</f>
        <v/>
      </c>
      <c r="B62" s="23" t="str">
        <f t="shared" si="0"/>
        <v/>
      </c>
    </row>
    <row r="63" spans="1:2" ht="26.25" customHeight="1" x14ac:dyDescent="0.2">
      <c r="A63" s="24" t="str">
        <f t="array" ref="A63">IFERROR(INDEX(CampoQuem,MATCH(0,COUNTIF($A$2:A62,CampoQuem),0)),"")</f>
        <v/>
      </c>
      <c r="B63" s="23" t="str">
        <f t="shared" si="0"/>
        <v/>
      </c>
    </row>
    <row r="64" spans="1:2" ht="26.25" customHeight="1" x14ac:dyDescent="0.2">
      <c r="A64" s="24" t="str">
        <f t="array" ref="A64">IFERROR(INDEX(CampoQuem,MATCH(0,COUNTIF($A$2:A63,CampoQuem),0)),"")</f>
        <v/>
      </c>
      <c r="B64" s="23" t="str">
        <f t="shared" si="0"/>
        <v/>
      </c>
    </row>
    <row r="65" spans="1:2" ht="26.25" customHeight="1" x14ac:dyDescent="0.2">
      <c r="A65" s="24" t="str">
        <f t="array" ref="A65">IFERROR(INDEX(CampoQuem,MATCH(0,COUNTIF($A$2:A64,CampoQuem),0)),"")</f>
        <v/>
      </c>
      <c r="B65" s="23" t="str">
        <f t="shared" si="0"/>
        <v/>
      </c>
    </row>
    <row r="66" spans="1:2" ht="26.25" customHeight="1" x14ac:dyDescent="0.2">
      <c r="A66" s="24" t="str">
        <f t="array" ref="A66">IFERROR(INDEX(CampoQuem,MATCH(0,COUNTIF($A$2:A65,CampoQuem),0)),"")</f>
        <v/>
      </c>
      <c r="B66" s="23" t="str">
        <f t="shared" si="0"/>
        <v/>
      </c>
    </row>
    <row r="67" spans="1:2" ht="26.25" customHeight="1" x14ac:dyDescent="0.2">
      <c r="A67" s="24" t="str">
        <f t="array" ref="A67">IFERROR(INDEX(CampoQuem,MATCH(0,COUNTIF($A$2:A66,CampoQuem),0)),"")</f>
        <v/>
      </c>
      <c r="B67" s="23" t="str">
        <f t="shared" ref="B67:B130" si="1">IF(A67="","",ROW())</f>
        <v/>
      </c>
    </row>
    <row r="68" spans="1:2" ht="26.25" customHeight="1" x14ac:dyDescent="0.2">
      <c r="A68" s="24" t="str">
        <f t="array" ref="A68">IFERROR(INDEX(CampoQuem,MATCH(0,COUNTIF($A$2:A67,CampoQuem),0)),"")</f>
        <v/>
      </c>
      <c r="B68" s="23" t="str">
        <f t="shared" si="1"/>
        <v/>
      </c>
    </row>
    <row r="69" spans="1:2" ht="26.25" customHeight="1" x14ac:dyDescent="0.2">
      <c r="A69" s="24" t="str">
        <f t="array" ref="A69">IFERROR(INDEX(CampoQuem,MATCH(0,COUNTIF($A$2:A68,CampoQuem),0)),"")</f>
        <v/>
      </c>
      <c r="B69" s="23" t="str">
        <f t="shared" si="1"/>
        <v/>
      </c>
    </row>
    <row r="70" spans="1:2" ht="26.25" customHeight="1" x14ac:dyDescent="0.2">
      <c r="A70" s="24" t="str">
        <f t="array" ref="A70">IFERROR(INDEX(CampoQuem,MATCH(0,COUNTIF($A$2:A69,CampoQuem),0)),"")</f>
        <v/>
      </c>
      <c r="B70" s="23" t="str">
        <f t="shared" si="1"/>
        <v/>
      </c>
    </row>
    <row r="71" spans="1:2" ht="26.25" customHeight="1" x14ac:dyDescent="0.2">
      <c r="A71" s="24" t="str">
        <f t="array" ref="A71">IFERROR(INDEX(CampoQuem,MATCH(0,COUNTIF($A$2:A70,CampoQuem),0)),"")</f>
        <v/>
      </c>
      <c r="B71" s="23" t="str">
        <f t="shared" si="1"/>
        <v/>
      </c>
    </row>
    <row r="72" spans="1:2" ht="26.25" customHeight="1" x14ac:dyDescent="0.2">
      <c r="A72" s="24" t="str">
        <f t="array" ref="A72">IFERROR(INDEX(CampoQuem,MATCH(0,COUNTIF($A$2:A71,CampoQuem),0)),"")</f>
        <v/>
      </c>
      <c r="B72" s="23" t="str">
        <f t="shared" si="1"/>
        <v/>
      </c>
    </row>
    <row r="73" spans="1:2" ht="26.25" customHeight="1" x14ac:dyDescent="0.2">
      <c r="A73" s="24" t="str">
        <f t="array" ref="A73">IFERROR(INDEX(CampoQuem,MATCH(0,COUNTIF($A$2:A72,CampoQuem),0)),"")</f>
        <v/>
      </c>
      <c r="B73" s="23" t="str">
        <f t="shared" si="1"/>
        <v/>
      </c>
    </row>
    <row r="74" spans="1:2" ht="26.25" customHeight="1" x14ac:dyDescent="0.2">
      <c r="A74" s="24" t="str">
        <f t="array" ref="A74">IFERROR(INDEX(CampoQuem,MATCH(0,COUNTIF($A$2:A73,CampoQuem),0)),"")</f>
        <v/>
      </c>
      <c r="B74" s="23" t="str">
        <f t="shared" si="1"/>
        <v/>
      </c>
    </row>
    <row r="75" spans="1:2" ht="26.25" customHeight="1" x14ac:dyDescent="0.2">
      <c r="A75" s="24" t="str">
        <f t="array" ref="A75">IFERROR(INDEX(CampoQuem,MATCH(0,COUNTIF($A$2:A74,CampoQuem),0)),"")</f>
        <v/>
      </c>
      <c r="B75" s="23" t="str">
        <f t="shared" si="1"/>
        <v/>
      </c>
    </row>
    <row r="76" spans="1:2" ht="26.25" customHeight="1" x14ac:dyDescent="0.2">
      <c r="A76" s="24" t="str">
        <f t="array" ref="A76">IFERROR(INDEX(CampoQuem,MATCH(0,COUNTIF($A$2:A75,CampoQuem),0)),"")</f>
        <v/>
      </c>
      <c r="B76" s="23" t="str">
        <f t="shared" si="1"/>
        <v/>
      </c>
    </row>
    <row r="77" spans="1:2" ht="26.25" customHeight="1" x14ac:dyDescent="0.2">
      <c r="A77" s="24" t="str">
        <f t="array" ref="A77">IFERROR(INDEX(CampoQuem,MATCH(0,COUNTIF($A$2:A76,CampoQuem),0)),"")</f>
        <v/>
      </c>
      <c r="B77" s="23" t="str">
        <f t="shared" si="1"/>
        <v/>
      </c>
    </row>
    <row r="78" spans="1:2" ht="26.25" customHeight="1" x14ac:dyDescent="0.2">
      <c r="A78" s="24" t="str">
        <f t="array" ref="A78">IFERROR(INDEX(CampoQuem,MATCH(0,COUNTIF($A$2:A77,CampoQuem),0)),"")</f>
        <v/>
      </c>
      <c r="B78" s="23" t="str">
        <f t="shared" si="1"/>
        <v/>
      </c>
    </row>
    <row r="79" spans="1:2" ht="26.25" customHeight="1" x14ac:dyDescent="0.2">
      <c r="A79" s="24" t="str">
        <f t="array" ref="A79">IFERROR(INDEX(CampoQuem,MATCH(0,COUNTIF($A$2:A78,CampoQuem),0)),"")</f>
        <v/>
      </c>
      <c r="B79" s="23" t="str">
        <f t="shared" si="1"/>
        <v/>
      </c>
    </row>
    <row r="80" spans="1:2" ht="26.25" customHeight="1" x14ac:dyDescent="0.2">
      <c r="A80" s="24" t="str">
        <f t="array" ref="A80">IFERROR(INDEX(CampoQuem,MATCH(0,COUNTIF($A$2:A79,CampoQuem),0)),"")</f>
        <v/>
      </c>
      <c r="B80" s="23" t="str">
        <f t="shared" si="1"/>
        <v/>
      </c>
    </row>
    <row r="81" spans="1:2" ht="26.25" customHeight="1" x14ac:dyDescent="0.2">
      <c r="A81" s="24" t="str">
        <f t="array" ref="A81">IFERROR(INDEX(CampoQuem,MATCH(0,COUNTIF($A$2:A80,CampoQuem),0)),"")</f>
        <v/>
      </c>
      <c r="B81" s="23" t="str">
        <f t="shared" si="1"/>
        <v/>
      </c>
    </row>
    <row r="82" spans="1:2" ht="26.25" customHeight="1" x14ac:dyDescent="0.2">
      <c r="A82" s="24" t="str">
        <f t="array" ref="A82">IFERROR(INDEX(CampoQuem,MATCH(0,COUNTIF($A$2:A81,CampoQuem),0)),"")</f>
        <v/>
      </c>
      <c r="B82" s="23" t="str">
        <f t="shared" si="1"/>
        <v/>
      </c>
    </row>
    <row r="83" spans="1:2" ht="26.25" customHeight="1" x14ac:dyDescent="0.2">
      <c r="A83" s="24" t="str">
        <f t="array" ref="A83">IFERROR(INDEX(CampoQuem,MATCH(0,COUNTIF($A$2:A82,CampoQuem),0)),"")</f>
        <v/>
      </c>
      <c r="B83" s="23" t="str">
        <f t="shared" si="1"/>
        <v/>
      </c>
    </row>
    <row r="84" spans="1:2" ht="26.25" customHeight="1" x14ac:dyDescent="0.2">
      <c r="A84" s="24" t="str">
        <f t="array" ref="A84">IFERROR(INDEX(CampoQuem,MATCH(0,COUNTIF($A$2:A83,CampoQuem),0)),"")</f>
        <v/>
      </c>
      <c r="B84" s="23" t="str">
        <f t="shared" si="1"/>
        <v/>
      </c>
    </row>
    <row r="85" spans="1:2" ht="26.25" customHeight="1" x14ac:dyDescent="0.2">
      <c r="A85" s="24" t="str">
        <f t="array" ref="A85">IFERROR(INDEX(CampoQuem,MATCH(0,COUNTIF($A$2:A84,CampoQuem),0)),"")</f>
        <v/>
      </c>
      <c r="B85" s="23" t="str">
        <f t="shared" si="1"/>
        <v/>
      </c>
    </row>
    <row r="86" spans="1:2" ht="26.25" customHeight="1" x14ac:dyDescent="0.2">
      <c r="A86" s="24" t="str">
        <f t="array" ref="A86">IFERROR(INDEX(CampoQuem,MATCH(0,COUNTIF($A$2:A85,CampoQuem),0)),"")</f>
        <v/>
      </c>
      <c r="B86" s="23" t="str">
        <f t="shared" si="1"/>
        <v/>
      </c>
    </row>
    <row r="87" spans="1:2" ht="26.25" customHeight="1" x14ac:dyDescent="0.2">
      <c r="A87" s="24" t="str">
        <f t="array" ref="A87">IFERROR(INDEX(CampoQuem,MATCH(0,COUNTIF($A$2:A86,CampoQuem),0)),"")</f>
        <v/>
      </c>
      <c r="B87" s="23" t="str">
        <f t="shared" si="1"/>
        <v/>
      </c>
    </row>
    <row r="88" spans="1:2" ht="26.25" customHeight="1" x14ac:dyDescent="0.2">
      <c r="A88" s="24" t="str">
        <f t="array" ref="A88">IFERROR(INDEX(CampoQuem,MATCH(0,COUNTIF($A$2:A87,CampoQuem),0)),"")</f>
        <v/>
      </c>
      <c r="B88" s="23" t="str">
        <f t="shared" si="1"/>
        <v/>
      </c>
    </row>
    <row r="89" spans="1:2" ht="26.25" customHeight="1" x14ac:dyDescent="0.2">
      <c r="A89" s="24" t="str">
        <f t="array" ref="A89">IFERROR(INDEX(CampoQuem,MATCH(0,COUNTIF($A$2:A88,CampoQuem),0)),"")</f>
        <v/>
      </c>
      <c r="B89" s="23" t="str">
        <f t="shared" si="1"/>
        <v/>
      </c>
    </row>
    <row r="90" spans="1:2" ht="26.25" customHeight="1" x14ac:dyDescent="0.2">
      <c r="A90" s="24" t="str">
        <f t="array" ref="A90">IFERROR(INDEX(CampoQuem,MATCH(0,COUNTIF($A$2:A89,CampoQuem),0)),"")</f>
        <v/>
      </c>
      <c r="B90" s="23" t="str">
        <f t="shared" si="1"/>
        <v/>
      </c>
    </row>
    <row r="91" spans="1:2" ht="26.25" customHeight="1" x14ac:dyDescent="0.2">
      <c r="A91" s="24" t="str">
        <f t="array" ref="A91">IFERROR(INDEX(CampoQuem,MATCH(0,COUNTIF($A$2:A90,CampoQuem),0)),"")</f>
        <v/>
      </c>
      <c r="B91" s="23" t="str">
        <f t="shared" si="1"/>
        <v/>
      </c>
    </row>
    <row r="92" spans="1:2" ht="26.25" customHeight="1" x14ac:dyDescent="0.2">
      <c r="A92" s="24" t="str">
        <f t="array" ref="A92">IFERROR(INDEX(CampoQuem,MATCH(0,COUNTIF($A$2:A91,CampoQuem),0)),"")</f>
        <v/>
      </c>
      <c r="B92" s="23" t="str">
        <f t="shared" si="1"/>
        <v/>
      </c>
    </row>
    <row r="93" spans="1:2" ht="26.25" customHeight="1" x14ac:dyDescent="0.2">
      <c r="A93" s="24" t="str">
        <f t="array" ref="A93">IFERROR(INDEX(CampoQuem,MATCH(0,COUNTIF($A$2:A92,CampoQuem),0)),"")</f>
        <v/>
      </c>
      <c r="B93" s="23" t="str">
        <f t="shared" si="1"/>
        <v/>
      </c>
    </row>
    <row r="94" spans="1:2" ht="26.25" customHeight="1" x14ac:dyDescent="0.2">
      <c r="A94" s="24" t="str">
        <f t="array" ref="A94">IFERROR(INDEX(CampoQuem,MATCH(0,COUNTIF($A$2:A93,CampoQuem),0)),"")</f>
        <v/>
      </c>
      <c r="B94" s="23" t="str">
        <f t="shared" si="1"/>
        <v/>
      </c>
    </row>
    <row r="95" spans="1:2" ht="26.25" customHeight="1" x14ac:dyDescent="0.2">
      <c r="A95" s="24" t="str">
        <f t="array" ref="A95">IFERROR(INDEX(CampoQuem,MATCH(0,COUNTIF($A$2:A94,CampoQuem),0)),"")</f>
        <v/>
      </c>
      <c r="B95" s="23" t="str">
        <f t="shared" si="1"/>
        <v/>
      </c>
    </row>
    <row r="96" spans="1:2" ht="26.25" customHeight="1" x14ac:dyDescent="0.2">
      <c r="A96" s="24" t="str">
        <f t="array" ref="A96">IFERROR(INDEX(CampoQuem,MATCH(0,COUNTIF($A$2:A95,CampoQuem),0)),"")</f>
        <v/>
      </c>
      <c r="B96" s="23" t="str">
        <f t="shared" si="1"/>
        <v/>
      </c>
    </row>
    <row r="97" spans="1:2" ht="26.25" customHeight="1" x14ac:dyDescent="0.2">
      <c r="A97" s="24" t="str">
        <f t="array" ref="A97">IFERROR(INDEX(CampoQuem,MATCH(0,COUNTIF($A$2:A96,CampoQuem),0)),"")</f>
        <v/>
      </c>
      <c r="B97" s="23" t="str">
        <f t="shared" si="1"/>
        <v/>
      </c>
    </row>
    <row r="98" spans="1:2" ht="26.25" customHeight="1" x14ac:dyDescent="0.2">
      <c r="A98" s="24" t="str">
        <f t="array" ref="A98">IFERROR(INDEX(CampoQuem,MATCH(0,COUNTIF($A$2:A97,CampoQuem),0)),"")</f>
        <v/>
      </c>
      <c r="B98" s="23" t="str">
        <f t="shared" si="1"/>
        <v/>
      </c>
    </row>
    <row r="99" spans="1:2" ht="26.25" customHeight="1" x14ac:dyDescent="0.2">
      <c r="A99" s="24" t="str">
        <f t="array" ref="A99">IFERROR(INDEX(CampoQuem,MATCH(0,COUNTIF($A$2:A98,CampoQuem),0)),"")</f>
        <v/>
      </c>
      <c r="B99" s="23" t="str">
        <f t="shared" si="1"/>
        <v/>
      </c>
    </row>
    <row r="100" spans="1:2" ht="26.25" customHeight="1" x14ac:dyDescent="0.2">
      <c r="A100" s="24" t="str">
        <f t="array" ref="A100">IFERROR(INDEX(CampoQuem,MATCH(0,COUNTIF($A$2:A99,CampoQuem),0)),"")</f>
        <v/>
      </c>
      <c r="B100" s="23" t="str">
        <f t="shared" si="1"/>
        <v/>
      </c>
    </row>
    <row r="101" spans="1:2" ht="26.25" customHeight="1" x14ac:dyDescent="0.2">
      <c r="A101" s="24" t="str">
        <f t="array" ref="A101">IFERROR(INDEX(CampoQuem,MATCH(0,COUNTIF($A$2:A100,CampoQuem),0)),"")</f>
        <v/>
      </c>
      <c r="B101" s="23" t="str">
        <f t="shared" si="1"/>
        <v/>
      </c>
    </row>
    <row r="102" spans="1:2" ht="26.25" customHeight="1" x14ac:dyDescent="0.2">
      <c r="A102" s="24" t="str">
        <f t="array" ref="A102">IFERROR(INDEX(CampoQuem,MATCH(0,COUNTIF($A$2:A101,CampoQuem),0)),"")</f>
        <v/>
      </c>
      <c r="B102" s="23" t="str">
        <f t="shared" si="1"/>
        <v/>
      </c>
    </row>
    <row r="103" spans="1:2" ht="26.25" customHeight="1" x14ac:dyDescent="0.2">
      <c r="A103" s="24" t="str">
        <f t="array" ref="A103">IFERROR(INDEX(CampoQuem,MATCH(0,COUNTIF($A$2:A102,CampoQuem),0)),"")</f>
        <v/>
      </c>
      <c r="B103" s="23" t="str">
        <f t="shared" si="1"/>
        <v/>
      </c>
    </row>
    <row r="104" spans="1:2" ht="26.25" customHeight="1" x14ac:dyDescent="0.2">
      <c r="A104" s="24" t="str">
        <f t="array" ref="A104">IFERROR(INDEX(CampoQuem,MATCH(0,COUNTIF($A$2:A103,CampoQuem),0)),"")</f>
        <v/>
      </c>
      <c r="B104" s="23" t="str">
        <f t="shared" si="1"/>
        <v/>
      </c>
    </row>
    <row r="105" spans="1:2" ht="26.25" customHeight="1" x14ac:dyDescent="0.2">
      <c r="A105" s="24" t="str">
        <f t="array" ref="A105">IFERROR(INDEX(CampoQuem,MATCH(0,COUNTIF($A$2:A104,CampoQuem),0)),"")</f>
        <v/>
      </c>
      <c r="B105" s="23" t="str">
        <f t="shared" si="1"/>
        <v/>
      </c>
    </row>
    <row r="106" spans="1:2" ht="26.25" customHeight="1" x14ac:dyDescent="0.2">
      <c r="A106" s="24" t="str">
        <f t="array" ref="A106">IFERROR(INDEX(CampoQuem,MATCH(0,COUNTIF($A$2:A105,CampoQuem),0)),"")</f>
        <v/>
      </c>
      <c r="B106" s="23" t="str">
        <f t="shared" si="1"/>
        <v/>
      </c>
    </row>
    <row r="107" spans="1:2" ht="26.25" customHeight="1" x14ac:dyDescent="0.2">
      <c r="A107" s="24" t="str">
        <f t="array" ref="A107">IFERROR(INDEX(CampoQuem,MATCH(0,COUNTIF($A$2:A106,CampoQuem),0)),"")</f>
        <v/>
      </c>
      <c r="B107" s="23" t="str">
        <f t="shared" si="1"/>
        <v/>
      </c>
    </row>
    <row r="108" spans="1:2" ht="26.25" customHeight="1" x14ac:dyDescent="0.2">
      <c r="A108" s="24" t="str">
        <f t="array" ref="A108">IFERROR(INDEX(CampoQuem,MATCH(0,COUNTIF($A$2:A107,CampoQuem),0)),"")</f>
        <v/>
      </c>
      <c r="B108" s="23" t="str">
        <f t="shared" si="1"/>
        <v/>
      </c>
    </row>
    <row r="109" spans="1:2" ht="26.25" customHeight="1" x14ac:dyDescent="0.2">
      <c r="A109" s="24" t="str">
        <f t="array" ref="A109">IFERROR(INDEX(CampoQuem,MATCH(0,COUNTIF($A$2:A108,CampoQuem),0)),"")</f>
        <v/>
      </c>
      <c r="B109" s="23" t="str">
        <f t="shared" si="1"/>
        <v/>
      </c>
    </row>
    <row r="110" spans="1:2" ht="26.25" customHeight="1" x14ac:dyDescent="0.2">
      <c r="A110" s="24" t="str">
        <f t="array" ref="A110">IFERROR(INDEX(CampoQuem,MATCH(0,COUNTIF($A$2:A109,CampoQuem),0)),"")</f>
        <v/>
      </c>
      <c r="B110" s="23" t="str">
        <f t="shared" si="1"/>
        <v/>
      </c>
    </row>
    <row r="111" spans="1:2" ht="26.25" customHeight="1" x14ac:dyDescent="0.2">
      <c r="A111" s="24" t="str">
        <f t="array" ref="A111">IFERROR(INDEX(CampoQuem,MATCH(0,COUNTIF($A$2:A110,CampoQuem),0)),"")</f>
        <v/>
      </c>
      <c r="B111" s="23" t="str">
        <f t="shared" si="1"/>
        <v/>
      </c>
    </row>
    <row r="112" spans="1:2" ht="26.25" customHeight="1" x14ac:dyDescent="0.2">
      <c r="A112" s="24" t="str">
        <f t="array" ref="A112">IFERROR(INDEX(CampoQuem,MATCH(0,COUNTIF($A$2:A111,CampoQuem),0)),"")</f>
        <v/>
      </c>
      <c r="B112" s="23" t="str">
        <f t="shared" si="1"/>
        <v/>
      </c>
    </row>
    <row r="113" spans="1:2" ht="26.25" customHeight="1" x14ac:dyDescent="0.2">
      <c r="A113" s="24" t="str">
        <f t="array" ref="A113">IFERROR(INDEX(CampoQuem,MATCH(0,COUNTIF($A$2:A112,CampoQuem),0)),"")</f>
        <v/>
      </c>
      <c r="B113" s="23" t="str">
        <f t="shared" si="1"/>
        <v/>
      </c>
    </row>
    <row r="114" spans="1:2" ht="26.25" customHeight="1" x14ac:dyDescent="0.2">
      <c r="A114" s="24" t="str">
        <f t="array" ref="A114">IFERROR(INDEX(CampoQuem,MATCH(0,COUNTIF($A$2:A113,CampoQuem),0)),"")</f>
        <v/>
      </c>
      <c r="B114" s="23" t="str">
        <f t="shared" si="1"/>
        <v/>
      </c>
    </row>
    <row r="115" spans="1:2" ht="26.25" customHeight="1" x14ac:dyDescent="0.2">
      <c r="A115" s="24" t="str">
        <f t="array" ref="A115">IFERROR(INDEX(CampoQuem,MATCH(0,COUNTIF($A$2:A114,CampoQuem),0)),"")</f>
        <v/>
      </c>
      <c r="B115" s="23" t="str">
        <f t="shared" si="1"/>
        <v/>
      </c>
    </row>
    <row r="116" spans="1:2" ht="26.25" customHeight="1" x14ac:dyDescent="0.2">
      <c r="A116" s="24" t="str">
        <f t="array" ref="A116">IFERROR(INDEX(CampoQuem,MATCH(0,COUNTIF($A$2:A115,CampoQuem),0)),"")</f>
        <v/>
      </c>
      <c r="B116" s="23" t="str">
        <f t="shared" si="1"/>
        <v/>
      </c>
    </row>
    <row r="117" spans="1:2" ht="26.25" customHeight="1" x14ac:dyDescent="0.2">
      <c r="A117" s="24" t="str">
        <f t="array" ref="A117">IFERROR(INDEX(CampoQuem,MATCH(0,COUNTIF($A$2:A116,CampoQuem),0)),"")</f>
        <v/>
      </c>
      <c r="B117" s="23" t="str">
        <f t="shared" si="1"/>
        <v/>
      </c>
    </row>
    <row r="118" spans="1:2" ht="26.25" customHeight="1" x14ac:dyDescent="0.2">
      <c r="A118" s="24" t="str">
        <f t="array" ref="A118">IFERROR(INDEX(CampoQuem,MATCH(0,COUNTIF($A$2:A117,CampoQuem),0)),"")</f>
        <v/>
      </c>
      <c r="B118" s="23" t="str">
        <f t="shared" si="1"/>
        <v/>
      </c>
    </row>
    <row r="119" spans="1:2" ht="26.25" customHeight="1" x14ac:dyDescent="0.2">
      <c r="A119" s="24" t="str">
        <f t="array" ref="A119">IFERROR(INDEX(CampoQuem,MATCH(0,COUNTIF($A$2:A118,CampoQuem),0)),"")</f>
        <v/>
      </c>
      <c r="B119" s="23" t="str">
        <f t="shared" si="1"/>
        <v/>
      </c>
    </row>
    <row r="120" spans="1:2" ht="26.25" customHeight="1" x14ac:dyDescent="0.2">
      <c r="A120" s="24" t="str">
        <f t="array" ref="A120">IFERROR(INDEX(CampoQuem,MATCH(0,COUNTIF($A$2:A119,CampoQuem),0)),"")</f>
        <v/>
      </c>
      <c r="B120" s="23" t="str">
        <f t="shared" si="1"/>
        <v/>
      </c>
    </row>
    <row r="121" spans="1:2" ht="26.25" customHeight="1" x14ac:dyDescent="0.2">
      <c r="A121" s="24" t="str">
        <f t="array" ref="A121">IFERROR(INDEX(CampoQuem,MATCH(0,COUNTIF($A$2:A120,CampoQuem),0)),"")</f>
        <v/>
      </c>
      <c r="B121" s="23" t="str">
        <f t="shared" si="1"/>
        <v/>
      </c>
    </row>
    <row r="122" spans="1:2" ht="26.25" customHeight="1" x14ac:dyDescent="0.2">
      <c r="A122" s="24" t="str">
        <f t="array" ref="A122">IFERROR(INDEX(CampoQuem,MATCH(0,COUNTIF($A$2:A121,CampoQuem),0)),"")</f>
        <v/>
      </c>
      <c r="B122" s="23" t="str">
        <f t="shared" si="1"/>
        <v/>
      </c>
    </row>
    <row r="123" spans="1:2" ht="26.25" customHeight="1" x14ac:dyDescent="0.2">
      <c r="A123" s="24" t="str">
        <f t="array" ref="A123">IFERROR(INDEX(CampoQuem,MATCH(0,COUNTIF($A$2:A122,CampoQuem),0)),"")</f>
        <v/>
      </c>
      <c r="B123" s="23" t="str">
        <f t="shared" si="1"/>
        <v/>
      </c>
    </row>
    <row r="124" spans="1:2" ht="26.25" customHeight="1" x14ac:dyDescent="0.2">
      <c r="A124" s="24" t="str">
        <f t="array" ref="A124">IFERROR(INDEX(CampoQuem,MATCH(0,COUNTIF($A$2:A123,CampoQuem),0)),"")</f>
        <v/>
      </c>
      <c r="B124" s="23" t="str">
        <f t="shared" si="1"/>
        <v/>
      </c>
    </row>
    <row r="125" spans="1:2" ht="26.25" customHeight="1" x14ac:dyDescent="0.2">
      <c r="A125" s="24" t="str">
        <f t="array" ref="A125">IFERROR(INDEX(CampoQuem,MATCH(0,COUNTIF($A$2:A124,CampoQuem),0)),"")</f>
        <v/>
      </c>
      <c r="B125" s="23" t="str">
        <f t="shared" si="1"/>
        <v/>
      </c>
    </row>
    <row r="126" spans="1:2" ht="26.25" customHeight="1" x14ac:dyDescent="0.2">
      <c r="A126" s="24" t="str">
        <f t="array" ref="A126">IFERROR(INDEX(CampoQuem,MATCH(0,COUNTIF($A$2:A125,CampoQuem),0)),"")</f>
        <v/>
      </c>
      <c r="B126" s="23" t="str">
        <f t="shared" si="1"/>
        <v/>
      </c>
    </row>
    <row r="127" spans="1:2" ht="26.25" customHeight="1" x14ac:dyDescent="0.2">
      <c r="A127" s="24" t="str">
        <f t="array" ref="A127">IFERROR(INDEX(CampoQuem,MATCH(0,COUNTIF($A$2:A126,CampoQuem),0)),"")</f>
        <v/>
      </c>
      <c r="B127" s="23" t="str">
        <f t="shared" si="1"/>
        <v/>
      </c>
    </row>
    <row r="128" spans="1:2" ht="26.25" customHeight="1" x14ac:dyDescent="0.2">
      <c r="A128" s="24" t="str">
        <f t="array" ref="A128">IFERROR(INDEX(CampoQuem,MATCH(0,COUNTIF($A$2:A127,CampoQuem),0)),"")</f>
        <v/>
      </c>
      <c r="B128" s="23" t="str">
        <f t="shared" si="1"/>
        <v/>
      </c>
    </row>
    <row r="129" spans="1:2" ht="26.25" customHeight="1" x14ac:dyDescent="0.2">
      <c r="A129" s="24" t="str">
        <f t="array" ref="A129">IFERROR(INDEX(CampoQuem,MATCH(0,COUNTIF($A$2:A128,CampoQuem),0)),"")</f>
        <v/>
      </c>
      <c r="B129" s="23" t="str">
        <f t="shared" si="1"/>
        <v/>
      </c>
    </row>
    <row r="130" spans="1:2" ht="26.25" customHeight="1" x14ac:dyDescent="0.2">
      <c r="A130" s="24" t="str">
        <f t="array" ref="A130">IFERROR(INDEX(CampoQuem,MATCH(0,COUNTIF($A$2:A129,CampoQuem),0)),"")</f>
        <v/>
      </c>
      <c r="B130" s="23" t="str">
        <f t="shared" si="1"/>
        <v/>
      </c>
    </row>
    <row r="131" spans="1:2" ht="26.25" customHeight="1" x14ac:dyDescent="0.2">
      <c r="A131" s="24" t="str">
        <f t="array" ref="A131">IFERROR(INDEX(CampoQuem,MATCH(0,COUNTIF($A$2:A130,CampoQuem),0)),"")</f>
        <v/>
      </c>
      <c r="B131" s="23" t="str">
        <f t="shared" ref="B131" si="2">IF(A131="","",ROW())</f>
        <v/>
      </c>
    </row>
  </sheetData>
  <mergeCells count="1">
    <mergeCell ref="A1:B1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62057737089D604C8995D725789FFFFD0400C05BDBFCDB0BE84BA6AEC1D1A4F5E4CE" ma:contentTypeVersion="56" ma:contentTypeDescription="Create a new document." ma:contentTypeScope="" ma:versionID="c5c786f17e9890b7d2875e0bb647f603">
  <xsd:schema xmlns:xsd="http://www.w3.org/2001/XMLSchema" xmlns:xs="http://www.w3.org/2001/XMLSchema" xmlns:p="http://schemas.microsoft.com/office/2006/metadata/properties" xmlns:ns2="e5d022ff-4ce9-4922-b5a4-f245e35e2aac" targetNamespace="http://schemas.microsoft.com/office/2006/metadata/properties" ma:root="true" ma:fieldsID="3dddc4782ba87b44f6678511fd2b89e9" ns2:_="">
    <xsd:import namespace="e5d022ff-4ce9-4922-b5a4-f245e35e2aac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022ff-4ce9-4922-b5a4-f245e35e2aac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BlockPublish" ma:index="12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3" nillable="true" ma:displayName="Bug Number" ma:default="" ma:internalName="BugNumber" ma:readOnly="false">
      <xsd:simpleType>
        <xsd:restriction base="dms:Text"/>
      </xsd:simpleType>
    </xsd:element>
    <xsd:element name="CampaignTagsTaxHTField0" ma:index="15" nillable="true" ma:taxonomy="true" ma:internalName="CampaignTagsTaxHTField0" ma:taxonomyFieldName="CampaignTags" ma:displayName="Campaigns" ma:readOnly="false" ma:default="" ma:fieldId="{ae2f8e70-a23c-4d77-9ad6-ea38e2352880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6" nillable="true" ma:displayName="Client Viewer" ma:default="" ma:internalName="TPClientViewer">
      <xsd:simpleType>
        <xsd:restriction base="dms:Text"/>
      </xsd:simpleType>
    </xsd:element>
    <xsd:element name="ClipArtFilename" ma:index="17" nillable="true" ma:displayName="Clip Art Name" ma:default="" ma:internalName="ClipArtFilename" ma:readOnly="false">
      <xsd:simpleType>
        <xsd:restriction base="dms:Text"/>
      </xsd:simpleType>
    </xsd:element>
    <xsd:element name="TPCommandLine" ma:index="18" nillable="true" ma:displayName="Command Line" ma:default="" ma:internalName="TPCommandLine">
      <xsd:simpleType>
        <xsd:restriction base="dms:Text"/>
      </xsd:simpleType>
    </xsd:element>
    <xsd:element name="TPComponent" ma:index="19" nillable="true" ma:displayName="Component" ma:default="" ma:internalName="TPComponent">
      <xsd:simpleType>
        <xsd:restriction base="dms:Text"/>
      </xsd:simpleType>
    </xsd:element>
    <xsd:element name="ContentItem" ma:index="20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2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5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6" nillable="true" ma:displayName="CSX Submission Market" ma:default="" ma:list="{5E053CDA-25E6-45C3-8DB3-AEDB8C2D0B9A}" ma:internalName="CSXSubmissionMarket" ma:readOnly="false" ma:showField="MarketName" ma:web="e5d022ff-4ce9-4922-b5a4-f245e35e2aac">
      <xsd:simpleType>
        <xsd:restriction base="dms:Lookup"/>
      </xsd:simpleType>
    </xsd:element>
    <xsd:element name="CSXUpdate" ma:index="27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8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29" nillable="true" ma:displayName="Deleted?" ma:default="" ma:internalName="IsDeleted" ma:readOnly="false">
      <xsd:simpleType>
        <xsd:restriction base="dms:Boolean"/>
      </xsd:simpleType>
    </xsd:element>
    <xsd:element name="APDescription" ma:index="30" nillable="true" ma:displayName="Description" ma:default="" ma:internalName="APDescription" ma:readOnly="false">
      <xsd:simpleType>
        <xsd:restriction base="dms:Note"/>
      </xsd:simpleType>
    </xsd:element>
    <xsd:element name="DirectSourceMarket" ma:index="31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2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3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4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5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6" nillable="true" ma:displayName="Editorial Tags" ma:default="" ma:internalName="EditorialTags">
      <xsd:simpleType>
        <xsd:restriction base="dms:Unknown"/>
      </xsd:simpleType>
    </xsd:element>
    <xsd:element name="TPExecutable" ma:index="37" nillable="true" ma:displayName="Executable" ma:default="" ma:internalName="TPExecutable">
      <xsd:simpleType>
        <xsd:restriction base="dms:Text"/>
      </xsd:simpleType>
    </xsd:element>
    <xsd:element name="FeatureTagsTaxHTField0" ma:index="39" nillable="true" ma:taxonomy="true" ma:internalName="FeatureTagsTaxHTField0" ma:taxonomyFieldName="FeatureTags" ma:displayName="Features" ma:readOnly="false" ma:default="" ma:fieldId="{0e79027b-5c14-42ce-a448-02002c169e4a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0" nillable="true" ma:displayName="Friendly Name" ma:default="" ma:internalName="TPFriendlyName">
      <xsd:simpleType>
        <xsd:restriction base="dms:Text"/>
      </xsd:simpleType>
    </xsd:element>
    <xsd:element name="FriendlyTitle" ma:index="41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2" nillable="true" ma:displayName="Generate Images?" ma:default="true" ma:internalName="PrimaryImageGen">
      <xsd:simpleType>
        <xsd:restriction base="dms:Boolean"/>
      </xsd:simpleType>
    </xsd:element>
    <xsd:element name="HandoffToMSDN" ma:index="43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4" nillable="true" ma:displayName="InProjectListLookup" ma:list="{E1DF242F-2A85-4892-885C-E072ACF78A23}" ma:internalName="InProjectListLookup" ma:readOnly="true" ma:showField="InProjectList" ma:web="e5d022ff-4ce9-4922-b5a4-f245e35e2a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5" nillable="true" ma:displayName="Install Location" ma:default="" ma:internalName="TPInstallLocation">
      <xsd:simpleType>
        <xsd:restriction base="dms:Text"/>
      </xsd:simpleType>
    </xsd:element>
    <xsd:element name="InternalTagsTaxHTField0" ma:index="47" nillable="true" ma:taxonomy="true" ma:internalName="InternalTagsTaxHTField0" ma:taxonomyFieldName="InternalTags" ma:displayName="Internal Tags" ma:readOnly="false" ma:default="" ma:fieldId="{e822bdd4-da07-482e-8962-d405657c171a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8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49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0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1" nillable="true" ma:displayName="Last Complete Version Lookup" ma:default="" ma:list="{E1DF242F-2A85-4892-885C-E072ACF78A23}" ma:internalName="LastCompleteVersionLookup" ma:readOnly="true" ma:showField="LastCompleteVersion" ma:web="e5d022ff-4ce9-4922-b5a4-f245e35e2a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2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3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4" nillable="true" ma:displayName="Last Preview Attempt Error" ma:default="" ma:list="{E1DF242F-2A85-4892-885C-E072ACF78A23}" ma:internalName="LastPreviewErrorLookup" ma:readOnly="true" ma:showField="LastPreviewError" ma:web="e5d022ff-4ce9-4922-b5a4-f245e35e2a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5" nillable="true" ma:displayName="Last Preview Attempt Result" ma:default="" ma:list="{E1DF242F-2A85-4892-885C-E072ACF78A23}" ma:internalName="LastPreviewResultLookup" ma:readOnly="true" ma:showField="LastPreviewResult" ma:web="e5d022ff-4ce9-4922-b5a4-f245e35e2a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6" nillable="true" ma:displayName="Last Preview Attempted On" ma:default="" ma:list="{E1DF242F-2A85-4892-885C-E072ACF78A23}" ma:internalName="LastPreviewAttemptDateLookup" ma:readOnly="true" ma:showField="LastPreviewAttemptDate" ma:web="e5d022ff-4ce9-4922-b5a4-f245e35e2a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7" nillable="true" ma:displayName="Last Previewed By" ma:default="" ma:list="{E1DF242F-2A85-4892-885C-E072ACF78A23}" ma:internalName="LastPreviewedByLookup" ma:readOnly="true" ma:showField="LastPreviewedBy" ma:web="e5d022ff-4ce9-4922-b5a4-f245e35e2a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8" nillable="true" ma:displayName="Last Previewed Date" ma:default="" ma:list="{E1DF242F-2A85-4892-885C-E072ACF78A23}" ma:internalName="LastPreviewTimeLookup" ma:readOnly="true" ma:showField="LastPreviewTime" ma:web="e5d022ff-4ce9-4922-b5a4-f245e35e2a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59" nillable="true" ma:displayName="Last Previewed Version" ma:default="" ma:list="{E1DF242F-2A85-4892-885C-E072ACF78A23}" ma:internalName="LastPreviewVersionLookup" ma:readOnly="true" ma:showField="LastPreviewVersion" ma:web="e5d022ff-4ce9-4922-b5a4-f245e35e2a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0" nillable="true" ma:displayName="Last Publish Attempt Error" ma:default="" ma:list="{E1DF242F-2A85-4892-885C-E072ACF78A23}" ma:internalName="LastPublishErrorLookup" ma:readOnly="true" ma:showField="LastPublishError" ma:web="e5d022ff-4ce9-4922-b5a4-f245e35e2a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1" nillable="true" ma:displayName="Last Publish Attempt Result" ma:default="" ma:list="{E1DF242F-2A85-4892-885C-E072ACF78A23}" ma:internalName="LastPublishResultLookup" ma:readOnly="true" ma:showField="LastPublishResult" ma:web="e5d022ff-4ce9-4922-b5a4-f245e35e2a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2" nillable="true" ma:displayName="Last Publish Attempted On" ma:default="" ma:list="{E1DF242F-2A85-4892-885C-E072ACF78A23}" ma:internalName="LastPublishAttemptDateLookup" ma:readOnly="true" ma:showField="LastPublishAttemptDate" ma:web="e5d022ff-4ce9-4922-b5a4-f245e35e2a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3" nillable="true" ma:displayName="Last Published By" ma:default="" ma:list="{E1DF242F-2A85-4892-885C-E072ACF78A23}" ma:internalName="LastPublishedByLookup" ma:readOnly="true" ma:showField="LastPublishedBy" ma:web="e5d022ff-4ce9-4922-b5a4-f245e35e2a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4" nillable="true" ma:displayName="Last Published Date" ma:default="" ma:list="{E1DF242F-2A85-4892-885C-E072ACF78A23}" ma:internalName="LastPublishTimeLookup" ma:readOnly="true" ma:showField="LastPublishTime" ma:web="e5d022ff-4ce9-4922-b5a4-f245e35e2a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5" nillable="true" ma:displayName="Last Published Version" ma:default="" ma:list="{E1DF242F-2A85-4892-885C-E072ACF78A23}" ma:internalName="LastPublishVersionLookup" ma:readOnly="true" ma:showField="LastPublishVersion" ma:web="e5d022ff-4ce9-4922-b5a4-f245e35e2a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6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7" nillable="true" ma:displayName="Legacy Data" ma:default="" ma:internalName="LegacyData" ma:readOnly="false">
      <xsd:simpleType>
        <xsd:restriction base="dms:Note"/>
      </xsd:simpleType>
    </xsd:element>
    <xsd:element name="TPLaunchHelpLink" ma:index="68" nillable="true" ma:displayName="Link to Launch Help Topic" ma:default="" ma:internalName="TPLaunchHelpLink">
      <xsd:simpleType>
        <xsd:restriction base="dms:Text"/>
      </xsd:simpleType>
    </xsd:element>
    <xsd:element name="LocComments" ma:index="69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0" nillable="true" ma:displayName="Loc Last Loc Attempt Version" ma:default="" ma:list="{D8789D1B-66E7-4538-930C-3B8C6A9D68AA}" ma:internalName="LocLastLocAttemptVersionLookup" ma:readOnly="false" ma:showField="LastLocAttemptVersion" ma:web="e5d022ff-4ce9-4922-b5a4-f245e35e2aac">
      <xsd:simpleType>
        <xsd:restriction base="dms:Lookup"/>
      </xsd:simpleType>
    </xsd:element>
    <xsd:element name="LocLastLocAttemptVersionTypeLookup" ma:index="71" nillable="true" ma:displayName="Loc Last Loc Attempt Version Type" ma:default="" ma:list="{D8789D1B-66E7-4538-930C-3B8C6A9D68AA}" ma:internalName="LocLastLocAttemptVersionTypeLookup" ma:readOnly="true" ma:showField="LastLocAttemptVersionType" ma:web="e5d022ff-4ce9-4922-b5a4-f245e35e2aac">
      <xsd:simpleType>
        <xsd:restriction base="dms:Lookup"/>
      </xsd:simpleType>
    </xsd:element>
    <xsd:element name="LocManualTestRequired" ma:index="72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3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4" nillable="true" ma:displayName="Loc New Published Version Lookup" ma:default="" ma:list="{D8789D1B-66E7-4538-930C-3B8C6A9D68AA}" ma:internalName="LocNewPublishedVersionLookup" ma:readOnly="true" ma:showField="NewPublishedVersion" ma:web="e5d022ff-4ce9-4922-b5a4-f245e35e2aac">
      <xsd:simpleType>
        <xsd:restriction base="dms:Lookup"/>
      </xsd:simpleType>
    </xsd:element>
    <xsd:element name="LocOverallHandbackStatusLookup" ma:index="75" nillable="true" ma:displayName="Loc Overall Handback Status" ma:default="" ma:list="{D8789D1B-66E7-4538-930C-3B8C6A9D68AA}" ma:internalName="LocOverallHandbackStatusLookup" ma:readOnly="true" ma:showField="OverallHandbackStatus" ma:web="e5d022ff-4ce9-4922-b5a4-f245e35e2aac">
      <xsd:simpleType>
        <xsd:restriction base="dms:Lookup"/>
      </xsd:simpleType>
    </xsd:element>
    <xsd:element name="LocOverallLocStatusLookup" ma:index="76" nillable="true" ma:displayName="Loc Overall Localize Status" ma:default="" ma:list="{D8789D1B-66E7-4538-930C-3B8C6A9D68AA}" ma:internalName="LocOverallLocStatusLookup" ma:readOnly="true" ma:showField="OverallLocStatus" ma:web="e5d022ff-4ce9-4922-b5a4-f245e35e2aac">
      <xsd:simpleType>
        <xsd:restriction base="dms:Lookup"/>
      </xsd:simpleType>
    </xsd:element>
    <xsd:element name="LocOverallPreviewStatusLookup" ma:index="77" nillable="true" ma:displayName="Loc Overall Preview Status" ma:default="" ma:list="{D8789D1B-66E7-4538-930C-3B8C6A9D68AA}" ma:internalName="LocOverallPreviewStatusLookup" ma:readOnly="true" ma:showField="OverallPreviewStatus" ma:web="e5d022ff-4ce9-4922-b5a4-f245e35e2aac">
      <xsd:simpleType>
        <xsd:restriction base="dms:Lookup"/>
      </xsd:simpleType>
    </xsd:element>
    <xsd:element name="LocOverallPublishStatusLookup" ma:index="78" nillable="true" ma:displayName="Loc Overall Publish Status" ma:default="" ma:list="{D8789D1B-66E7-4538-930C-3B8C6A9D68AA}" ma:internalName="LocOverallPublishStatusLookup" ma:readOnly="true" ma:showField="OverallPublishStatus" ma:web="e5d022ff-4ce9-4922-b5a4-f245e35e2aac">
      <xsd:simpleType>
        <xsd:restriction base="dms:Lookup"/>
      </xsd:simpleType>
    </xsd:element>
    <xsd:element name="IntlLocPriority" ma:index="79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0" nillable="true" ma:displayName="Loc Processed For Handoffs" ma:default="" ma:list="{D8789D1B-66E7-4538-930C-3B8C6A9D68AA}" ma:internalName="LocProcessedForHandoffsLookup" ma:readOnly="true" ma:showField="ProcessedForHandoffs" ma:web="e5d022ff-4ce9-4922-b5a4-f245e35e2aac">
      <xsd:simpleType>
        <xsd:restriction base="dms:Lookup"/>
      </xsd:simpleType>
    </xsd:element>
    <xsd:element name="LocProcessedForMarketsLookup" ma:index="81" nillable="true" ma:displayName="Loc Processed For Markets" ma:default="" ma:list="{D8789D1B-66E7-4538-930C-3B8C6A9D68AA}" ma:internalName="LocProcessedForMarketsLookup" ma:readOnly="true" ma:showField="ProcessedForMarkets" ma:web="e5d022ff-4ce9-4922-b5a4-f245e35e2aac">
      <xsd:simpleType>
        <xsd:restriction base="dms:Lookup"/>
      </xsd:simpleType>
    </xsd:element>
    <xsd:element name="LocPublishedDependentAssetsLookup" ma:index="82" nillable="true" ma:displayName="Loc Published Dependent Assets" ma:default="" ma:list="{D8789D1B-66E7-4538-930C-3B8C6A9D68AA}" ma:internalName="LocPublishedDependentAssetsLookup" ma:readOnly="true" ma:showField="PublishedDependentAssets" ma:web="e5d022ff-4ce9-4922-b5a4-f245e35e2aac">
      <xsd:simpleType>
        <xsd:restriction base="dms:Lookup"/>
      </xsd:simpleType>
    </xsd:element>
    <xsd:element name="LocPublishedLinkedAssetsLookup" ma:index="83" nillable="true" ma:displayName="Loc Published Linked Assets" ma:default="" ma:list="{D8789D1B-66E7-4538-930C-3B8C6A9D68AA}" ma:internalName="LocPublishedLinkedAssetsLookup" ma:readOnly="true" ma:showField="PublishedLinkedAssets" ma:web="e5d022ff-4ce9-4922-b5a4-f245e35e2aac">
      <xsd:simpleType>
        <xsd:restriction base="dms:Lookup"/>
      </xsd:simpleType>
    </xsd:element>
    <xsd:element name="LocRecommendedHandoff" ma:index="84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6" nillable="true" ma:taxonomy="true" ma:internalName="LocalizationTagsTaxHTField0" ma:taxonomyFieldName="LocalizationTags" ma:displayName="Localization Tags" ma:readOnly="false" ma:default="" ma:fieldId="{63236a87-6c6d-4a5b-9fe1-c805ecae0bb8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7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8" nillable="true" ma:displayName="Manager" ma:hidden="true" ma:internalName="Manager" ma:readOnly="false">
      <xsd:simpleType>
        <xsd:restriction base="dms:Text"/>
      </xsd:simpleType>
    </xsd:element>
    <xsd:element name="Markets" ma:index="89" nillable="true" ma:displayName="Markets" ma:default="" ma:description="Leave blank to show in all markets" ma:list="{5E053CDA-25E6-45C3-8DB3-AEDB8C2D0B9A}" ma:internalName="Markets" ma:readOnly="false" ma:showField="MarketName" ma:web="e5d022ff-4ce9-4922-b5a4-f245e35e2a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0" nillable="true" ma:displayName="Milestone" ma:default="" ma:internalName="Milestone" ma:readOnly="false">
      <xsd:simpleType>
        <xsd:restriction base="dms:Unknown"/>
      </xsd:simpleType>
    </xsd:element>
    <xsd:element name="TPNamespace" ma:index="93" nillable="true" ma:displayName="Namespace" ma:default="" ma:internalName="TPNamespace">
      <xsd:simpleType>
        <xsd:restriction base="dms:Text"/>
      </xsd:simpleType>
    </xsd:element>
    <xsd:element name="NumericId" ma:index="94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5" nillable="true" ma:displayName="NumOfRatings" ma:default="" ma:list="{E1DF242F-2A85-4892-885C-E072ACF78A23}" ma:internalName="NumOfRatingsLookup" ma:readOnly="true" ma:showField="NumOfRatings" ma:web="e5d022ff-4ce9-4922-b5a4-f245e35e2a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6" nillable="true" ma:displayName="OOCacheId" ma:internalName="OOCacheId" ma:readOnly="false">
      <xsd:simpleType>
        <xsd:restriction base="dms:Text"/>
      </xsd:simpleType>
    </xsd:element>
    <xsd:element name="OpenTemplate" ma:index="97" nillable="true" ma:displayName="Open Template" ma:default="true" ma:internalName="OpenTemplate">
      <xsd:simpleType>
        <xsd:restriction base="dms:Boolean"/>
      </xsd:simpleType>
    </xsd:element>
    <xsd:element name="OriginAsset" ma:index="98" nillable="true" ma:displayName="Origin Asset" ma:default="" ma:internalName="OriginAsset" ma:readOnly="false">
      <xsd:simpleType>
        <xsd:restriction base="dms:Text"/>
      </xsd:simpleType>
    </xsd:element>
    <xsd:element name="OriginalRelease" ma:index="99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0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1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2" nillable="true" ma:displayName="Parent Asset Id" ma:default="" ma:internalName="ParentAssetId" ma:readOnly="false">
      <xsd:simpleType>
        <xsd:restriction base="dms:Text"/>
      </xsd:simpleType>
    </xsd:element>
    <xsd:element name="PlannedPubDate" ma:index="103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4" nillable="true" ma:displayName="Policheck Words" ma:default="" ma:internalName="PolicheckWords" ma:readOnly="false">
      <xsd:simpleType>
        <xsd:restriction base="dms:Text"/>
      </xsd:simpleType>
    </xsd:element>
    <xsd:element name="BusinessGroup" ma:index="105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6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7" nillable="true" ma:displayName="Provider" ma:default="" ma:internalName="Provider" ma:readOnly="false">
      <xsd:simpleType>
        <xsd:restriction base="dms:Unknown"/>
      </xsd:simpleType>
    </xsd:element>
    <xsd:element name="Providers" ma:index="108" nillable="true" ma:displayName="Providers" ma:default="" ma:internalName="Providers">
      <xsd:simpleType>
        <xsd:restriction base="dms:Unknown"/>
      </xsd:simpleType>
    </xsd:element>
    <xsd:element name="PublishStatusLookup" ma:index="109" nillable="true" ma:displayName="Publish Status" ma:default="" ma:list="{E1DF242F-2A85-4892-885C-E072ACF78A23}" ma:internalName="PublishStatusLookup" ma:readOnly="false" ma:showField="PublishStatus" ma:web="e5d022ff-4ce9-4922-b5a4-f245e35e2a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0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1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2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4" nillable="true" ma:taxonomy="true" ma:internalName="ScenarioTagsTaxHTField0" ma:taxonomyFieldName="ScenarioTags" ma:displayName="Scenarios" ma:readOnly="false" ma:default="" ma:fieldId="{67a15031-dfad-40a3-960d-7cc941d4a986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6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7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8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19" nillable="true" ma:displayName="Submitter ID" ma:default="" ma:internalName="SubmitterId" ma:readOnly="false">
      <xsd:simpleType>
        <xsd:restriction base="dms:Text"/>
      </xsd:simpleType>
    </xsd:element>
    <xsd:element name="TaxCatchAll" ma:index="120" nillable="true" ma:displayName="Taxonomy Catch All Column" ma:hidden="true" ma:list="{2f397b98-bdf6-47da-a1ac-484548f5e091}" ma:internalName="TaxCatchAll" ma:showField="CatchAllData" ma:web="e5d022ff-4ce9-4922-b5a4-f245e35e2a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1" nillable="true" ma:displayName="Taxonomy Catch All Column1" ma:hidden="true" ma:list="{2f397b98-bdf6-47da-a1ac-484548f5e091}" ma:internalName="TaxCatchAllLabel" ma:readOnly="true" ma:showField="CatchAllDataLabel" ma:web="e5d022ff-4ce9-4922-b5a4-f245e35e2a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2" nillable="true" ma:displayName="Template Status" ma:default="" ma:internalName="TemplateStatus">
      <xsd:simpleType>
        <xsd:restriction base="dms:Unknown"/>
      </xsd:simpleType>
    </xsd:element>
    <xsd:element name="TemplateTemplateType" ma:index="123" nillable="true" ma:displayName="Template Type" ma:default="" ma:internalName="TemplateTemplateType">
      <xsd:simpleType>
        <xsd:restriction base="dms:Unknown"/>
      </xsd:simpleType>
    </xsd:element>
    <xsd:element name="ThumbnailAssetId" ma:index="124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5" nillable="true" ma:displayName="Times Cloned" ma:default="" ma:internalName="TimesCloned" ma:readOnly="false">
      <xsd:simpleType>
        <xsd:restriction base="dms:Number"/>
      </xsd:simpleType>
    </xsd:element>
    <xsd:element name="TrustLevel" ma:index="127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8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29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0" nillable="true" ma:displayName="UA Notes" ma:default="" ma:internalName="UANotes" ma:readOnly="false">
      <xsd:simpleType>
        <xsd:restriction base="dms:Note"/>
      </xsd:simpleType>
    </xsd:element>
    <xsd:element name="TPAppVersion" ma:index="131" nillable="true" ma:displayName="Version" ma:default="" ma:internalName="TPAppVersion">
      <xsd:simpleType>
        <xsd:restriction base="dms:Text"/>
      </xsd:simpleType>
    </xsd:element>
    <xsd:element name="VoteCount" ma:index="132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1" ma:displayName="Content Type"/>
        <xsd:element ref="dc:title" minOccurs="0" maxOccurs="1" ma:index="12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Description xmlns="e5d022ff-4ce9-4922-b5a4-f245e35e2aac" xsi:nil="true"/>
    <AssetExpire xmlns="e5d022ff-4ce9-4922-b5a4-f245e35e2aac">2029-01-01T08:00:00+00:00</AssetExpire>
    <CampaignTagsTaxHTField0 xmlns="e5d022ff-4ce9-4922-b5a4-f245e35e2aac">
      <Terms xmlns="http://schemas.microsoft.com/office/infopath/2007/PartnerControls"/>
    </CampaignTagsTaxHTField0>
    <IntlLangReviewDate xmlns="e5d022ff-4ce9-4922-b5a4-f245e35e2aac" xsi:nil="true"/>
    <TPFriendlyName xmlns="e5d022ff-4ce9-4922-b5a4-f245e35e2aac" xsi:nil="true"/>
    <IntlLangReview xmlns="e5d022ff-4ce9-4922-b5a4-f245e35e2aac">false</IntlLangReview>
    <LocLastLocAttemptVersionLookup xmlns="e5d022ff-4ce9-4922-b5a4-f245e35e2aac">845905</LocLastLocAttemptVersionLookup>
    <PolicheckWords xmlns="e5d022ff-4ce9-4922-b5a4-f245e35e2aac" xsi:nil="true"/>
    <SubmitterId xmlns="e5d022ff-4ce9-4922-b5a4-f245e35e2aac" xsi:nil="true"/>
    <AcquiredFrom xmlns="e5d022ff-4ce9-4922-b5a4-f245e35e2aac">Internal MS</AcquiredFrom>
    <EditorialStatus xmlns="e5d022ff-4ce9-4922-b5a4-f245e35e2aac" xsi:nil="true"/>
    <Markets xmlns="e5d022ff-4ce9-4922-b5a4-f245e35e2aac"/>
    <OriginAsset xmlns="e5d022ff-4ce9-4922-b5a4-f245e35e2aac" xsi:nil="true"/>
    <AssetStart xmlns="e5d022ff-4ce9-4922-b5a4-f245e35e2aac">2012-06-28T22:32:50+00:00</AssetStart>
    <FriendlyTitle xmlns="e5d022ff-4ce9-4922-b5a4-f245e35e2aac" xsi:nil="true"/>
    <MarketSpecific xmlns="e5d022ff-4ce9-4922-b5a4-f245e35e2aac">false</MarketSpecific>
    <TPNamespace xmlns="e5d022ff-4ce9-4922-b5a4-f245e35e2aac" xsi:nil="true"/>
    <PublishStatusLookup xmlns="e5d022ff-4ce9-4922-b5a4-f245e35e2aac">
      <Value>452315</Value>
    </PublishStatusLookup>
    <APAuthor xmlns="e5d022ff-4ce9-4922-b5a4-f245e35e2aac">
      <UserInfo>
        <DisplayName/>
        <AccountId>2566</AccountId>
        <AccountType/>
      </UserInfo>
    </APAuthor>
    <TPCommandLine xmlns="e5d022ff-4ce9-4922-b5a4-f245e35e2aac" xsi:nil="true"/>
    <IntlLangReviewer xmlns="e5d022ff-4ce9-4922-b5a4-f245e35e2aac" xsi:nil="true"/>
    <OpenTemplate xmlns="e5d022ff-4ce9-4922-b5a4-f245e35e2aac">true</OpenTemplate>
    <CSXSubmissionDate xmlns="e5d022ff-4ce9-4922-b5a4-f245e35e2aac" xsi:nil="true"/>
    <TaxCatchAll xmlns="e5d022ff-4ce9-4922-b5a4-f245e35e2aac"/>
    <Manager xmlns="e5d022ff-4ce9-4922-b5a4-f245e35e2aac" xsi:nil="true"/>
    <NumericId xmlns="e5d022ff-4ce9-4922-b5a4-f245e35e2aac" xsi:nil="true"/>
    <ParentAssetId xmlns="e5d022ff-4ce9-4922-b5a4-f245e35e2aac" xsi:nil="true"/>
    <OriginalSourceMarket xmlns="e5d022ff-4ce9-4922-b5a4-f245e35e2aac">english</OriginalSourceMarket>
    <ApprovalStatus xmlns="e5d022ff-4ce9-4922-b5a4-f245e35e2aac">InProgress</ApprovalStatus>
    <TPComponent xmlns="e5d022ff-4ce9-4922-b5a4-f245e35e2aac" xsi:nil="true"/>
    <EditorialTags xmlns="e5d022ff-4ce9-4922-b5a4-f245e35e2aac" xsi:nil="true"/>
    <TPExecutable xmlns="e5d022ff-4ce9-4922-b5a4-f245e35e2aac" xsi:nil="true"/>
    <TPLaunchHelpLink xmlns="e5d022ff-4ce9-4922-b5a4-f245e35e2aac" xsi:nil="true"/>
    <LocComments xmlns="e5d022ff-4ce9-4922-b5a4-f245e35e2aac" xsi:nil="true"/>
    <LocRecommendedHandoff xmlns="e5d022ff-4ce9-4922-b5a4-f245e35e2aac" xsi:nil="true"/>
    <SourceTitle xmlns="e5d022ff-4ce9-4922-b5a4-f245e35e2aac" xsi:nil="true"/>
    <CSXUpdate xmlns="e5d022ff-4ce9-4922-b5a4-f245e35e2aac">false</CSXUpdate>
    <IntlLocPriority xmlns="e5d022ff-4ce9-4922-b5a4-f245e35e2aac" xsi:nil="true"/>
    <UAProjectedTotalWords xmlns="e5d022ff-4ce9-4922-b5a4-f245e35e2aac" xsi:nil="true"/>
    <AssetType xmlns="e5d022ff-4ce9-4922-b5a4-f245e35e2aac" xsi:nil="true"/>
    <MachineTranslated xmlns="e5d022ff-4ce9-4922-b5a4-f245e35e2aac">false</MachineTranslated>
    <OutputCachingOn xmlns="e5d022ff-4ce9-4922-b5a4-f245e35e2aac">false</OutputCachingOn>
    <TemplateStatus xmlns="e5d022ff-4ce9-4922-b5a4-f245e35e2aac">Complete</TemplateStatus>
    <IsSearchable xmlns="e5d022ff-4ce9-4922-b5a4-f245e35e2aac">false</IsSearchable>
    <ContentItem xmlns="e5d022ff-4ce9-4922-b5a4-f245e35e2aac" xsi:nil="true"/>
    <HandoffToMSDN xmlns="e5d022ff-4ce9-4922-b5a4-f245e35e2aac" xsi:nil="true"/>
    <ShowIn xmlns="e5d022ff-4ce9-4922-b5a4-f245e35e2aac">Show everywhere</ShowIn>
    <ThumbnailAssetId xmlns="e5d022ff-4ce9-4922-b5a4-f245e35e2aac" xsi:nil="true"/>
    <UALocComments xmlns="e5d022ff-4ce9-4922-b5a4-f245e35e2aac" xsi:nil="true"/>
    <UALocRecommendation xmlns="e5d022ff-4ce9-4922-b5a4-f245e35e2aac">Localize</UALocRecommendation>
    <LastModifiedDateTime xmlns="e5d022ff-4ce9-4922-b5a4-f245e35e2aac" xsi:nil="true"/>
    <LegacyData xmlns="e5d022ff-4ce9-4922-b5a4-f245e35e2aac" xsi:nil="true"/>
    <LocManualTestRequired xmlns="e5d022ff-4ce9-4922-b5a4-f245e35e2aac">false</LocManualTestRequired>
    <LocMarketGroupTiers2 xmlns="e5d022ff-4ce9-4922-b5a4-f245e35e2aac" xsi:nil="true"/>
    <ClipArtFilename xmlns="e5d022ff-4ce9-4922-b5a4-f245e35e2aac" xsi:nil="true"/>
    <TPApplication xmlns="e5d022ff-4ce9-4922-b5a4-f245e35e2aac" xsi:nil="true"/>
    <CSXHash xmlns="e5d022ff-4ce9-4922-b5a4-f245e35e2aac" xsi:nil="true"/>
    <DirectSourceMarket xmlns="e5d022ff-4ce9-4922-b5a4-f245e35e2aac">english</DirectSourceMarket>
    <PrimaryImageGen xmlns="e5d022ff-4ce9-4922-b5a4-f245e35e2aac">false</PrimaryImageGen>
    <PlannedPubDate xmlns="e5d022ff-4ce9-4922-b5a4-f245e35e2aac" xsi:nil="true"/>
    <CSXSubmissionMarket xmlns="e5d022ff-4ce9-4922-b5a4-f245e35e2aac" xsi:nil="true"/>
    <Downloads xmlns="e5d022ff-4ce9-4922-b5a4-f245e35e2aac">0</Downloads>
    <ArtSampleDocs xmlns="e5d022ff-4ce9-4922-b5a4-f245e35e2aac" xsi:nil="true"/>
    <TrustLevel xmlns="e5d022ff-4ce9-4922-b5a4-f245e35e2aac">1 Microsoft Managed Content</TrustLevel>
    <BlockPublish xmlns="e5d022ff-4ce9-4922-b5a4-f245e35e2aac">false</BlockPublish>
    <TPLaunchHelpLinkType xmlns="e5d022ff-4ce9-4922-b5a4-f245e35e2aac">Template</TPLaunchHelpLinkType>
    <LocalizationTagsTaxHTField0 xmlns="e5d022ff-4ce9-4922-b5a4-f245e35e2aac">
      <Terms xmlns="http://schemas.microsoft.com/office/infopath/2007/PartnerControls"/>
    </LocalizationTagsTaxHTField0>
    <BusinessGroup xmlns="e5d022ff-4ce9-4922-b5a4-f245e35e2aac" xsi:nil="true"/>
    <Providers xmlns="e5d022ff-4ce9-4922-b5a4-f245e35e2aac" xsi:nil="true"/>
    <TemplateTemplateType xmlns="e5d022ff-4ce9-4922-b5a4-f245e35e2aac">Excel Spreadsheet Template</TemplateTemplateType>
    <TimesCloned xmlns="e5d022ff-4ce9-4922-b5a4-f245e35e2aac" xsi:nil="true"/>
    <TPAppVersion xmlns="e5d022ff-4ce9-4922-b5a4-f245e35e2aac" xsi:nil="true"/>
    <VoteCount xmlns="e5d022ff-4ce9-4922-b5a4-f245e35e2aac" xsi:nil="true"/>
    <FeatureTagsTaxHTField0 xmlns="e5d022ff-4ce9-4922-b5a4-f245e35e2aac">
      <Terms xmlns="http://schemas.microsoft.com/office/infopath/2007/PartnerControls"/>
    </FeatureTagsTaxHTField0>
    <Provider xmlns="e5d022ff-4ce9-4922-b5a4-f245e35e2aac" xsi:nil="true"/>
    <UACurrentWords xmlns="e5d022ff-4ce9-4922-b5a4-f245e35e2aac" xsi:nil="true"/>
    <AssetId xmlns="e5d022ff-4ce9-4922-b5a4-f245e35e2aac">TP102930000</AssetId>
    <TPClientViewer xmlns="e5d022ff-4ce9-4922-b5a4-f245e35e2aac" xsi:nil="true"/>
    <DSATActionTaken xmlns="e5d022ff-4ce9-4922-b5a4-f245e35e2aac" xsi:nil="true"/>
    <APEditor xmlns="e5d022ff-4ce9-4922-b5a4-f245e35e2aac">
      <UserInfo>
        <DisplayName/>
        <AccountId xsi:nil="true"/>
        <AccountType/>
      </UserInfo>
    </APEditor>
    <TPInstallLocation xmlns="e5d022ff-4ce9-4922-b5a4-f245e35e2aac" xsi:nil="true"/>
    <OOCacheId xmlns="e5d022ff-4ce9-4922-b5a4-f245e35e2aac" xsi:nil="true"/>
    <IsDeleted xmlns="e5d022ff-4ce9-4922-b5a4-f245e35e2aac">false</IsDeleted>
    <PublishTargets xmlns="e5d022ff-4ce9-4922-b5a4-f245e35e2aac">OfficeOnlineVNext</PublishTargets>
    <ApprovalLog xmlns="e5d022ff-4ce9-4922-b5a4-f245e35e2aac" xsi:nil="true"/>
    <BugNumber xmlns="e5d022ff-4ce9-4922-b5a4-f245e35e2aac" xsi:nil="true"/>
    <CrawlForDependencies xmlns="e5d022ff-4ce9-4922-b5a4-f245e35e2aac">false</CrawlForDependencies>
    <InternalTagsTaxHTField0 xmlns="e5d022ff-4ce9-4922-b5a4-f245e35e2aac">
      <Terms xmlns="http://schemas.microsoft.com/office/infopath/2007/PartnerControls"/>
    </InternalTagsTaxHTField0>
    <LastHandOff xmlns="e5d022ff-4ce9-4922-b5a4-f245e35e2aac" xsi:nil="true"/>
    <Milestone xmlns="e5d022ff-4ce9-4922-b5a4-f245e35e2aac" xsi:nil="true"/>
    <OriginalRelease xmlns="e5d022ff-4ce9-4922-b5a4-f245e35e2aac">15</OriginalRelease>
    <RecommendationsModifier xmlns="e5d022ff-4ce9-4922-b5a4-f245e35e2aac" xsi:nil="true"/>
    <ScenarioTagsTaxHTField0 xmlns="e5d022ff-4ce9-4922-b5a4-f245e35e2aac">
      <Terms xmlns="http://schemas.microsoft.com/office/infopath/2007/PartnerControls"/>
    </ScenarioTagsTaxHTField0>
    <UANotes xmlns="e5d022ff-4ce9-4922-b5a4-f245e35e2aac" xsi:nil="true"/>
  </documentManagement>
</p:properties>
</file>

<file path=customXml/itemProps1.xml><?xml version="1.0" encoding="utf-8"?>
<ds:datastoreItem xmlns:ds="http://schemas.openxmlformats.org/officeDocument/2006/customXml" ds:itemID="{2FBD47AB-CA64-4FA9-8A93-0FB9CC177D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d022ff-4ce9-4922-b5a4-f245e35e2a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91DAE2-A044-423E-ACE5-54D3D6352D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EF11BF-917E-42C7-BCCB-D35574163B9D}">
  <ds:schemaRefs>
    <ds:schemaRef ds:uri="http://schemas.microsoft.com/office/2006/metadata/properties"/>
    <ds:schemaRef ds:uri="http://schemas.microsoft.com/office/infopath/2007/PartnerControls"/>
    <ds:schemaRef ds:uri="e5d022ff-4ce9-4922-b5a4-f245e35e2a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TM02930020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4</vt:i4>
      </vt:variant>
    </vt:vector>
  </HeadingPairs>
  <TitlesOfParts>
    <vt:vector size="15" baseType="lpstr">
      <vt:lpstr>PAPEIS &amp; RESPONSABILIDADES</vt:lpstr>
      <vt:lpstr>Agenda</vt:lpstr>
      <vt:lpstr>Entrada de dados</vt:lpstr>
      <vt:lpstr>DISPO ATIVOS </vt:lpstr>
      <vt:lpstr>CAPACIDADE</vt:lpstr>
      <vt:lpstr>CRONOGRAMA MUNCK</vt:lpstr>
      <vt:lpstr>ESCALA EQUIPES</vt:lpstr>
      <vt:lpstr>Planilha3</vt:lpstr>
      <vt:lpstr>Planilha2</vt:lpstr>
      <vt:lpstr>Planilha1</vt:lpstr>
      <vt:lpstr>Pesquisa de nome</vt:lpstr>
      <vt:lpstr>Área_de_Impressão</vt:lpstr>
      <vt:lpstr>CampoQuem</vt:lpstr>
      <vt:lpstr>MostrarNome</vt:lpstr>
      <vt:lpstr>SemanaDe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2012-02-26T23:30:47Z</dcterms:created>
  <dcterms:modified xsi:type="dcterms:W3CDTF">2026-07-10T17:32:07Z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0x01010062057737089D604C8995D725789FFFFD0400C05BDBFCDB0BE84BA6AEC1D1A4F5E4CE</vt:lpwstr>
  </property>
  <property fmtid="{D5CDD505-2E9C-101B-9397-08002B2CF9AE}" pid="3" name="HiddenCategoryTags">
    <vt:lpwstr/>
  </property>
  <property fmtid="{D5CDD505-2E9C-101B-9397-08002B2CF9AE}" pid="4" name="InternalTags">
    <vt:lpwstr/>
  </property>
  <property fmtid="{D5CDD505-2E9C-101B-9397-08002B2CF9AE}" pid="5" name="FeatureTags">
    <vt:lpwstr/>
  </property>
  <property fmtid="{D5CDD505-2E9C-101B-9397-08002B2CF9AE}" pid="6" name="LocalizationTags">
    <vt:lpwstr/>
  </property>
  <property fmtid="{D5CDD505-2E9C-101B-9397-08002B2CF9AE}" pid="7" name="CategoryTags">
    <vt:lpwstr/>
  </property>
  <property fmtid="{D5CDD505-2E9C-101B-9397-08002B2CF9AE}" pid="8" name="ScenarioTags">
    <vt:lpwstr/>
  </property>
  <property fmtid="{D5CDD505-2E9C-101B-9397-08002B2CF9AE}" pid="9" name="CategoryTagsTaxHTField0">
    <vt:lpwstr/>
  </property>
  <property fmtid="{D5CDD505-2E9C-101B-9397-08002B2CF9AE}" pid="10" name="CampaignTags">
    <vt:lpwstr/>
  </property>
  <property fmtid="{D5CDD505-2E9C-101B-9397-08002B2CF9AE}" pid="11" name="HiddenCategoryTagsTaxHTField0">
    <vt:lpwstr/>
  </property>
</Properties>
</file>